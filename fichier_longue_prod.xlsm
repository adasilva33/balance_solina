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F2745B52-5627-1243-A1B1-CB83794354CB}" xr6:coauthVersionLast="47" xr6:coauthVersionMax="47" xr10:uidLastSave="{00000000-0000-0000-0000-000000000000}"/>
  <bookViews>
    <workbookView xWindow="4360" yWindow="760" windowWidth="16240" windowHeight="13040" activeTab="1" xr2:uid="{5D5A6D98-EB22-44EF-A69A-481BAC5F229E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698" i="3" l="1"/>
  <c r="AJ311" i="3"/>
  <c r="AK311" i="3"/>
  <c r="AN311" i="3"/>
  <c r="AO311" i="3"/>
  <c r="AJ312" i="3"/>
  <c r="AK312" i="3"/>
  <c r="AJ313" i="3" s="1"/>
  <c r="AO312" i="3"/>
  <c r="AJ259" i="3"/>
  <c r="AK259" i="3"/>
  <c r="AN259" i="3"/>
  <c r="AO259" i="3"/>
  <c r="AJ260" i="3"/>
  <c r="AJ227" i="3"/>
  <c r="AK227" i="3"/>
  <c r="AN227" i="3"/>
  <c r="AO227" i="3"/>
  <c r="AJ228" i="3"/>
  <c r="AJ163" i="3"/>
  <c r="AK163" i="3" s="1"/>
  <c r="AJ101" i="3"/>
  <c r="AK101" i="3"/>
  <c r="AN101" i="3"/>
  <c r="AO101" i="3"/>
  <c r="AJ102" i="3"/>
  <c r="AN102" i="3" s="1"/>
  <c r="AK102" i="3"/>
  <c r="AJ103" i="3" s="1"/>
  <c r="AE151" i="3"/>
  <c r="AF151" i="3"/>
  <c r="AG151" i="3"/>
  <c r="AH151" i="3"/>
  <c r="AE152" i="3"/>
  <c r="AF152" i="3"/>
  <c r="AG152" i="3"/>
  <c r="AH152" i="3"/>
  <c r="AE153" i="3"/>
  <c r="AF153" i="3"/>
  <c r="AE154" i="3" s="1"/>
  <c r="AE101" i="3"/>
  <c r="AF101" i="3" s="1"/>
  <c r="U997" i="3"/>
  <c r="V997" i="3"/>
  <c r="W997" i="3"/>
  <c r="X997" i="3" s="1"/>
  <c r="Y997" i="3"/>
  <c r="Z997" i="3"/>
  <c r="U998" i="3"/>
  <c r="Y998" i="3" s="1"/>
  <c r="V998" i="3"/>
  <c r="U999" i="3" s="1"/>
  <c r="W998" i="3"/>
  <c r="X998" i="3" s="1"/>
  <c r="U162" i="3"/>
  <c r="V162" i="3"/>
  <c r="W162" i="3"/>
  <c r="X162" i="3"/>
  <c r="Y162" i="3"/>
  <c r="Z162" i="3"/>
  <c r="U163" i="3"/>
  <c r="U101" i="3"/>
  <c r="V101" i="3"/>
  <c r="Y101" i="3"/>
  <c r="Z101" i="3"/>
  <c r="U102" i="3"/>
  <c r="V102" i="3"/>
  <c r="U103" i="3" s="1"/>
  <c r="I2" i="10" a="1"/>
  <c r="I2" i="10" s="1"/>
  <c r="AK313" i="3" l="1"/>
  <c r="AO313" i="3" s="1"/>
  <c r="AN312" i="3"/>
  <c r="AK260" i="3"/>
  <c r="AO260" i="3" s="1"/>
  <c r="AK228" i="3"/>
  <c r="AJ164" i="3"/>
  <c r="AO163" i="3"/>
  <c r="AN163" i="3"/>
  <c r="AK103" i="3"/>
  <c r="AN103" i="3"/>
  <c r="AO103" i="3"/>
  <c r="AO102" i="3"/>
  <c r="AF154" i="3"/>
  <c r="AE155" i="3" s="1"/>
  <c r="AG154" i="3"/>
  <c r="AH154" i="3" s="1"/>
  <c r="AG153" i="3"/>
  <c r="AH153" i="3" s="1"/>
  <c r="AE102" i="3"/>
  <c r="V999" i="3"/>
  <c r="Y999" i="3"/>
  <c r="Z999" i="3"/>
  <c r="Z998" i="3"/>
  <c r="V163" i="3"/>
  <c r="V103" i="3"/>
  <c r="Y102" i="3"/>
  <c r="Z102" i="3"/>
  <c r="BR7" i="3"/>
  <c r="BS7" i="3"/>
  <c r="BT7" i="3"/>
  <c r="M2" i="10" a="1"/>
  <c r="AG101" i="3" s="1"/>
  <c r="AH101" i="3" s="1"/>
  <c r="AJ314" i="3" l="1"/>
  <c r="AN313" i="3"/>
  <c r="AJ261" i="3"/>
  <c r="AN260" i="3"/>
  <c r="AJ229" i="3"/>
  <c r="AO228" i="3"/>
  <c r="AN228" i="3"/>
  <c r="AK164" i="3"/>
  <c r="AJ104" i="3"/>
  <c r="AF155" i="3"/>
  <c r="AE156" i="3" s="1"/>
  <c r="AF102" i="3"/>
  <c r="AE103" i="3" s="1"/>
  <c r="AG102" i="3"/>
  <c r="AH102" i="3" s="1"/>
  <c r="W999" i="3"/>
  <c r="X999" i="3" s="1"/>
  <c r="U1000" i="3"/>
  <c r="U164" i="3"/>
  <c r="W163" i="3"/>
  <c r="X163" i="3" s="1"/>
  <c r="Z163" i="3"/>
  <c r="Y163" i="3"/>
  <c r="W101" i="3"/>
  <c r="X101" i="3" s="1"/>
  <c r="W102" i="3"/>
  <c r="X102" i="3" s="1"/>
  <c r="W103" i="3"/>
  <c r="X103" i="3" s="1"/>
  <c r="Z103" i="3"/>
  <c r="U104" i="3"/>
  <c r="Y103" i="3"/>
  <c r="M2" i="10"/>
  <c r="AL228" i="3" s="1"/>
  <c r="AM228" i="3" s="1"/>
  <c r="BU7" i="3"/>
  <c r="BV7" i="3"/>
  <c r="BN7" i="3"/>
  <c r="AL313" i="3" l="1"/>
  <c r="AM313" i="3" s="1"/>
  <c r="AL259" i="3"/>
  <c r="AM259" i="3" s="1"/>
  <c r="AL312" i="3"/>
  <c r="AM312" i="3" s="1"/>
  <c r="AL311" i="3"/>
  <c r="AM311" i="3" s="1"/>
  <c r="AL103" i="3"/>
  <c r="AM103" i="3" s="1"/>
  <c r="AK314" i="3"/>
  <c r="AL260" i="3"/>
  <c r="AM260" i="3" s="1"/>
  <c r="AK261" i="3"/>
  <c r="AN261" i="3"/>
  <c r="AO261" i="3"/>
  <c r="AL163" i="3"/>
  <c r="AM163" i="3" s="1"/>
  <c r="AL227" i="3"/>
  <c r="AM227" i="3" s="1"/>
  <c r="AK229" i="3"/>
  <c r="AN229" i="3" s="1"/>
  <c r="AO229" i="3"/>
  <c r="AJ165" i="3"/>
  <c r="AL164" i="3"/>
  <c r="AM164" i="3" s="1"/>
  <c r="AO164" i="3"/>
  <c r="AN164" i="3"/>
  <c r="AL101" i="3"/>
  <c r="AM101" i="3" s="1"/>
  <c r="AL102" i="3"/>
  <c r="AM102" i="3" s="1"/>
  <c r="AK104" i="3"/>
  <c r="AG155" i="3"/>
  <c r="AH155" i="3" s="1"/>
  <c r="AF156" i="3"/>
  <c r="AE157" i="3" s="1"/>
  <c r="AG156" i="3"/>
  <c r="AH156" i="3" s="1"/>
  <c r="AF103" i="3"/>
  <c r="AE104" i="3" s="1"/>
  <c r="V1000" i="3"/>
  <c r="W1000" i="3" s="1"/>
  <c r="X1000" i="3" s="1"/>
  <c r="V164" i="3"/>
  <c r="Y164" i="3" s="1"/>
  <c r="Z164" i="3"/>
  <c r="V104" i="3"/>
  <c r="Y104" i="3" s="1"/>
  <c r="BK7" i="3"/>
  <c r="BL7" i="3"/>
  <c r="BM7" i="3"/>
  <c r="BJ7" i="3"/>
  <c r="BA7" i="3"/>
  <c r="BH7" i="3"/>
  <c r="BI7" i="3"/>
  <c r="BG7" i="3"/>
  <c r="AX7" i="3"/>
  <c r="BB7" i="3"/>
  <c r="BC7" i="3"/>
  <c r="BD7" i="3"/>
  <c r="BE7" i="3"/>
  <c r="AY7" i="3"/>
  <c r="AZ7" i="3"/>
  <c r="F4" i="3"/>
  <c r="AR4" i="3" s="1"/>
  <c r="AL314" i="3" l="1"/>
  <c r="AM314" i="3" s="1"/>
  <c r="AJ315" i="3"/>
  <c r="AO314" i="3"/>
  <c r="AN314" i="3"/>
  <c r="AJ262" i="3"/>
  <c r="AL261" i="3"/>
  <c r="AM261" i="3" s="1"/>
  <c r="AL229" i="3"/>
  <c r="AM229" i="3" s="1"/>
  <c r="AJ230" i="3"/>
  <c r="AK165" i="3"/>
  <c r="AN165" i="3"/>
  <c r="AO165" i="3"/>
  <c r="AL104" i="3"/>
  <c r="AM104" i="3" s="1"/>
  <c r="AJ105" i="3"/>
  <c r="AO104" i="3"/>
  <c r="AN104" i="3"/>
  <c r="AF157" i="3"/>
  <c r="AE158" i="3" s="1"/>
  <c r="AF104" i="3"/>
  <c r="AE105" i="3" s="1"/>
  <c r="AG104" i="3"/>
  <c r="AH104" i="3" s="1"/>
  <c r="AG103" i="3"/>
  <c r="AH103" i="3" s="1"/>
  <c r="Z1000" i="3"/>
  <c r="Y1000" i="3"/>
  <c r="W164" i="3"/>
  <c r="X164" i="3" s="1"/>
  <c r="U165" i="3"/>
  <c r="W104" i="3"/>
  <c r="X104" i="3" s="1"/>
  <c r="U105" i="3"/>
  <c r="Z104" i="3"/>
  <c r="A2" i="10" a="1"/>
  <c r="A2" i="10" s="1"/>
  <c r="F3" i="3"/>
  <c r="C22" i="3"/>
  <c r="AK315" i="3" l="1"/>
  <c r="AN315" i="3"/>
  <c r="AO315" i="3"/>
  <c r="AK262" i="3"/>
  <c r="AO262" i="3" s="1"/>
  <c r="AK230" i="3"/>
  <c r="AL165" i="3"/>
  <c r="AM165" i="3" s="1"/>
  <c r="AJ166" i="3"/>
  <c r="AK105" i="3"/>
  <c r="AN105" i="3"/>
  <c r="AO105" i="3"/>
  <c r="AG157" i="3"/>
  <c r="AH157" i="3" s="1"/>
  <c r="AF158" i="3"/>
  <c r="AE159" i="3" s="1"/>
  <c r="AF105" i="3"/>
  <c r="AE106" i="3" s="1"/>
  <c r="AG105" i="3"/>
  <c r="AH105" i="3" s="1"/>
  <c r="V165" i="3"/>
  <c r="Y165" i="3"/>
  <c r="Z165" i="3"/>
  <c r="V105" i="3"/>
  <c r="Z105" i="3"/>
  <c r="Y105" i="3"/>
  <c r="AJ7" i="3"/>
  <c r="U7" i="3"/>
  <c r="V7" i="3" s="1"/>
  <c r="U8" i="3" s="1"/>
  <c r="J2" i="10" a="1"/>
  <c r="J2" i="10" s="1"/>
  <c r="AE7" i="3"/>
  <c r="C4" i="3"/>
  <c r="AR6" i="3" s="1"/>
  <c r="AJ316" i="3" l="1"/>
  <c r="AL315" i="3"/>
  <c r="AM315" i="3" s="1"/>
  <c r="AL262" i="3"/>
  <c r="AM262" i="3" s="1"/>
  <c r="AJ263" i="3"/>
  <c r="AN262" i="3"/>
  <c r="AL230" i="3"/>
  <c r="AM230" i="3" s="1"/>
  <c r="AJ231" i="3"/>
  <c r="AN230" i="3"/>
  <c r="AO230" i="3"/>
  <c r="AK166" i="3"/>
  <c r="AO166" i="3" s="1"/>
  <c r="AJ106" i="3"/>
  <c r="AL105" i="3"/>
  <c r="AM105" i="3" s="1"/>
  <c r="AF159" i="3"/>
  <c r="AE160" i="3" s="1"/>
  <c r="AG159" i="3"/>
  <c r="AH159" i="3" s="1"/>
  <c r="AG158" i="3"/>
  <c r="AH158" i="3" s="1"/>
  <c r="AF106" i="3"/>
  <c r="AE107" i="3" s="1"/>
  <c r="W165" i="3"/>
  <c r="X165" i="3" s="1"/>
  <c r="U166" i="3"/>
  <c r="U106" i="3"/>
  <c r="W105" i="3"/>
  <c r="X105" i="3" s="1"/>
  <c r="V8" i="3"/>
  <c r="W7" i="3"/>
  <c r="X7" i="3" s="1"/>
  <c r="AK7" i="3"/>
  <c r="AU6" i="3"/>
  <c r="AF7" i="3"/>
  <c r="AE8" i="3" s="1"/>
  <c r="F5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K316" i="3" l="1"/>
  <c r="AK263" i="3"/>
  <c r="AN263" i="3"/>
  <c r="AK231" i="3"/>
  <c r="AN231" i="3"/>
  <c r="AO231" i="3"/>
  <c r="AL166" i="3"/>
  <c r="AM166" i="3" s="1"/>
  <c r="AJ167" i="3"/>
  <c r="AN166" i="3"/>
  <c r="AK106" i="3"/>
  <c r="AN106" i="3"/>
  <c r="AO106" i="3"/>
  <c r="AF160" i="3"/>
  <c r="AE161" i="3" s="1"/>
  <c r="AG160" i="3"/>
  <c r="AH160" i="3" s="1"/>
  <c r="AF107" i="3"/>
  <c r="AE108" i="3" s="1"/>
  <c r="AG107" i="3"/>
  <c r="AH107" i="3" s="1"/>
  <c r="AG106" i="3"/>
  <c r="AH106" i="3" s="1"/>
  <c r="V166" i="3"/>
  <c r="Y166" i="3"/>
  <c r="Z166" i="3"/>
  <c r="V106" i="3"/>
  <c r="Y106" i="3"/>
  <c r="Z106" i="3"/>
  <c r="AO7" i="3"/>
  <c r="Z7" i="3"/>
  <c r="Y7" i="3"/>
  <c r="AN7" i="3"/>
  <c r="Z8" i="3"/>
  <c r="AF8" i="3"/>
  <c r="AE9" i="3" s="1"/>
  <c r="AF9" i="3" s="1"/>
  <c r="AE10" i="3" s="1"/>
  <c r="AF10" i="3" s="1"/>
  <c r="AE11" i="3" s="1"/>
  <c r="AF11" i="3" s="1"/>
  <c r="AE12" i="3" s="1"/>
  <c r="AF12" i="3" s="1"/>
  <c r="AE13" i="3" s="1"/>
  <c r="Y8" i="3"/>
  <c r="AL7" i="3"/>
  <c r="AJ8" i="3"/>
  <c r="AK8" i="3" s="1"/>
  <c r="AJ9" i="3" s="1"/>
  <c r="AK9" i="3" s="1"/>
  <c r="AJ10" i="3" s="1"/>
  <c r="AK10" i="3" s="1"/>
  <c r="AJ11" i="3" s="1"/>
  <c r="AK11" i="3" s="1"/>
  <c r="AJ12" i="3" s="1"/>
  <c r="AK12" i="3" s="1"/>
  <c r="AJ13" i="3" s="1"/>
  <c r="AK13" i="3" s="1"/>
  <c r="AJ14" i="3" s="1"/>
  <c r="AK14" i="3" s="1"/>
  <c r="AJ15" i="3" s="1"/>
  <c r="AK15" i="3" s="1"/>
  <c r="U9" i="3"/>
  <c r="W8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L316" i="3" l="1"/>
  <c r="AM316" i="3" s="1"/>
  <c r="AJ317" i="3"/>
  <c r="AN316" i="3"/>
  <c r="AO316" i="3"/>
  <c r="AJ264" i="3"/>
  <c r="AL263" i="3"/>
  <c r="AM263" i="3" s="1"/>
  <c r="AO263" i="3"/>
  <c r="AJ232" i="3"/>
  <c r="AL231" i="3"/>
  <c r="AM231" i="3" s="1"/>
  <c r="AK167" i="3"/>
  <c r="AO167" i="3" s="1"/>
  <c r="AN167" i="3"/>
  <c r="AL106" i="3"/>
  <c r="AM106" i="3" s="1"/>
  <c r="AJ107" i="3"/>
  <c r="AF161" i="3"/>
  <c r="AE162" i="3" s="1"/>
  <c r="AG161" i="3"/>
  <c r="AH161" i="3" s="1"/>
  <c r="AF108" i="3"/>
  <c r="AE109" i="3" s="1"/>
  <c r="U167" i="3"/>
  <c r="W166" i="3"/>
  <c r="X166" i="3" s="1"/>
  <c r="W106" i="3"/>
  <c r="X106" i="3" s="1"/>
  <c r="U107" i="3"/>
  <c r="AG8" i="3"/>
  <c r="AN12" i="3"/>
  <c r="AO12" i="3"/>
  <c r="AO10" i="3"/>
  <c r="AN14" i="3"/>
  <c r="AO11" i="3"/>
  <c r="AN15" i="3"/>
  <c r="AN10" i="3"/>
  <c r="AO9" i="3"/>
  <c r="AN9" i="3"/>
  <c r="AO13" i="3"/>
  <c r="AO15" i="3"/>
  <c r="AO14" i="3"/>
  <c r="AN8" i="3"/>
  <c r="AN11" i="3"/>
  <c r="AN13" i="3"/>
  <c r="AO8" i="3"/>
  <c r="X8" i="3"/>
  <c r="V9" i="3"/>
  <c r="Y9" i="3" s="1"/>
  <c r="AJ16" i="3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317" i="3" l="1"/>
  <c r="AO317" i="3"/>
  <c r="AK264" i="3"/>
  <c r="AN264" i="3"/>
  <c r="AO264" i="3"/>
  <c r="AK232" i="3"/>
  <c r="AN232" i="3"/>
  <c r="AO232" i="3"/>
  <c r="AJ168" i="3"/>
  <c r="AL167" i="3"/>
  <c r="AM167" i="3" s="1"/>
  <c r="AK107" i="3"/>
  <c r="AO107" i="3" s="1"/>
  <c r="AF162" i="3"/>
  <c r="AE163" i="3" s="1"/>
  <c r="AG162" i="3"/>
  <c r="AH162" i="3" s="1"/>
  <c r="AF109" i="3"/>
  <c r="AE110" i="3" s="1"/>
  <c r="AG109" i="3"/>
  <c r="AH109" i="3" s="1"/>
  <c r="AG108" i="3"/>
  <c r="AH108" i="3" s="1"/>
  <c r="V167" i="3"/>
  <c r="Z167" i="3"/>
  <c r="Y167" i="3"/>
  <c r="V107" i="3"/>
  <c r="AK16" i="3"/>
  <c r="AJ17" i="3" s="1"/>
  <c r="Z9" i="3"/>
  <c r="U10" i="3"/>
  <c r="W9" i="3"/>
  <c r="X9" i="3" s="1"/>
  <c r="C18" i="3" a="1"/>
  <c r="C18" i="3" s="1"/>
  <c r="L4" i="1" s="1"/>
  <c r="AF14" i="3"/>
  <c r="AE15" i="3" s="1"/>
  <c r="C19" i="3" a="1"/>
  <c r="C19" i="3" s="1"/>
  <c r="AJ318" i="3" l="1"/>
  <c r="AL317" i="3"/>
  <c r="AM317" i="3" s="1"/>
  <c r="AN317" i="3"/>
  <c r="AL264" i="3"/>
  <c r="AM264" i="3" s="1"/>
  <c r="AJ265" i="3"/>
  <c r="AJ233" i="3"/>
  <c r="AL232" i="3"/>
  <c r="AM232" i="3" s="1"/>
  <c r="AK168" i="3"/>
  <c r="AJ108" i="3"/>
  <c r="AL107" i="3"/>
  <c r="AM107" i="3" s="1"/>
  <c r="AN107" i="3"/>
  <c r="AF163" i="3"/>
  <c r="AE164" i="3" s="1"/>
  <c r="AF110" i="3"/>
  <c r="AE111" i="3" s="1"/>
  <c r="AG110" i="3"/>
  <c r="AH110" i="3" s="1"/>
  <c r="U168" i="3"/>
  <c r="W167" i="3"/>
  <c r="X167" i="3" s="1"/>
  <c r="U108" i="3"/>
  <c r="W107" i="3"/>
  <c r="X107" i="3" s="1"/>
  <c r="Z107" i="3"/>
  <c r="Y107" i="3"/>
  <c r="AN16" i="3"/>
  <c r="AO16" i="3"/>
  <c r="AK17" i="3"/>
  <c r="AO17" i="3" s="1"/>
  <c r="V10" i="3"/>
  <c r="Y10" i="3" s="1"/>
  <c r="BJ2" i="3"/>
  <c r="BL3" i="3" s="1"/>
  <c r="M5" i="1" s="1"/>
  <c r="L5" i="1"/>
  <c r="C21" i="3"/>
  <c r="C23" i="3" s="1"/>
  <c r="C25" i="3" s="1"/>
  <c r="AS9" i="3" s="1"/>
  <c r="BA2" i="3"/>
  <c r="BC3" i="3" s="1"/>
  <c r="M4" i="1" s="1"/>
  <c r="AF15" i="3"/>
  <c r="AE16" i="3" s="1"/>
  <c r="AO318" i="3" l="1"/>
  <c r="AK318" i="3"/>
  <c r="AN318" i="3"/>
  <c r="AO265" i="3"/>
  <c r="AK265" i="3"/>
  <c r="AK233" i="3"/>
  <c r="AO233" i="3" s="1"/>
  <c r="AL168" i="3"/>
  <c r="AM168" i="3" s="1"/>
  <c r="AJ169" i="3"/>
  <c r="AO168" i="3"/>
  <c r="AN168" i="3"/>
  <c r="AK108" i="3"/>
  <c r="AO108" i="3"/>
  <c r="AF164" i="3"/>
  <c r="AE165" i="3" s="1"/>
  <c r="AG164" i="3"/>
  <c r="AH164" i="3" s="1"/>
  <c r="AG163" i="3"/>
  <c r="AH163" i="3" s="1"/>
  <c r="AF111" i="3"/>
  <c r="AE112" i="3" s="1"/>
  <c r="Y168" i="3"/>
  <c r="V168" i="3"/>
  <c r="V108" i="3"/>
  <c r="Y108" i="3"/>
  <c r="Z108" i="3"/>
  <c r="AJ18" i="3"/>
  <c r="AK18" i="3" s="1"/>
  <c r="AN18" i="3" s="1"/>
  <c r="AN17" i="3"/>
  <c r="Z10" i="3"/>
  <c r="U11" i="3"/>
  <c r="W10" i="3"/>
  <c r="C26" i="3"/>
  <c r="AT10" i="3" s="1"/>
  <c r="AT13" i="3" s="1"/>
  <c r="AF16" i="3"/>
  <c r="AE17" i="3" s="1"/>
  <c r="C2" i="1"/>
  <c r="AL318" i="3" l="1"/>
  <c r="AM318" i="3" s="1"/>
  <c r="AJ319" i="3"/>
  <c r="AJ266" i="3"/>
  <c r="AL265" i="3"/>
  <c r="AM265" i="3" s="1"/>
  <c r="AN265" i="3"/>
  <c r="AL233" i="3"/>
  <c r="AM233" i="3" s="1"/>
  <c r="AJ234" i="3"/>
  <c r="AN233" i="3"/>
  <c r="AK169" i="3"/>
  <c r="AL108" i="3"/>
  <c r="AM108" i="3" s="1"/>
  <c r="AJ109" i="3"/>
  <c r="AN108" i="3"/>
  <c r="AF165" i="3"/>
  <c r="AE166" i="3" s="1"/>
  <c r="AG165" i="3"/>
  <c r="AH165" i="3" s="1"/>
  <c r="AF112" i="3"/>
  <c r="AE113" i="3" s="1"/>
  <c r="AG112" i="3"/>
  <c r="AH112" i="3" s="1"/>
  <c r="AG111" i="3"/>
  <c r="AH111" i="3" s="1"/>
  <c r="W168" i="3"/>
  <c r="X168" i="3" s="1"/>
  <c r="U169" i="3"/>
  <c r="Z168" i="3"/>
  <c r="W108" i="3"/>
  <c r="X108" i="3" s="1"/>
  <c r="U109" i="3"/>
  <c r="AO18" i="3"/>
  <c r="AJ19" i="3"/>
  <c r="AK19" i="3" s="1"/>
  <c r="AJ20" i="3" s="1"/>
  <c r="X10" i="3"/>
  <c r="V11" i="3"/>
  <c r="Y11" i="3" s="1"/>
  <c r="AF17" i="3"/>
  <c r="AE18" i="3" s="1"/>
  <c r="AK319" i="3" l="1"/>
  <c r="AO319" i="3"/>
  <c r="AK266" i="3"/>
  <c r="AN266" i="3"/>
  <c r="AO266" i="3"/>
  <c r="AK234" i="3"/>
  <c r="AN234" i="3"/>
  <c r="AO234" i="3"/>
  <c r="AJ170" i="3"/>
  <c r="AL169" i="3"/>
  <c r="AM169" i="3" s="1"/>
  <c r="AO169" i="3"/>
  <c r="AN169" i="3"/>
  <c r="AK109" i="3"/>
  <c r="AF166" i="3"/>
  <c r="AE167" i="3" s="1"/>
  <c r="AG166" i="3"/>
  <c r="AH166" i="3" s="1"/>
  <c r="AF113" i="3"/>
  <c r="AE114" i="3" s="1"/>
  <c r="V169" i="3"/>
  <c r="Z169" i="3"/>
  <c r="V109" i="3"/>
  <c r="AO19" i="3"/>
  <c r="AN19" i="3"/>
  <c r="AK20" i="3"/>
  <c r="AN20" i="3" s="1"/>
  <c r="Z11" i="3"/>
  <c r="U12" i="3"/>
  <c r="W11" i="3"/>
  <c r="X11" i="3" s="1"/>
  <c r="AF18" i="3"/>
  <c r="AE19" i="3" s="1"/>
  <c r="AL319" i="3" l="1"/>
  <c r="AM319" i="3" s="1"/>
  <c r="AJ320" i="3"/>
  <c r="AN319" i="3"/>
  <c r="AJ267" i="3"/>
  <c r="AL266" i="3"/>
  <c r="AM266" i="3" s="1"/>
  <c r="AL234" i="3"/>
  <c r="AM234" i="3" s="1"/>
  <c r="AJ235" i="3"/>
  <c r="AK170" i="3"/>
  <c r="AN170" i="3"/>
  <c r="AO170" i="3"/>
  <c r="AL109" i="3"/>
  <c r="AM109" i="3" s="1"/>
  <c r="AJ110" i="3"/>
  <c r="AO109" i="3"/>
  <c r="AN109" i="3"/>
  <c r="AF167" i="3"/>
  <c r="AE168" i="3" s="1"/>
  <c r="AG167" i="3"/>
  <c r="AH167" i="3" s="1"/>
  <c r="AF114" i="3"/>
  <c r="AE115" i="3" s="1"/>
  <c r="AG114" i="3"/>
  <c r="AH114" i="3" s="1"/>
  <c r="AG113" i="3"/>
  <c r="AH113" i="3" s="1"/>
  <c r="U170" i="3"/>
  <c r="W169" i="3"/>
  <c r="X169" i="3" s="1"/>
  <c r="Y169" i="3"/>
  <c r="W109" i="3"/>
  <c r="X109" i="3" s="1"/>
  <c r="U110" i="3"/>
  <c r="Y109" i="3"/>
  <c r="Z109" i="3"/>
  <c r="AO20" i="3"/>
  <c r="AJ21" i="3"/>
  <c r="AK21" i="3" s="1"/>
  <c r="AN21" i="3" s="1"/>
  <c r="V12" i="3"/>
  <c r="Y12" i="3" s="1"/>
  <c r="AF19" i="3"/>
  <c r="AE20" i="3" s="1"/>
  <c r="AG18" i="3"/>
  <c r="AH18" i="3" s="1"/>
  <c r="AK320" i="3" l="1"/>
  <c r="AN320" i="3"/>
  <c r="AK267" i="3"/>
  <c r="AK235" i="3"/>
  <c r="AL170" i="3"/>
  <c r="AM170" i="3" s="1"/>
  <c r="AJ171" i="3"/>
  <c r="AK110" i="3"/>
  <c r="AN110" i="3"/>
  <c r="AO110" i="3"/>
  <c r="AF168" i="3"/>
  <c r="AE169" i="3" s="1"/>
  <c r="AF115" i="3"/>
  <c r="AE116" i="3" s="1"/>
  <c r="AG115" i="3"/>
  <c r="AH115" i="3" s="1"/>
  <c r="V170" i="3"/>
  <c r="Y170" i="3"/>
  <c r="Z170" i="3"/>
  <c r="V110" i="3"/>
  <c r="Z110" i="3"/>
  <c r="Y110" i="3"/>
  <c r="AO21" i="3"/>
  <c r="AJ22" i="3"/>
  <c r="Z12" i="3"/>
  <c r="U13" i="3"/>
  <c r="W12" i="3"/>
  <c r="X12" i="3" s="1"/>
  <c r="AF20" i="3"/>
  <c r="AE21" i="3" s="1"/>
  <c r="AG19" i="3"/>
  <c r="AH19" i="3" s="1"/>
  <c r="AJ321" i="3" l="1"/>
  <c r="AL320" i="3"/>
  <c r="AM320" i="3" s="1"/>
  <c r="AO320" i="3"/>
  <c r="AL267" i="3"/>
  <c r="AM267" i="3" s="1"/>
  <c r="AJ268" i="3"/>
  <c r="AO267" i="3"/>
  <c r="AN267" i="3"/>
  <c r="AL235" i="3"/>
  <c r="AM235" i="3" s="1"/>
  <c r="AJ236" i="3"/>
  <c r="AN235" i="3"/>
  <c r="AO235" i="3"/>
  <c r="AK171" i="3"/>
  <c r="AJ111" i="3"/>
  <c r="AL110" i="3"/>
  <c r="AM110" i="3" s="1"/>
  <c r="AF169" i="3"/>
  <c r="AE170" i="3" s="1"/>
  <c r="AG168" i="3"/>
  <c r="AH168" i="3" s="1"/>
  <c r="AF116" i="3"/>
  <c r="AE117" i="3" s="1"/>
  <c r="W170" i="3"/>
  <c r="X170" i="3" s="1"/>
  <c r="U171" i="3"/>
  <c r="U111" i="3"/>
  <c r="W110" i="3"/>
  <c r="X110" i="3" s="1"/>
  <c r="AK22" i="3"/>
  <c r="AJ23" i="3" s="1"/>
  <c r="V13" i="3"/>
  <c r="Y13" i="3" s="1"/>
  <c r="AF21" i="3"/>
  <c r="AE22" i="3" s="1"/>
  <c r="AG20" i="3"/>
  <c r="AH20" i="3" s="1"/>
  <c r="AK321" i="3" l="1"/>
  <c r="AN321" i="3"/>
  <c r="AK268" i="3"/>
  <c r="AK236" i="3"/>
  <c r="AN236" i="3"/>
  <c r="AO236" i="3"/>
  <c r="AL171" i="3"/>
  <c r="AM171" i="3" s="1"/>
  <c r="AJ172" i="3"/>
  <c r="AO171" i="3"/>
  <c r="AN171" i="3"/>
  <c r="AK111" i="3"/>
  <c r="AN111" i="3"/>
  <c r="AO111" i="3"/>
  <c r="AF170" i="3"/>
  <c r="AE171" i="3" s="1"/>
  <c r="AG170" i="3"/>
  <c r="AH170" i="3" s="1"/>
  <c r="AG169" i="3"/>
  <c r="AH169" i="3" s="1"/>
  <c r="AF117" i="3"/>
  <c r="AE118" i="3" s="1"/>
  <c r="AG117" i="3"/>
  <c r="AH117" i="3" s="1"/>
  <c r="AG116" i="3"/>
  <c r="AH116" i="3" s="1"/>
  <c r="V171" i="3"/>
  <c r="V111" i="3"/>
  <c r="Y111" i="3"/>
  <c r="Z111" i="3"/>
  <c r="AN22" i="3"/>
  <c r="AO22" i="3"/>
  <c r="AK23" i="3"/>
  <c r="AJ24" i="3" s="1"/>
  <c r="Z13" i="3"/>
  <c r="U14" i="3"/>
  <c r="W13" i="3"/>
  <c r="AF22" i="3"/>
  <c r="AE23" i="3" s="1"/>
  <c r="AG21" i="3"/>
  <c r="AH21" i="3" s="1"/>
  <c r="AL321" i="3" l="1"/>
  <c r="AM321" i="3" s="1"/>
  <c r="AJ322" i="3"/>
  <c r="AO321" i="3"/>
  <c r="AJ269" i="3"/>
  <c r="AL268" i="3"/>
  <c r="AM268" i="3" s="1"/>
  <c r="AO268" i="3"/>
  <c r="AN268" i="3"/>
  <c r="AJ237" i="3"/>
  <c r="AL236" i="3"/>
  <c r="AM236" i="3" s="1"/>
  <c r="AK172" i="3"/>
  <c r="AN172" i="3"/>
  <c r="AO172" i="3"/>
  <c r="AL111" i="3"/>
  <c r="AM111" i="3" s="1"/>
  <c r="AJ112" i="3"/>
  <c r="AF171" i="3"/>
  <c r="AE172" i="3" s="1"/>
  <c r="AG171" i="3"/>
  <c r="AH171" i="3" s="1"/>
  <c r="AF118" i="3"/>
  <c r="AE119" i="3" s="1"/>
  <c r="U172" i="3"/>
  <c r="W171" i="3"/>
  <c r="X171" i="3" s="1"/>
  <c r="Z171" i="3"/>
  <c r="Y171" i="3"/>
  <c r="U112" i="3"/>
  <c r="W111" i="3"/>
  <c r="X111" i="3" s="1"/>
  <c r="AO23" i="3"/>
  <c r="AN23" i="3"/>
  <c r="AK24" i="3"/>
  <c r="AJ25" i="3" s="1"/>
  <c r="X13" i="3"/>
  <c r="V14" i="3"/>
  <c r="Y14" i="3" s="1"/>
  <c r="AF23" i="3"/>
  <c r="AE24" i="3" s="1"/>
  <c r="AG22" i="3"/>
  <c r="AH22" i="3" s="1"/>
  <c r="AK322" i="3" l="1"/>
  <c r="AK269" i="3"/>
  <c r="AN269" i="3"/>
  <c r="AO269" i="3"/>
  <c r="AK237" i="3"/>
  <c r="AN237" i="3"/>
  <c r="AO237" i="3"/>
  <c r="AJ173" i="3"/>
  <c r="AL172" i="3"/>
  <c r="AM172" i="3" s="1"/>
  <c r="AK112" i="3"/>
  <c r="AF172" i="3"/>
  <c r="AE173" i="3" s="1"/>
  <c r="AF119" i="3"/>
  <c r="AE120" i="3" s="1"/>
  <c r="AG119" i="3"/>
  <c r="AH119" i="3" s="1"/>
  <c r="AG118" i="3"/>
  <c r="AH118" i="3" s="1"/>
  <c r="V172" i="3"/>
  <c r="Y172" i="3"/>
  <c r="Z172" i="3"/>
  <c r="V112" i="3"/>
  <c r="AO24" i="3"/>
  <c r="AN24" i="3"/>
  <c r="AK25" i="3"/>
  <c r="AJ26" i="3" s="1"/>
  <c r="Z14" i="3"/>
  <c r="W14" i="3"/>
  <c r="X14" i="3" s="1"/>
  <c r="U15" i="3"/>
  <c r="AF24" i="3"/>
  <c r="AE25" i="3" s="1"/>
  <c r="AG23" i="3"/>
  <c r="AH23" i="3" s="1"/>
  <c r="AJ323" i="3" l="1"/>
  <c r="AL322" i="3"/>
  <c r="AM322" i="3" s="1"/>
  <c r="AO322" i="3"/>
  <c r="AN322" i="3"/>
  <c r="AL269" i="3"/>
  <c r="AM269" i="3" s="1"/>
  <c r="AJ270" i="3"/>
  <c r="AJ238" i="3"/>
  <c r="AL237" i="3"/>
  <c r="AM237" i="3" s="1"/>
  <c r="AK173" i="3"/>
  <c r="AO173" i="3"/>
  <c r="AJ113" i="3"/>
  <c r="AL112" i="3"/>
  <c r="AM112" i="3" s="1"/>
  <c r="AO112" i="3"/>
  <c r="AN112" i="3"/>
  <c r="AF173" i="3"/>
  <c r="AE174" i="3" s="1"/>
  <c r="AG172" i="3"/>
  <c r="AH172" i="3" s="1"/>
  <c r="AF120" i="3"/>
  <c r="AE121" i="3" s="1"/>
  <c r="AG120" i="3"/>
  <c r="AH120" i="3" s="1"/>
  <c r="W172" i="3"/>
  <c r="X172" i="3" s="1"/>
  <c r="U173" i="3"/>
  <c r="U113" i="3"/>
  <c r="W112" i="3"/>
  <c r="X112" i="3" s="1"/>
  <c r="Z112" i="3"/>
  <c r="Y112" i="3"/>
  <c r="AO25" i="3"/>
  <c r="AN25" i="3"/>
  <c r="AK26" i="3"/>
  <c r="AJ27" i="3" s="1"/>
  <c r="V15" i="3"/>
  <c r="Y15" i="3" s="1"/>
  <c r="AF25" i="3"/>
  <c r="AE26" i="3" s="1"/>
  <c r="AG24" i="3"/>
  <c r="AH24" i="3" s="1"/>
  <c r="AK323" i="3" l="1"/>
  <c r="AN323" i="3"/>
  <c r="AO323" i="3"/>
  <c r="AN270" i="3"/>
  <c r="AK270" i="3"/>
  <c r="AK238" i="3"/>
  <c r="AJ174" i="3"/>
  <c r="AL173" i="3"/>
  <c r="AM173" i="3" s="1"/>
  <c r="AN173" i="3"/>
  <c r="AK113" i="3"/>
  <c r="AN113" i="3"/>
  <c r="AF174" i="3"/>
  <c r="AE175" i="3" s="1"/>
  <c r="AG174" i="3"/>
  <c r="AH174" i="3" s="1"/>
  <c r="AG173" i="3"/>
  <c r="AH173" i="3" s="1"/>
  <c r="AF121" i="3"/>
  <c r="AE122" i="3" s="1"/>
  <c r="V173" i="3"/>
  <c r="V113" i="3"/>
  <c r="Y113" i="3"/>
  <c r="Z113" i="3"/>
  <c r="AN26" i="3"/>
  <c r="AO26" i="3"/>
  <c r="AK27" i="3"/>
  <c r="AJ28" i="3" s="1"/>
  <c r="Z15" i="3"/>
  <c r="W15" i="3"/>
  <c r="X15" i="3" s="1"/>
  <c r="U16" i="3"/>
  <c r="AF26" i="3"/>
  <c r="AE27" i="3" s="1"/>
  <c r="AG25" i="3"/>
  <c r="AH25" i="3" s="1"/>
  <c r="AL323" i="3" l="1"/>
  <c r="AM323" i="3" s="1"/>
  <c r="AJ324" i="3"/>
  <c r="AJ271" i="3"/>
  <c r="AL270" i="3"/>
  <c r="AM270" i="3" s="1"/>
  <c r="AO270" i="3"/>
  <c r="AL238" i="3"/>
  <c r="AM238" i="3" s="1"/>
  <c r="AJ239" i="3"/>
  <c r="AO238" i="3"/>
  <c r="AN238" i="3"/>
  <c r="AO174" i="3"/>
  <c r="AK174" i="3"/>
  <c r="AJ114" i="3"/>
  <c r="AL113" i="3"/>
  <c r="AM113" i="3" s="1"/>
  <c r="AO113" i="3"/>
  <c r="AF175" i="3"/>
  <c r="AE176" i="3" s="1"/>
  <c r="AF122" i="3"/>
  <c r="AE123" i="3" s="1"/>
  <c r="AG122" i="3"/>
  <c r="AH122" i="3" s="1"/>
  <c r="AG121" i="3"/>
  <c r="AH121" i="3" s="1"/>
  <c r="W173" i="3"/>
  <c r="X173" i="3" s="1"/>
  <c r="U174" i="3"/>
  <c r="Z173" i="3"/>
  <c r="Y173" i="3"/>
  <c r="W113" i="3"/>
  <c r="X113" i="3" s="1"/>
  <c r="U114" i="3"/>
  <c r="AO27" i="3"/>
  <c r="AN27" i="3"/>
  <c r="AK28" i="3"/>
  <c r="AJ29" i="3" s="1"/>
  <c r="V16" i="3"/>
  <c r="Y16" i="3" s="1"/>
  <c r="AF27" i="3"/>
  <c r="AE28" i="3" s="1"/>
  <c r="AG26" i="3"/>
  <c r="AH26" i="3" s="1"/>
  <c r="AK324" i="3" l="1"/>
  <c r="AK271" i="3"/>
  <c r="AN271" i="3"/>
  <c r="AO271" i="3"/>
  <c r="AK239" i="3"/>
  <c r="AN239" i="3"/>
  <c r="AO239" i="3"/>
  <c r="AJ175" i="3"/>
  <c r="AL174" i="3"/>
  <c r="AM174" i="3" s="1"/>
  <c r="AN174" i="3"/>
  <c r="AK114" i="3"/>
  <c r="AF176" i="3"/>
  <c r="AE177" i="3" s="1"/>
  <c r="AG175" i="3"/>
  <c r="AH175" i="3" s="1"/>
  <c r="AF123" i="3"/>
  <c r="AE124" i="3" s="1"/>
  <c r="V174" i="3"/>
  <c r="V114" i="3"/>
  <c r="AN28" i="3"/>
  <c r="AO28" i="3"/>
  <c r="AK29" i="3"/>
  <c r="AJ30" i="3" s="1"/>
  <c r="Z16" i="3"/>
  <c r="U17" i="3"/>
  <c r="W16" i="3"/>
  <c r="X16" i="3" s="1"/>
  <c r="AF28" i="3"/>
  <c r="AE29" i="3" s="1"/>
  <c r="AG27" i="3"/>
  <c r="AH27" i="3" s="1"/>
  <c r="AL324" i="3" l="1"/>
  <c r="AM324" i="3" s="1"/>
  <c r="AJ325" i="3"/>
  <c r="AO324" i="3"/>
  <c r="AN324" i="3"/>
  <c r="AL271" i="3"/>
  <c r="AM271" i="3" s="1"/>
  <c r="AJ272" i="3"/>
  <c r="AL239" i="3"/>
  <c r="AM239" i="3" s="1"/>
  <c r="AJ240" i="3"/>
  <c r="AK175" i="3"/>
  <c r="AN175" i="3"/>
  <c r="AO175" i="3"/>
  <c r="AL114" i="3"/>
  <c r="AM114" i="3" s="1"/>
  <c r="AJ115" i="3"/>
  <c r="AO114" i="3"/>
  <c r="AN114" i="3"/>
  <c r="AG176" i="3"/>
  <c r="AH176" i="3" s="1"/>
  <c r="AF177" i="3"/>
  <c r="AE178" i="3" s="1"/>
  <c r="AG177" i="3"/>
  <c r="AH177" i="3" s="1"/>
  <c r="AF124" i="3"/>
  <c r="AE125" i="3" s="1"/>
  <c r="AG124" i="3"/>
  <c r="AH124" i="3" s="1"/>
  <c r="AG123" i="3"/>
  <c r="AH123" i="3" s="1"/>
  <c r="W174" i="3"/>
  <c r="X174" i="3" s="1"/>
  <c r="U175" i="3"/>
  <c r="Z174" i="3"/>
  <c r="Y174" i="3"/>
  <c r="W114" i="3"/>
  <c r="X114" i="3" s="1"/>
  <c r="U115" i="3"/>
  <c r="Z114" i="3"/>
  <c r="Y114" i="3"/>
  <c r="AN29" i="3"/>
  <c r="AO29" i="3"/>
  <c r="AK30" i="3"/>
  <c r="AJ31" i="3" s="1"/>
  <c r="V17" i="3"/>
  <c r="Y17" i="3" s="1"/>
  <c r="AF29" i="3"/>
  <c r="AE30" i="3" s="1"/>
  <c r="AG28" i="3"/>
  <c r="AH28" i="3" s="1"/>
  <c r="AK325" i="3" l="1"/>
  <c r="AN325" i="3"/>
  <c r="AO325" i="3"/>
  <c r="AK272" i="3"/>
  <c r="AK240" i="3"/>
  <c r="AL175" i="3"/>
  <c r="AM175" i="3" s="1"/>
  <c r="AJ176" i="3"/>
  <c r="AK115" i="3"/>
  <c r="AN115" i="3"/>
  <c r="AO115" i="3"/>
  <c r="AF178" i="3"/>
  <c r="AE179" i="3" s="1"/>
  <c r="AF125" i="3"/>
  <c r="AE126" i="3" s="1"/>
  <c r="Y175" i="3"/>
  <c r="V175" i="3"/>
  <c r="V115" i="3"/>
  <c r="Y115" i="3"/>
  <c r="Z115" i="3"/>
  <c r="AN30" i="3"/>
  <c r="AO30" i="3"/>
  <c r="AK31" i="3"/>
  <c r="AJ32" i="3" s="1"/>
  <c r="Z17" i="3"/>
  <c r="W17" i="3"/>
  <c r="X17" i="3" s="1"/>
  <c r="U18" i="3"/>
  <c r="AF30" i="3"/>
  <c r="AE31" i="3" s="1"/>
  <c r="AG29" i="3"/>
  <c r="AH29" i="3" s="1"/>
  <c r="AJ326" i="3" l="1"/>
  <c r="AL325" i="3"/>
  <c r="AM325" i="3" s="1"/>
  <c r="AL272" i="3"/>
  <c r="AM272" i="3" s="1"/>
  <c r="AJ273" i="3"/>
  <c r="AO272" i="3"/>
  <c r="AN272" i="3"/>
  <c r="AL240" i="3"/>
  <c r="AM240" i="3" s="1"/>
  <c r="AJ241" i="3"/>
  <c r="AN240" i="3"/>
  <c r="AO240" i="3"/>
  <c r="AK176" i="3"/>
  <c r="AJ116" i="3"/>
  <c r="AL115" i="3"/>
  <c r="AM115" i="3" s="1"/>
  <c r="AF179" i="3"/>
  <c r="AE180" i="3" s="1"/>
  <c r="AG179" i="3"/>
  <c r="AH179" i="3" s="1"/>
  <c r="AG178" i="3"/>
  <c r="AH178" i="3" s="1"/>
  <c r="AF126" i="3"/>
  <c r="AE127" i="3" s="1"/>
  <c r="AG125" i="3"/>
  <c r="AH125" i="3" s="1"/>
  <c r="W175" i="3"/>
  <c r="X175" i="3" s="1"/>
  <c r="U176" i="3"/>
  <c r="Z175" i="3"/>
  <c r="U116" i="3"/>
  <c r="W115" i="3"/>
  <c r="X115" i="3" s="1"/>
  <c r="AO31" i="3"/>
  <c r="AN31" i="3"/>
  <c r="AK32" i="3"/>
  <c r="AJ33" i="3" s="1"/>
  <c r="V18" i="3"/>
  <c r="Y18" i="3" s="1"/>
  <c r="AF31" i="3"/>
  <c r="AE32" i="3" s="1"/>
  <c r="AG30" i="3"/>
  <c r="AH30" i="3" s="1"/>
  <c r="AK326" i="3" l="1"/>
  <c r="AN326" i="3"/>
  <c r="AO326" i="3"/>
  <c r="AK273" i="3"/>
  <c r="AN273" i="3"/>
  <c r="AO273" i="3"/>
  <c r="AK241" i="3"/>
  <c r="AO241" i="3"/>
  <c r="AN241" i="3"/>
  <c r="AL176" i="3"/>
  <c r="AM176" i="3" s="1"/>
  <c r="AJ177" i="3"/>
  <c r="AO176" i="3"/>
  <c r="AN176" i="3"/>
  <c r="AK116" i="3"/>
  <c r="AN116" i="3"/>
  <c r="AO116" i="3"/>
  <c r="AF180" i="3"/>
  <c r="AE181" i="3" s="1"/>
  <c r="AG180" i="3"/>
  <c r="AH180" i="3" s="1"/>
  <c r="AF127" i="3"/>
  <c r="AE128" i="3" s="1"/>
  <c r="AG127" i="3"/>
  <c r="AH127" i="3" s="1"/>
  <c r="AG126" i="3"/>
  <c r="AH126" i="3" s="1"/>
  <c r="V176" i="3"/>
  <c r="Y176" i="3"/>
  <c r="Z176" i="3"/>
  <c r="V116" i="3"/>
  <c r="Z116" i="3"/>
  <c r="Y116" i="3"/>
  <c r="AO32" i="3"/>
  <c r="AN32" i="3"/>
  <c r="AK33" i="3"/>
  <c r="AJ34" i="3" s="1"/>
  <c r="Z18" i="3"/>
  <c r="U19" i="3"/>
  <c r="W18" i="3"/>
  <c r="X18" i="3" s="1"/>
  <c r="AF32" i="3"/>
  <c r="AE33" i="3" s="1"/>
  <c r="AG31" i="3"/>
  <c r="AH31" i="3" s="1"/>
  <c r="AL326" i="3" l="1"/>
  <c r="AM326" i="3" s="1"/>
  <c r="AJ327" i="3"/>
  <c r="AJ274" i="3"/>
  <c r="AL273" i="3"/>
  <c r="AM273" i="3" s="1"/>
  <c r="AJ242" i="3"/>
  <c r="AL241" i="3"/>
  <c r="AM241" i="3" s="1"/>
  <c r="AK177" i="3"/>
  <c r="AO177" i="3"/>
  <c r="AN177" i="3"/>
  <c r="AL116" i="3"/>
  <c r="AM116" i="3" s="1"/>
  <c r="AJ117" i="3"/>
  <c r="AF181" i="3"/>
  <c r="AE182" i="3" s="1"/>
  <c r="AG181" i="3"/>
  <c r="AH181" i="3" s="1"/>
  <c r="AF128" i="3"/>
  <c r="AE129" i="3" s="1"/>
  <c r="U177" i="3"/>
  <c r="W176" i="3"/>
  <c r="X176" i="3" s="1"/>
  <c r="W116" i="3"/>
  <c r="X116" i="3" s="1"/>
  <c r="U117" i="3"/>
  <c r="AN33" i="3"/>
  <c r="AO33" i="3"/>
  <c r="AK34" i="3"/>
  <c r="AJ35" i="3" s="1"/>
  <c r="V19" i="3"/>
  <c r="Y19" i="3" s="1"/>
  <c r="AF33" i="3"/>
  <c r="AE34" i="3" s="1"/>
  <c r="AG32" i="3"/>
  <c r="AH32" i="3" s="1"/>
  <c r="AK327" i="3" l="1"/>
  <c r="AO327" i="3"/>
  <c r="AK274" i="3"/>
  <c r="AN274" i="3"/>
  <c r="AO274" i="3"/>
  <c r="AK242" i="3"/>
  <c r="AN242" i="3"/>
  <c r="AO242" i="3"/>
  <c r="AJ178" i="3"/>
  <c r="AL177" i="3"/>
  <c r="AM177" i="3" s="1"/>
  <c r="AK117" i="3"/>
  <c r="AF182" i="3"/>
  <c r="AE183" i="3" s="1"/>
  <c r="AG182" i="3"/>
  <c r="AH182" i="3" s="1"/>
  <c r="AF129" i="3"/>
  <c r="AE130" i="3" s="1"/>
  <c r="AG129" i="3"/>
  <c r="AH129" i="3" s="1"/>
  <c r="AG128" i="3"/>
  <c r="AH128" i="3" s="1"/>
  <c r="V177" i="3"/>
  <c r="Y177" i="3"/>
  <c r="Z177" i="3"/>
  <c r="V117" i="3"/>
  <c r="AO34" i="3"/>
  <c r="AN34" i="3"/>
  <c r="AK35" i="3"/>
  <c r="AJ36" i="3" s="1"/>
  <c r="Z19" i="3"/>
  <c r="W19" i="3"/>
  <c r="X19" i="3" s="1"/>
  <c r="U20" i="3"/>
  <c r="AF34" i="3"/>
  <c r="AE35" i="3" s="1"/>
  <c r="AG33" i="3"/>
  <c r="AH33" i="3" s="1"/>
  <c r="AJ328" i="3" l="1"/>
  <c r="AL327" i="3"/>
  <c r="AM327" i="3" s="1"/>
  <c r="AN327" i="3"/>
  <c r="AL274" i="3"/>
  <c r="AM274" i="3" s="1"/>
  <c r="AJ275" i="3"/>
  <c r="AJ243" i="3"/>
  <c r="AL242" i="3"/>
  <c r="AM242" i="3" s="1"/>
  <c r="AK178" i="3"/>
  <c r="AN178" i="3"/>
  <c r="AO178" i="3"/>
  <c r="AJ118" i="3"/>
  <c r="AL117" i="3"/>
  <c r="AM117" i="3" s="1"/>
  <c r="AO117" i="3"/>
  <c r="AN117" i="3"/>
  <c r="AF183" i="3"/>
  <c r="AE184" i="3" s="1"/>
  <c r="AF130" i="3"/>
  <c r="AE131" i="3" s="1"/>
  <c r="W177" i="3"/>
  <c r="X177" i="3" s="1"/>
  <c r="U178" i="3"/>
  <c r="U118" i="3"/>
  <c r="W117" i="3"/>
  <c r="X117" i="3" s="1"/>
  <c r="Z117" i="3"/>
  <c r="Y117" i="3"/>
  <c r="AO35" i="3"/>
  <c r="AN35" i="3"/>
  <c r="AK36" i="3"/>
  <c r="AJ37" i="3" s="1"/>
  <c r="V20" i="3"/>
  <c r="Y20" i="3" s="1"/>
  <c r="AF35" i="3"/>
  <c r="AE36" i="3" s="1"/>
  <c r="AG34" i="3"/>
  <c r="AH34" i="3" s="1"/>
  <c r="AK328" i="3" l="1"/>
  <c r="AN328" i="3"/>
  <c r="AO328" i="3"/>
  <c r="AK275" i="3"/>
  <c r="AK243" i="3"/>
  <c r="AL178" i="3"/>
  <c r="AM178" i="3" s="1"/>
  <c r="AJ179" i="3"/>
  <c r="AK118" i="3"/>
  <c r="AN118" i="3"/>
  <c r="AF184" i="3"/>
  <c r="AE185" i="3" s="1"/>
  <c r="AG183" i="3"/>
  <c r="AH183" i="3" s="1"/>
  <c r="AG130" i="3"/>
  <c r="AH130" i="3" s="1"/>
  <c r="AG131" i="3"/>
  <c r="AH131" i="3" s="1"/>
  <c r="AF131" i="3"/>
  <c r="AE132" i="3" s="1"/>
  <c r="V178" i="3"/>
  <c r="V118" i="3"/>
  <c r="Y118" i="3"/>
  <c r="Z118" i="3"/>
  <c r="AO36" i="3"/>
  <c r="AN36" i="3"/>
  <c r="AK37" i="3"/>
  <c r="AJ38" i="3" s="1"/>
  <c r="Z20" i="3"/>
  <c r="W20" i="3"/>
  <c r="X20" i="3" s="1"/>
  <c r="U21" i="3"/>
  <c r="AF36" i="3"/>
  <c r="AE37" i="3" s="1"/>
  <c r="AG35" i="3"/>
  <c r="AH35" i="3" s="1"/>
  <c r="AL328" i="3" l="1"/>
  <c r="AM328" i="3" s="1"/>
  <c r="AJ329" i="3"/>
  <c r="AJ276" i="3"/>
  <c r="AL275" i="3"/>
  <c r="AM275" i="3" s="1"/>
  <c r="AO275" i="3"/>
  <c r="AN275" i="3"/>
  <c r="AL243" i="3"/>
  <c r="AM243" i="3" s="1"/>
  <c r="AJ244" i="3"/>
  <c r="AO243" i="3"/>
  <c r="AN243" i="3"/>
  <c r="AK179" i="3"/>
  <c r="AO179" i="3" s="1"/>
  <c r="AL118" i="3"/>
  <c r="AM118" i="3" s="1"/>
  <c r="AJ119" i="3"/>
  <c r="AO118" i="3"/>
  <c r="AG184" i="3"/>
  <c r="AH184" i="3" s="1"/>
  <c r="AF185" i="3"/>
  <c r="AE186" i="3" s="1"/>
  <c r="AG185" i="3"/>
  <c r="AH185" i="3" s="1"/>
  <c r="AF132" i="3"/>
  <c r="AE133" i="3" s="1"/>
  <c r="AG132" i="3"/>
  <c r="AH132" i="3" s="1"/>
  <c r="W178" i="3"/>
  <c r="X178" i="3" s="1"/>
  <c r="U179" i="3"/>
  <c r="Z178" i="3"/>
  <c r="Y178" i="3"/>
  <c r="W118" i="3"/>
  <c r="X118" i="3" s="1"/>
  <c r="U119" i="3"/>
  <c r="AN37" i="3"/>
  <c r="AO37" i="3"/>
  <c r="AK38" i="3"/>
  <c r="AJ39" i="3" s="1"/>
  <c r="V21" i="3"/>
  <c r="Y21" i="3" s="1"/>
  <c r="AF37" i="3"/>
  <c r="AE38" i="3" s="1"/>
  <c r="AG36" i="3"/>
  <c r="AH36" i="3" s="1"/>
  <c r="AK329" i="3" l="1"/>
  <c r="AO329" i="3" s="1"/>
  <c r="AK276" i="3"/>
  <c r="AN276" i="3"/>
  <c r="AO276" i="3"/>
  <c r="AK244" i="3"/>
  <c r="AN244" i="3" s="1"/>
  <c r="AO244" i="3"/>
  <c r="AJ180" i="3"/>
  <c r="AL179" i="3"/>
  <c r="AM179" i="3" s="1"/>
  <c r="AN179" i="3"/>
  <c r="AN119" i="3"/>
  <c r="AK119" i="3"/>
  <c r="AF186" i="3"/>
  <c r="AE187" i="3" s="1"/>
  <c r="AG186" i="3"/>
  <c r="AH186" i="3" s="1"/>
  <c r="AF133" i="3"/>
  <c r="AE134" i="3" s="1"/>
  <c r="V179" i="3"/>
  <c r="V119" i="3"/>
  <c r="AN38" i="3"/>
  <c r="AO38" i="3"/>
  <c r="AK39" i="3"/>
  <c r="AJ40" i="3" s="1"/>
  <c r="Z21" i="3"/>
  <c r="W21" i="3"/>
  <c r="X21" i="3" s="1"/>
  <c r="U22" i="3"/>
  <c r="AF38" i="3"/>
  <c r="AE39" i="3" s="1"/>
  <c r="AG37" i="3"/>
  <c r="AH37" i="3" s="1"/>
  <c r="AL329" i="3" l="1"/>
  <c r="AM329" i="3" s="1"/>
  <c r="AJ330" i="3"/>
  <c r="AN329" i="3"/>
  <c r="AL276" i="3"/>
  <c r="AM276" i="3" s="1"/>
  <c r="AJ277" i="3"/>
  <c r="AL244" i="3"/>
  <c r="AM244" i="3" s="1"/>
  <c r="AJ245" i="3"/>
  <c r="AK180" i="3"/>
  <c r="AN180" i="3"/>
  <c r="AO180" i="3"/>
  <c r="AL119" i="3"/>
  <c r="AM119" i="3" s="1"/>
  <c r="AJ120" i="3"/>
  <c r="AO119" i="3"/>
  <c r="AF187" i="3"/>
  <c r="AE188" i="3" s="1"/>
  <c r="AG187" i="3"/>
  <c r="AH187" i="3" s="1"/>
  <c r="AF134" i="3"/>
  <c r="AE135" i="3" s="1"/>
  <c r="AG134" i="3"/>
  <c r="AH134" i="3" s="1"/>
  <c r="AG133" i="3"/>
  <c r="AH133" i="3" s="1"/>
  <c r="U180" i="3"/>
  <c r="W179" i="3"/>
  <c r="X179" i="3" s="1"/>
  <c r="Z179" i="3"/>
  <c r="Y179" i="3"/>
  <c r="W119" i="3"/>
  <c r="X119" i="3" s="1"/>
  <c r="U120" i="3"/>
  <c r="Z119" i="3"/>
  <c r="Y119" i="3"/>
  <c r="AN39" i="3"/>
  <c r="AO39" i="3"/>
  <c r="AK40" i="3"/>
  <c r="AJ41" i="3" s="1"/>
  <c r="V22" i="3"/>
  <c r="Y22" i="3" s="1"/>
  <c r="AF39" i="3"/>
  <c r="AE40" i="3" s="1"/>
  <c r="AG38" i="3"/>
  <c r="AH38" i="3" s="1"/>
  <c r="AO330" i="3" l="1"/>
  <c r="AK330" i="3"/>
  <c r="AK277" i="3"/>
  <c r="AO245" i="3"/>
  <c r="AK245" i="3"/>
  <c r="AL180" i="3"/>
  <c r="AM180" i="3" s="1"/>
  <c r="AJ181" i="3"/>
  <c r="AK120" i="3"/>
  <c r="AF188" i="3"/>
  <c r="AE189" i="3" s="1"/>
  <c r="AF135" i="3"/>
  <c r="AE136" i="3" s="1"/>
  <c r="V180" i="3"/>
  <c r="V120" i="3"/>
  <c r="Y120" i="3"/>
  <c r="Z120" i="3"/>
  <c r="AO40" i="3"/>
  <c r="AN40" i="3"/>
  <c r="AK41" i="3"/>
  <c r="AJ42" i="3" s="1"/>
  <c r="Z22" i="3"/>
  <c r="U23" i="3"/>
  <c r="W22" i="3"/>
  <c r="X22" i="3" s="1"/>
  <c r="AG39" i="3"/>
  <c r="AH39" i="3" s="1"/>
  <c r="AF40" i="3"/>
  <c r="AE41" i="3" s="1"/>
  <c r="AJ331" i="3" l="1"/>
  <c r="AL330" i="3"/>
  <c r="AM330" i="3" s="1"/>
  <c r="AN330" i="3"/>
  <c r="AL277" i="3"/>
  <c r="AM277" i="3" s="1"/>
  <c r="AJ278" i="3"/>
  <c r="AO277" i="3"/>
  <c r="AN277" i="3"/>
  <c r="AL245" i="3"/>
  <c r="AM245" i="3" s="1"/>
  <c r="AJ246" i="3"/>
  <c r="AN245" i="3"/>
  <c r="AK181" i="3"/>
  <c r="AJ121" i="3"/>
  <c r="AL120" i="3"/>
  <c r="AM120" i="3" s="1"/>
  <c r="AO120" i="3"/>
  <c r="AN120" i="3"/>
  <c r="AF189" i="3"/>
  <c r="AE190" i="3" s="1"/>
  <c r="AG188" i="3"/>
  <c r="AH188" i="3" s="1"/>
  <c r="AF136" i="3"/>
  <c r="AE137" i="3" s="1"/>
  <c r="AG135" i="3"/>
  <c r="AH135" i="3" s="1"/>
  <c r="W180" i="3"/>
  <c r="X180" i="3" s="1"/>
  <c r="U181" i="3"/>
  <c r="Z180" i="3"/>
  <c r="Y180" i="3"/>
  <c r="U121" i="3"/>
  <c r="W120" i="3"/>
  <c r="X120" i="3" s="1"/>
  <c r="AN41" i="3"/>
  <c r="AO41" i="3"/>
  <c r="AK42" i="3"/>
  <c r="AJ43" i="3" s="1"/>
  <c r="V23" i="3"/>
  <c r="Y23" i="3" s="1"/>
  <c r="AF41" i="3"/>
  <c r="AE42" i="3" s="1"/>
  <c r="AG40" i="3"/>
  <c r="AH40" i="3" s="1"/>
  <c r="AK331" i="3" l="1"/>
  <c r="AN331" i="3"/>
  <c r="AK278" i="3"/>
  <c r="AK246" i="3"/>
  <c r="AN246" i="3"/>
  <c r="AO246" i="3"/>
  <c r="AL181" i="3"/>
  <c r="AM181" i="3" s="1"/>
  <c r="AJ182" i="3"/>
  <c r="AO181" i="3"/>
  <c r="AN181" i="3"/>
  <c r="AK121" i="3"/>
  <c r="AN121" i="3"/>
  <c r="AO121" i="3"/>
  <c r="AF190" i="3"/>
  <c r="AE191" i="3" s="1"/>
  <c r="AG190" i="3"/>
  <c r="AH190" i="3" s="1"/>
  <c r="AG189" i="3"/>
  <c r="AH189" i="3" s="1"/>
  <c r="AF137" i="3"/>
  <c r="AE138" i="3" s="1"/>
  <c r="AG137" i="3"/>
  <c r="AH137" i="3" s="1"/>
  <c r="AG136" i="3"/>
  <c r="AH136" i="3" s="1"/>
  <c r="V181" i="3"/>
  <c r="Z181" i="3"/>
  <c r="Y181" i="3"/>
  <c r="V121" i="3"/>
  <c r="Z121" i="3"/>
  <c r="Y121" i="3"/>
  <c r="AO42" i="3"/>
  <c r="AN42" i="3"/>
  <c r="AK43" i="3"/>
  <c r="AO43" i="3" s="1"/>
  <c r="Z23" i="3"/>
  <c r="U24" i="3"/>
  <c r="W23" i="3"/>
  <c r="X23" i="3" s="1"/>
  <c r="AF42" i="3"/>
  <c r="AG41" i="3"/>
  <c r="AH41" i="3" s="1"/>
  <c r="AL331" i="3" l="1"/>
  <c r="AM331" i="3" s="1"/>
  <c r="AJ332" i="3"/>
  <c r="AO331" i="3"/>
  <c r="AJ279" i="3"/>
  <c r="AL278" i="3"/>
  <c r="AM278" i="3" s="1"/>
  <c r="AO278" i="3"/>
  <c r="AN278" i="3"/>
  <c r="AJ247" i="3"/>
  <c r="AL246" i="3"/>
  <c r="AM246" i="3" s="1"/>
  <c r="AK182" i="3"/>
  <c r="AN182" i="3"/>
  <c r="AO182" i="3"/>
  <c r="AL121" i="3"/>
  <c r="AM121" i="3" s="1"/>
  <c r="AJ122" i="3"/>
  <c r="AF191" i="3"/>
  <c r="AE192" i="3" s="1"/>
  <c r="AG191" i="3"/>
  <c r="AH191" i="3" s="1"/>
  <c r="AF138" i="3"/>
  <c r="AE139" i="3" s="1"/>
  <c r="U182" i="3"/>
  <c r="W181" i="3"/>
  <c r="X181" i="3" s="1"/>
  <c r="W121" i="3"/>
  <c r="X121" i="3" s="1"/>
  <c r="U122" i="3"/>
  <c r="AN43" i="3"/>
  <c r="AL43" i="3"/>
  <c r="AM43" i="3" s="1"/>
  <c r="AJ44" i="3"/>
  <c r="V24" i="3"/>
  <c r="Y24" i="3" s="1"/>
  <c r="AG42" i="3"/>
  <c r="AH42" i="3" s="1"/>
  <c r="AE43" i="3"/>
  <c r="K2" i="10" a="1"/>
  <c r="K2" i="10" s="1"/>
  <c r="AK332" i="3" l="1"/>
  <c r="AK279" i="3"/>
  <c r="AN279" i="3"/>
  <c r="AO279" i="3"/>
  <c r="AK247" i="3"/>
  <c r="AN247" i="3"/>
  <c r="AO247" i="3"/>
  <c r="AJ183" i="3"/>
  <c r="AL182" i="3"/>
  <c r="AM182" i="3" s="1"/>
  <c r="AK122" i="3"/>
  <c r="AF192" i="3"/>
  <c r="AE193" i="3" s="1"/>
  <c r="AF139" i="3"/>
  <c r="AE140" i="3" s="1"/>
  <c r="AG139" i="3"/>
  <c r="AH139" i="3" s="1"/>
  <c r="AG138" i="3"/>
  <c r="AH138" i="3" s="1"/>
  <c r="V182" i="3"/>
  <c r="Y182" i="3"/>
  <c r="Z182" i="3"/>
  <c r="V122" i="3"/>
  <c r="AK44" i="3"/>
  <c r="AO44" i="3" s="1"/>
  <c r="Z24" i="3"/>
  <c r="U25" i="3"/>
  <c r="W24" i="3"/>
  <c r="X24" i="3" s="1"/>
  <c r="AF43" i="3"/>
  <c r="AE4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H8" i="3"/>
  <c r="AJ333" i="3" l="1"/>
  <c r="AL332" i="3"/>
  <c r="AM332" i="3" s="1"/>
  <c r="AO332" i="3"/>
  <c r="AN332" i="3"/>
  <c r="AL279" i="3"/>
  <c r="AM279" i="3" s="1"/>
  <c r="AJ280" i="3"/>
  <c r="AJ248" i="3"/>
  <c r="AL247" i="3"/>
  <c r="AM247" i="3" s="1"/>
  <c r="AK183" i="3"/>
  <c r="AN183" i="3"/>
  <c r="AO183" i="3"/>
  <c r="AJ123" i="3"/>
  <c r="AL122" i="3"/>
  <c r="AM122" i="3" s="1"/>
  <c r="AO122" i="3"/>
  <c r="AN122" i="3"/>
  <c r="AF193" i="3"/>
  <c r="AE194" i="3" s="1"/>
  <c r="AG192" i="3"/>
  <c r="AH192" i="3" s="1"/>
  <c r="AF140" i="3"/>
  <c r="AE141" i="3" s="1"/>
  <c r="W182" i="3"/>
  <c r="X182" i="3" s="1"/>
  <c r="U183" i="3"/>
  <c r="U123" i="3"/>
  <c r="W122" i="3"/>
  <c r="X122" i="3" s="1"/>
  <c r="Z122" i="3"/>
  <c r="Y122" i="3"/>
  <c r="AN44" i="3"/>
  <c r="AJ45" i="3"/>
  <c r="AL44" i="3"/>
  <c r="AM44" i="3" s="1"/>
  <c r="AG43" i="3"/>
  <c r="AH43" i="3" s="1"/>
  <c r="V25" i="3"/>
  <c r="Y25" i="3" s="1"/>
  <c r="AF44" i="3"/>
  <c r="AE45" i="3" s="1"/>
  <c r="AX8" i="3" a="1"/>
  <c r="AX8" i="3" s="1"/>
  <c r="BA8" i="3" a="1"/>
  <c r="BG8" i="3" a="1"/>
  <c r="BG8" i="3" s="1"/>
  <c r="BJ8" i="3" a="1"/>
  <c r="BJ8" i="3" s="1"/>
  <c r="AM7" i="3"/>
  <c r="AL8" i="3"/>
  <c r="AM8" i="3" s="1"/>
  <c r="AL9" i="3"/>
  <c r="AM9" i="3" s="1"/>
  <c r="AL10" i="3"/>
  <c r="AL11" i="3"/>
  <c r="AM11" i="3" s="1"/>
  <c r="AL12" i="3"/>
  <c r="AM12" i="3" s="1"/>
  <c r="AL13" i="3"/>
  <c r="AM13" i="3" s="1"/>
  <c r="AL14" i="3"/>
  <c r="AM14" i="3" s="1"/>
  <c r="AL15" i="3"/>
  <c r="AM15" i="3" s="1"/>
  <c r="AL16" i="3"/>
  <c r="AM16" i="3" s="1"/>
  <c r="AL17" i="3"/>
  <c r="AM17" i="3" s="1"/>
  <c r="AL18" i="3"/>
  <c r="AM18" i="3" s="1"/>
  <c r="AL19" i="3"/>
  <c r="AM19" i="3" s="1"/>
  <c r="AL20" i="3"/>
  <c r="AM20" i="3" s="1"/>
  <c r="AL21" i="3"/>
  <c r="AM21" i="3" s="1"/>
  <c r="AL22" i="3"/>
  <c r="AM22" i="3" s="1"/>
  <c r="AL23" i="3"/>
  <c r="AM23" i="3" s="1"/>
  <c r="AL24" i="3"/>
  <c r="AM24" i="3" s="1"/>
  <c r="AL25" i="3"/>
  <c r="AM25" i="3" s="1"/>
  <c r="AL26" i="3"/>
  <c r="AM26" i="3" s="1"/>
  <c r="AL27" i="3"/>
  <c r="AM27" i="3" s="1"/>
  <c r="AL28" i="3"/>
  <c r="AM28" i="3" s="1"/>
  <c r="AL29" i="3"/>
  <c r="AM29" i="3" s="1"/>
  <c r="AL30" i="3"/>
  <c r="AM30" i="3" s="1"/>
  <c r="AL31" i="3"/>
  <c r="AM31" i="3" s="1"/>
  <c r="AL32" i="3"/>
  <c r="AM32" i="3" s="1"/>
  <c r="AL33" i="3"/>
  <c r="AM33" i="3" s="1"/>
  <c r="AL34" i="3"/>
  <c r="AM34" i="3" s="1"/>
  <c r="AL35" i="3"/>
  <c r="AM35" i="3" s="1"/>
  <c r="AL36" i="3"/>
  <c r="AM36" i="3" s="1"/>
  <c r="AL37" i="3"/>
  <c r="AM37" i="3" s="1"/>
  <c r="AL38" i="3"/>
  <c r="AM38" i="3" s="1"/>
  <c r="AL39" i="3"/>
  <c r="AM39" i="3" s="1"/>
  <c r="AL40" i="3"/>
  <c r="AM40" i="3" s="1"/>
  <c r="AL41" i="3"/>
  <c r="AM41" i="3" s="1"/>
  <c r="AL42" i="3"/>
  <c r="AM42" i="3" s="1"/>
  <c r="AG7" i="3"/>
  <c r="AH7" i="3" s="1"/>
  <c r="AK333" i="3" l="1"/>
  <c r="AN333" i="3" s="1"/>
  <c r="AK280" i="3"/>
  <c r="AK248" i="3"/>
  <c r="AL183" i="3"/>
  <c r="AM183" i="3" s="1"/>
  <c r="AJ184" i="3"/>
  <c r="AK123" i="3"/>
  <c r="AF194" i="3"/>
  <c r="AE195" i="3" s="1"/>
  <c r="AG193" i="3"/>
  <c r="AH193" i="3" s="1"/>
  <c r="AF141" i="3"/>
  <c r="AE142" i="3" s="1"/>
  <c r="AG140" i="3"/>
  <c r="AH140" i="3" s="1"/>
  <c r="V183" i="3"/>
  <c r="Z183" i="3" s="1"/>
  <c r="V123" i="3"/>
  <c r="Y123" i="3"/>
  <c r="Z123" i="3"/>
  <c r="AK45" i="3"/>
  <c r="AN45" i="3" s="1"/>
  <c r="AM10" i="3"/>
  <c r="Z25" i="3"/>
  <c r="AG44" i="3"/>
  <c r="AH44" i="3" s="1"/>
  <c r="U26" i="3"/>
  <c r="W25" i="3"/>
  <c r="X25" i="3" s="1"/>
  <c r="AF45" i="3"/>
  <c r="AE46" i="3" s="1"/>
  <c r="BJ3" i="3"/>
  <c r="BJ4" i="3" s="1"/>
  <c r="BA8" i="3"/>
  <c r="BA3" i="3"/>
  <c r="AL333" i="3" l="1"/>
  <c r="AM333" i="3" s="1"/>
  <c r="AJ334" i="3"/>
  <c r="AO333" i="3"/>
  <c r="AJ281" i="3"/>
  <c r="AL280" i="3"/>
  <c r="AM280" i="3" s="1"/>
  <c r="AO280" i="3"/>
  <c r="AN280" i="3"/>
  <c r="AJ249" i="3"/>
  <c r="AL248" i="3"/>
  <c r="AM248" i="3" s="1"/>
  <c r="AO248" i="3"/>
  <c r="AN248" i="3"/>
  <c r="AN184" i="3"/>
  <c r="AK184" i="3"/>
  <c r="AL123" i="3"/>
  <c r="AM123" i="3" s="1"/>
  <c r="AJ124" i="3"/>
  <c r="AO123" i="3"/>
  <c r="AN123" i="3"/>
  <c r="AF195" i="3"/>
  <c r="AE196" i="3" s="1"/>
  <c r="AG195" i="3"/>
  <c r="AH195" i="3" s="1"/>
  <c r="AG194" i="3"/>
  <c r="AH194" i="3" s="1"/>
  <c r="AF142" i="3"/>
  <c r="AE143" i="3" s="1"/>
  <c r="AG142" i="3"/>
  <c r="AH142" i="3" s="1"/>
  <c r="AG141" i="3"/>
  <c r="AH141" i="3" s="1"/>
  <c r="W183" i="3"/>
  <c r="X183" i="3" s="1"/>
  <c r="U184" i="3"/>
  <c r="Y183" i="3"/>
  <c r="W123" i="3"/>
  <c r="X123" i="3" s="1"/>
  <c r="U124" i="3"/>
  <c r="AO45" i="3"/>
  <c r="AJ46" i="3"/>
  <c r="AL45" i="3"/>
  <c r="AM45" i="3" s="1"/>
  <c r="AG45" i="3"/>
  <c r="AH45" i="3" s="1"/>
  <c r="V26" i="3"/>
  <c r="Y26" i="3" s="1"/>
  <c r="AF46" i="3"/>
  <c r="AE47" i="3" s="1"/>
  <c r="BA4" i="3"/>
  <c r="AN334" i="3" l="1"/>
  <c r="AK334" i="3"/>
  <c r="AO334" i="3"/>
  <c r="AK281" i="3"/>
  <c r="AN281" i="3"/>
  <c r="AO281" i="3"/>
  <c r="AK249" i="3"/>
  <c r="AN249" i="3" s="1"/>
  <c r="AJ185" i="3"/>
  <c r="AL184" i="3"/>
  <c r="AM184" i="3" s="1"/>
  <c r="AO184" i="3"/>
  <c r="AK124" i="3"/>
  <c r="AF196" i="3"/>
  <c r="AE197" i="3" s="1"/>
  <c r="AG196" i="3"/>
  <c r="AH196" i="3" s="1"/>
  <c r="AF143" i="3"/>
  <c r="AE144" i="3" s="1"/>
  <c r="V184" i="3"/>
  <c r="V124" i="3"/>
  <c r="AK46" i="3"/>
  <c r="AN46" i="3" s="1"/>
  <c r="Z26" i="3"/>
  <c r="W26" i="3"/>
  <c r="X26" i="3" s="1"/>
  <c r="U27" i="3"/>
  <c r="AG46" i="3"/>
  <c r="AH46" i="3" s="1"/>
  <c r="AF47" i="3"/>
  <c r="AE48" i="3" s="1"/>
  <c r="AL334" i="3" l="1"/>
  <c r="AM334" i="3" s="1"/>
  <c r="AJ335" i="3"/>
  <c r="AL281" i="3"/>
  <c r="AM281" i="3" s="1"/>
  <c r="AJ282" i="3"/>
  <c r="AO249" i="3"/>
  <c r="AL249" i="3"/>
  <c r="AM249" i="3" s="1"/>
  <c r="AJ250" i="3"/>
  <c r="AK185" i="3"/>
  <c r="AO185" i="3" s="1"/>
  <c r="AL124" i="3"/>
  <c r="AM124" i="3" s="1"/>
  <c r="AJ125" i="3"/>
  <c r="AO124" i="3"/>
  <c r="AN124" i="3"/>
  <c r="AF197" i="3"/>
  <c r="AE198" i="3" s="1"/>
  <c r="AF144" i="3"/>
  <c r="AE145" i="3" s="1"/>
  <c r="AG144" i="3"/>
  <c r="AH144" i="3" s="1"/>
  <c r="AG143" i="3"/>
  <c r="AH143" i="3" s="1"/>
  <c r="U185" i="3"/>
  <c r="W184" i="3"/>
  <c r="X184" i="3" s="1"/>
  <c r="Z184" i="3"/>
  <c r="Y184" i="3"/>
  <c r="W124" i="3"/>
  <c r="X124" i="3" s="1"/>
  <c r="U125" i="3"/>
  <c r="Z124" i="3"/>
  <c r="Y124" i="3"/>
  <c r="AO46" i="3"/>
  <c r="AJ47" i="3"/>
  <c r="AL46" i="3"/>
  <c r="AM46" i="3" s="1"/>
  <c r="AG47" i="3"/>
  <c r="AH47" i="3" s="1"/>
  <c r="V27" i="3"/>
  <c r="Y27" i="3" s="1"/>
  <c r="AF48" i="3"/>
  <c r="AE49" i="3" s="1"/>
  <c r="AK335" i="3" l="1"/>
  <c r="AK282" i="3"/>
  <c r="AK250" i="3"/>
  <c r="AN250" i="3"/>
  <c r="AL185" i="3"/>
  <c r="AM185" i="3" s="1"/>
  <c r="AJ186" i="3"/>
  <c r="AN185" i="3"/>
  <c r="AK125" i="3"/>
  <c r="AN125" i="3"/>
  <c r="AO125" i="3"/>
  <c r="AF198" i="3"/>
  <c r="AE199" i="3" s="1"/>
  <c r="AG197" i="3"/>
  <c r="AH197" i="3" s="1"/>
  <c r="AF145" i="3"/>
  <c r="AE146" i="3" s="1"/>
  <c r="V185" i="3"/>
  <c r="Y185" i="3" s="1"/>
  <c r="Z185" i="3"/>
  <c r="V125" i="3"/>
  <c r="Y125" i="3"/>
  <c r="Z125" i="3"/>
  <c r="AK47" i="3"/>
  <c r="AN47" i="3" s="1"/>
  <c r="Z27" i="3"/>
  <c r="U28" i="3"/>
  <c r="W27" i="3"/>
  <c r="X27" i="3" s="1"/>
  <c r="AG48" i="3"/>
  <c r="AH48" i="3" s="1"/>
  <c r="AF49" i="3"/>
  <c r="AE50" i="3" s="1"/>
  <c r="AJ336" i="3" l="1"/>
  <c r="AL335" i="3"/>
  <c r="AM335" i="3" s="1"/>
  <c r="AN335" i="3"/>
  <c r="AO335" i="3"/>
  <c r="AL282" i="3"/>
  <c r="AM282" i="3" s="1"/>
  <c r="AJ283" i="3"/>
  <c r="AO282" i="3"/>
  <c r="AN282" i="3"/>
  <c r="AL250" i="3"/>
  <c r="AM250" i="3" s="1"/>
  <c r="AJ251" i="3"/>
  <c r="AO250" i="3"/>
  <c r="AK186" i="3"/>
  <c r="AJ126" i="3"/>
  <c r="AL125" i="3"/>
  <c r="AM125" i="3" s="1"/>
  <c r="AF199" i="3"/>
  <c r="AE200" i="3" s="1"/>
  <c r="AG198" i="3"/>
  <c r="AH198" i="3" s="1"/>
  <c r="AG145" i="3"/>
  <c r="AH145" i="3" s="1"/>
  <c r="AF146" i="3"/>
  <c r="AE147" i="3" s="1"/>
  <c r="W185" i="3"/>
  <c r="X185" i="3" s="1"/>
  <c r="U186" i="3"/>
  <c r="U126" i="3"/>
  <c r="W125" i="3"/>
  <c r="X125" i="3" s="1"/>
  <c r="AO47" i="3"/>
  <c r="AJ48" i="3"/>
  <c r="AL47" i="3"/>
  <c r="AM47" i="3" s="1"/>
  <c r="V28" i="3"/>
  <c r="Y28" i="3" s="1"/>
  <c r="AF50" i="3"/>
  <c r="AE51" i="3" s="1"/>
  <c r="AG49" i="3"/>
  <c r="AH49" i="3" s="1"/>
  <c r="AK336" i="3" l="1"/>
  <c r="AN336" i="3" s="1"/>
  <c r="AK283" i="3"/>
  <c r="AK251" i="3"/>
  <c r="AN251" i="3"/>
  <c r="AO251" i="3"/>
  <c r="AL186" i="3"/>
  <c r="AM186" i="3" s="1"/>
  <c r="AJ187" i="3"/>
  <c r="AO186" i="3"/>
  <c r="AN186" i="3"/>
  <c r="AK126" i="3"/>
  <c r="AN126" i="3" s="1"/>
  <c r="AF200" i="3"/>
  <c r="AE201" i="3" s="1"/>
  <c r="AG199" i="3"/>
  <c r="AH199" i="3" s="1"/>
  <c r="AF147" i="3"/>
  <c r="AE148" i="3" s="1"/>
  <c r="AG147" i="3"/>
  <c r="AH147" i="3" s="1"/>
  <c r="AG146" i="3"/>
  <c r="AH146" i="3" s="1"/>
  <c r="V186" i="3"/>
  <c r="V126" i="3"/>
  <c r="Y126" i="3"/>
  <c r="Z126" i="3"/>
  <c r="AK48" i="3"/>
  <c r="AN48" i="3" s="1"/>
  <c r="AG50" i="3"/>
  <c r="AH50" i="3" s="1"/>
  <c r="Z28" i="3"/>
  <c r="U29" i="3"/>
  <c r="W28" i="3"/>
  <c r="X28" i="3" s="1"/>
  <c r="AF51" i="3"/>
  <c r="AE52" i="3" s="1"/>
  <c r="AO336" i="3" l="1"/>
  <c r="AL336" i="3"/>
  <c r="AM336" i="3" s="1"/>
  <c r="AJ337" i="3"/>
  <c r="AJ284" i="3"/>
  <c r="AL283" i="3"/>
  <c r="AM283" i="3" s="1"/>
  <c r="AO283" i="3"/>
  <c r="AN283" i="3"/>
  <c r="AJ252" i="3"/>
  <c r="AL251" i="3"/>
  <c r="AM251" i="3" s="1"/>
  <c r="AK187" i="3"/>
  <c r="AN187" i="3"/>
  <c r="AO187" i="3"/>
  <c r="AO126" i="3"/>
  <c r="AL126" i="3"/>
  <c r="AM126" i="3" s="1"/>
  <c r="AJ127" i="3"/>
  <c r="AF201" i="3"/>
  <c r="AE202" i="3" s="1"/>
  <c r="AG200" i="3"/>
  <c r="AH200" i="3" s="1"/>
  <c r="AF148" i="3"/>
  <c r="AE149" i="3" s="1"/>
  <c r="U187" i="3"/>
  <c r="W186" i="3"/>
  <c r="X186" i="3" s="1"/>
  <c r="Z186" i="3"/>
  <c r="Y186" i="3"/>
  <c r="W126" i="3"/>
  <c r="X126" i="3" s="1"/>
  <c r="U127" i="3"/>
  <c r="AO48" i="3"/>
  <c r="AL48" i="3"/>
  <c r="AM48" i="3" s="1"/>
  <c r="AJ49" i="3"/>
  <c r="AG51" i="3"/>
  <c r="AH51" i="3" s="1"/>
  <c r="V29" i="3"/>
  <c r="Y29" i="3" s="1"/>
  <c r="AF52" i="3"/>
  <c r="AE53" i="3" s="1"/>
  <c r="AK337" i="3" l="1"/>
  <c r="AK284" i="3"/>
  <c r="AN284" i="3"/>
  <c r="AO284" i="3"/>
  <c r="AK252" i="3"/>
  <c r="AJ188" i="3"/>
  <c r="AL187" i="3"/>
  <c r="AM187" i="3" s="1"/>
  <c r="AK127" i="3"/>
  <c r="AG201" i="3"/>
  <c r="AH201" i="3" s="1"/>
  <c r="AF202" i="3"/>
  <c r="AE203" i="3" s="1"/>
  <c r="AF149" i="3"/>
  <c r="AE150" i="3" s="1"/>
  <c r="AG149" i="3"/>
  <c r="AH149" i="3" s="1"/>
  <c r="AG148" i="3"/>
  <c r="AH148" i="3" s="1"/>
  <c r="V187" i="3"/>
  <c r="Y187" i="3"/>
  <c r="Z187" i="3"/>
  <c r="V127" i="3"/>
  <c r="AK49" i="3"/>
  <c r="AO49" i="3" s="1"/>
  <c r="Z29" i="3"/>
  <c r="AG52" i="3"/>
  <c r="AH52" i="3" s="1"/>
  <c r="W29" i="3"/>
  <c r="X29" i="3" s="1"/>
  <c r="U30" i="3"/>
  <c r="AF53" i="3"/>
  <c r="AE54" i="3" s="1"/>
  <c r="AJ338" i="3" l="1"/>
  <c r="AL337" i="3"/>
  <c r="AM337" i="3" s="1"/>
  <c r="AO337" i="3"/>
  <c r="AN337" i="3"/>
  <c r="AL284" i="3"/>
  <c r="AM284" i="3" s="1"/>
  <c r="AJ285" i="3"/>
  <c r="AJ253" i="3"/>
  <c r="AL252" i="3"/>
  <c r="AM252" i="3" s="1"/>
  <c r="AO252" i="3"/>
  <c r="AN252" i="3"/>
  <c r="AK188" i="3"/>
  <c r="AJ128" i="3"/>
  <c r="AL127" i="3"/>
  <c r="AM127" i="3" s="1"/>
  <c r="AO127" i="3"/>
  <c r="AN127" i="3"/>
  <c r="AF203" i="3"/>
  <c r="AE204" i="3" s="1"/>
  <c r="AG202" i="3"/>
  <c r="AH202" i="3" s="1"/>
  <c r="AF150" i="3"/>
  <c r="AG150" i="3" s="1"/>
  <c r="AH150" i="3" s="1"/>
  <c r="U188" i="3"/>
  <c r="W187" i="3"/>
  <c r="X187" i="3" s="1"/>
  <c r="U128" i="3"/>
  <c r="W127" i="3"/>
  <c r="X127" i="3" s="1"/>
  <c r="Z127" i="3"/>
  <c r="Y127" i="3"/>
  <c r="AN49" i="3"/>
  <c r="AJ50" i="3"/>
  <c r="AL49" i="3"/>
  <c r="AM49" i="3" s="1"/>
  <c r="V30" i="3"/>
  <c r="Y30" i="3" s="1"/>
  <c r="AG53" i="3"/>
  <c r="AH53" i="3" s="1"/>
  <c r="AF54" i="3"/>
  <c r="AE55" i="3" s="1"/>
  <c r="AK338" i="3" l="1"/>
  <c r="AN338" i="3"/>
  <c r="AO338" i="3"/>
  <c r="AK285" i="3"/>
  <c r="AK253" i="3"/>
  <c r="AL188" i="3"/>
  <c r="AM188" i="3" s="1"/>
  <c r="AJ189" i="3"/>
  <c r="AO188" i="3"/>
  <c r="AN188" i="3"/>
  <c r="AN128" i="3"/>
  <c r="AK128" i="3"/>
  <c r="AO128" i="3"/>
  <c r="AF204" i="3"/>
  <c r="AE205" i="3" s="1"/>
  <c r="AG204" i="3"/>
  <c r="AH204" i="3" s="1"/>
  <c r="AG203" i="3"/>
  <c r="AH203" i="3" s="1"/>
  <c r="V188" i="3"/>
  <c r="V128" i="3"/>
  <c r="Z128" i="3" s="1"/>
  <c r="Y128" i="3"/>
  <c r="AK50" i="3"/>
  <c r="AO50" i="3" s="1"/>
  <c r="Z30" i="3"/>
  <c r="W30" i="3"/>
  <c r="X30" i="3" s="1"/>
  <c r="U31" i="3"/>
  <c r="AG54" i="3"/>
  <c r="AH54" i="3" s="1"/>
  <c r="AF55" i="3"/>
  <c r="AE56" i="3" s="1"/>
  <c r="AJ339" i="3" l="1"/>
  <c r="AL338" i="3"/>
  <c r="AM338" i="3" s="1"/>
  <c r="AJ286" i="3"/>
  <c r="AL285" i="3"/>
  <c r="AM285" i="3" s="1"/>
  <c r="AO285" i="3"/>
  <c r="AN285" i="3"/>
  <c r="AL253" i="3"/>
  <c r="AM253" i="3" s="1"/>
  <c r="AJ254" i="3"/>
  <c r="AO253" i="3"/>
  <c r="AN253" i="3"/>
  <c r="AO189" i="3"/>
  <c r="AK189" i="3"/>
  <c r="AL128" i="3"/>
  <c r="AM128" i="3" s="1"/>
  <c r="AJ129" i="3"/>
  <c r="AF205" i="3"/>
  <c r="AE206" i="3" s="1"/>
  <c r="AG205" i="3"/>
  <c r="AH205" i="3" s="1"/>
  <c r="U189" i="3"/>
  <c r="W188" i="3"/>
  <c r="X188" i="3" s="1"/>
  <c r="Z188" i="3"/>
  <c r="Y188" i="3"/>
  <c r="W128" i="3"/>
  <c r="X128" i="3" s="1"/>
  <c r="U129" i="3"/>
  <c r="AN50" i="3"/>
  <c r="AJ51" i="3"/>
  <c r="AL50" i="3"/>
  <c r="AM50" i="3" s="1"/>
  <c r="AG55" i="3"/>
  <c r="AH55" i="3" s="1"/>
  <c r="V31" i="3"/>
  <c r="Y31" i="3" s="1"/>
  <c r="AF56" i="3"/>
  <c r="AE57" i="3" s="1"/>
  <c r="AK339" i="3" l="1"/>
  <c r="AK286" i="3"/>
  <c r="AN286" i="3" s="1"/>
  <c r="AO286" i="3"/>
  <c r="AK254" i="3"/>
  <c r="AN254" i="3"/>
  <c r="AO254" i="3"/>
  <c r="AJ190" i="3"/>
  <c r="AL189" i="3"/>
  <c r="AM189" i="3" s="1"/>
  <c r="AN189" i="3"/>
  <c r="AK129" i="3"/>
  <c r="AF206" i="3"/>
  <c r="AE207" i="3" s="1"/>
  <c r="AG206" i="3"/>
  <c r="AH206" i="3" s="1"/>
  <c r="V189" i="3"/>
  <c r="Z189" i="3"/>
  <c r="Y189" i="3"/>
  <c r="V129" i="3"/>
  <c r="AG56" i="3"/>
  <c r="AH56" i="3" s="1"/>
  <c r="AK51" i="3"/>
  <c r="AO51" i="3" s="1"/>
  <c r="Z31" i="3"/>
  <c r="W31" i="3"/>
  <c r="X31" i="3" s="1"/>
  <c r="U32" i="3"/>
  <c r="AF57" i="3"/>
  <c r="AE58" i="3" s="1"/>
  <c r="AL339" i="3" l="1"/>
  <c r="AM339" i="3" s="1"/>
  <c r="AJ340" i="3"/>
  <c r="AO339" i="3"/>
  <c r="AN339" i="3"/>
  <c r="AJ287" i="3"/>
  <c r="AL286" i="3"/>
  <c r="AM286" i="3" s="1"/>
  <c r="AL254" i="3"/>
  <c r="AM254" i="3" s="1"/>
  <c r="AJ255" i="3"/>
  <c r="AK190" i="3"/>
  <c r="AO190" i="3" s="1"/>
  <c r="AL129" i="3"/>
  <c r="AM129" i="3" s="1"/>
  <c r="AJ130" i="3"/>
  <c r="AO129" i="3"/>
  <c r="AN129" i="3"/>
  <c r="AF207" i="3"/>
  <c r="AE208" i="3" s="1"/>
  <c r="AG207" i="3"/>
  <c r="AH207" i="3" s="1"/>
  <c r="U190" i="3"/>
  <c r="W189" i="3"/>
  <c r="X189" i="3" s="1"/>
  <c r="W129" i="3"/>
  <c r="X129" i="3" s="1"/>
  <c r="U130" i="3"/>
  <c r="Z129" i="3"/>
  <c r="Y129" i="3"/>
  <c r="AN51" i="3"/>
  <c r="AL51" i="3"/>
  <c r="AM51" i="3" s="1"/>
  <c r="AJ52" i="3"/>
  <c r="AG57" i="3"/>
  <c r="AH57" i="3" s="1"/>
  <c r="V32" i="3"/>
  <c r="Y32" i="3" s="1"/>
  <c r="AF58" i="3"/>
  <c r="AE59" i="3" s="1"/>
  <c r="AK340" i="3" l="1"/>
  <c r="AO340" i="3"/>
  <c r="AN340" i="3"/>
  <c r="AK287" i="3"/>
  <c r="AK255" i="3"/>
  <c r="AL190" i="3"/>
  <c r="AM190" i="3" s="1"/>
  <c r="AJ191" i="3"/>
  <c r="AN190" i="3"/>
  <c r="AK130" i="3"/>
  <c r="AN130" i="3"/>
  <c r="AO130" i="3"/>
  <c r="AG208" i="3"/>
  <c r="AH208" i="3" s="1"/>
  <c r="AF208" i="3"/>
  <c r="AE209" i="3" s="1"/>
  <c r="V190" i="3"/>
  <c r="Y190" i="3"/>
  <c r="Z190" i="3"/>
  <c r="V130" i="3"/>
  <c r="Y130" i="3"/>
  <c r="Z130" i="3"/>
  <c r="AG58" i="3"/>
  <c r="AH58" i="3" s="1"/>
  <c r="AK52" i="3"/>
  <c r="AO52" i="3" s="1"/>
  <c r="Z32" i="3"/>
  <c r="W32" i="3"/>
  <c r="X32" i="3" s="1"/>
  <c r="U33" i="3"/>
  <c r="AF59" i="3"/>
  <c r="AE60" i="3" s="1"/>
  <c r="AJ341" i="3" l="1"/>
  <c r="AL340" i="3"/>
  <c r="AM340" i="3" s="1"/>
  <c r="AL287" i="3"/>
  <c r="AM287" i="3" s="1"/>
  <c r="AJ288" i="3"/>
  <c r="AO287" i="3"/>
  <c r="AN287" i="3"/>
  <c r="AL255" i="3"/>
  <c r="AM255" i="3" s="1"/>
  <c r="AJ256" i="3"/>
  <c r="AN255" i="3"/>
  <c r="AO255" i="3"/>
  <c r="AK191" i="3"/>
  <c r="AJ131" i="3"/>
  <c r="AL130" i="3"/>
  <c r="AM130" i="3" s="1"/>
  <c r="AF209" i="3"/>
  <c r="AE210" i="3" s="1"/>
  <c r="AG209" i="3"/>
  <c r="AH209" i="3" s="1"/>
  <c r="W190" i="3"/>
  <c r="X190" i="3" s="1"/>
  <c r="U191" i="3"/>
  <c r="U131" i="3"/>
  <c r="W130" i="3"/>
  <c r="X130" i="3" s="1"/>
  <c r="AG59" i="3"/>
  <c r="AH59" i="3" s="1"/>
  <c r="AN52" i="3"/>
  <c r="AJ53" i="3"/>
  <c r="AL52" i="3"/>
  <c r="AM52" i="3" s="1"/>
  <c r="V33" i="3"/>
  <c r="Y33" i="3" s="1"/>
  <c r="AF60" i="3"/>
  <c r="AE61" i="3" s="1"/>
  <c r="AK341" i="3" l="1"/>
  <c r="AN341" i="3"/>
  <c r="AK288" i="3"/>
  <c r="AN288" i="3"/>
  <c r="AK256" i="3"/>
  <c r="AN256" i="3"/>
  <c r="AO256" i="3"/>
  <c r="AL191" i="3"/>
  <c r="AM191" i="3" s="1"/>
  <c r="AJ192" i="3"/>
  <c r="AO191" i="3"/>
  <c r="AN191" i="3"/>
  <c r="AK131" i="3"/>
  <c r="AN131" i="3"/>
  <c r="AO131" i="3"/>
  <c r="AF210" i="3"/>
  <c r="AE211" i="3" s="1"/>
  <c r="AG210" i="3"/>
  <c r="AH210" i="3" s="1"/>
  <c r="V191" i="3"/>
  <c r="Y191" i="3"/>
  <c r="Z191" i="3"/>
  <c r="V131" i="3"/>
  <c r="Y131" i="3"/>
  <c r="Z131" i="3"/>
  <c r="AK53" i="3"/>
  <c r="AO53" i="3" s="1"/>
  <c r="Z33" i="3"/>
  <c r="AG60" i="3"/>
  <c r="AH60" i="3" s="1"/>
  <c r="U34" i="3"/>
  <c r="W33" i="3"/>
  <c r="X33" i="3" s="1"/>
  <c r="AF61" i="3"/>
  <c r="AE62" i="3" s="1"/>
  <c r="AL341" i="3" l="1"/>
  <c r="AM341" i="3" s="1"/>
  <c r="AJ342" i="3"/>
  <c r="AO341" i="3"/>
  <c r="AJ289" i="3"/>
  <c r="AL288" i="3"/>
  <c r="AM288" i="3" s="1"/>
  <c r="AO288" i="3"/>
  <c r="AJ257" i="3"/>
  <c r="AL256" i="3"/>
  <c r="AM256" i="3" s="1"/>
  <c r="AK192" i="3"/>
  <c r="AO192" i="3"/>
  <c r="AN192" i="3"/>
  <c r="AL131" i="3"/>
  <c r="AM131" i="3" s="1"/>
  <c r="AJ132" i="3"/>
  <c r="AF211" i="3"/>
  <c r="AE212" i="3" s="1"/>
  <c r="AG211" i="3"/>
  <c r="AH211" i="3" s="1"/>
  <c r="U192" i="3"/>
  <c r="W191" i="3"/>
  <c r="X191" i="3" s="1"/>
  <c r="W131" i="3"/>
  <c r="X131" i="3" s="1"/>
  <c r="U132" i="3"/>
  <c r="AN53" i="3"/>
  <c r="AL53" i="3"/>
  <c r="AM53" i="3" s="1"/>
  <c r="AJ54" i="3"/>
  <c r="AG61" i="3"/>
  <c r="AH61" i="3" s="1"/>
  <c r="V34" i="3"/>
  <c r="Y34" i="3" s="1"/>
  <c r="AF62" i="3"/>
  <c r="AE63" i="3" s="1"/>
  <c r="AK342" i="3" l="1"/>
  <c r="AO342" i="3" s="1"/>
  <c r="AK289" i="3"/>
  <c r="AN289" i="3"/>
  <c r="AO289" i="3"/>
  <c r="AK257" i="3"/>
  <c r="AN257" i="3"/>
  <c r="AO257" i="3"/>
  <c r="AJ193" i="3"/>
  <c r="AL192" i="3"/>
  <c r="AM192" i="3" s="1"/>
  <c r="AO132" i="3"/>
  <c r="AK132" i="3"/>
  <c r="AF212" i="3"/>
  <c r="AE213" i="3" s="1"/>
  <c r="V192" i="3"/>
  <c r="Y192" i="3"/>
  <c r="Z192" i="3"/>
  <c r="V132" i="3"/>
  <c r="AK54" i="3"/>
  <c r="AO54" i="3" s="1"/>
  <c r="Z34" i="3"/>
  <c r="W34" i="3"/>
  <c r="X34" i="3" s="1"/>
  <c r="U35" i="3"/>
  <c r="AG62" i="3"/>
  <c r="AH62" i="3" s="1"/>
  <c r="AF63" i="3"/>
  <c r="AE64" i="3" s="1"/>
  <c r="AJ343" i="3" l="1"/>
  <c r="AL342" i="3"/>
  <c r="AM342" i="3" s="1"/>
  <c r="AN342" i="3"/>
  <c r="AL289" i="3"/>
  <c r="AM289" i="3" s="1"/>
  <c r="AJ290" i="3"/>
  <c r="AJ258" i="3"/>
  <c r="AL257" i="3"/>
  <c r="AM257" i="3" s="1"/>
  <c r="AO193" i="3"/>
  <c r="AK193" i="3"/>
  <c r="AN193" i="3"/>
  <c r="AJ133" i="3"/>
  <c r="AL132" i="3"/>
  <c r="AM132" i="3" s="1"/>
  <c r="AN132" i="3"/>
  <c r="AF213" i="3"/>
  <c r="AE214" i="3" s="1"/>
  <c r="AG212" i="3"/>
  <c r="AH212" i="3" s="1"/>
  <c r="U193" i="3"/>
  <c r="W192" i="3"/>
  <c r="X192" i="3" s="1"/>
  <c r="U133" i="3"/>
  <c r="W132" i="3"/>
  <c r="X132" i="3" s="1"/>
  <c r="Z132" i="3"/>
  <c r="Y132" i="3"/>
  <c r="AN54" i="3"/>
  <c r="AL54" i="3"/>
  <c r="AM54" i="3" s="1"/>
  <c r="AJ55" i="3"/>
  <c r="AG63" i="3"/>
  <c r="AH63" i="3" s="1"/>
  <c r="V35" i="3"/>
  <c r="Y35" i="3" s="1"/>
  <c r="AF64" i="3"/>
  <c r="AE65" i="3" s="1"/>
  <c r="AK343" i="3" l="1"/>
  <c r="AK290" i="3"/>
  <c r="AN258" i="3"/>
  <c r="AK258" i="3"/>
  <c r="AL258" i="3" s="1"/>
  <c r="AM258" i="3" s="1"/>
  <c r="AL193" i="3"/>
  <c r="AM193" i="3" s="1"/>
  <c r="AJ194" i="3"/>
  <c r="AO133" i="3"/>
  <c r="AK133" i="3"/>
  <c r="AN133" i="3"/>
  <c r="AF214" i="3"/>
  <c r="AE215" i="3" s="1"/>
  <c r="AG213" i="3"/>
  <c r="AH213" i="3" s="1"/>
  <c r="V193" i="3"/>
  <c r="V133" i="3"/>
  <c r="Z133" i="3"/>
  <c r="Y133" i="3"/>
  <c r="AK55" i="3"/>
  <c r="AN55" i="3" s="1"/>
  <c r="Z35" i="3"/>
  <c r="AG64" i="3"/>
  <c r="AH64" i="3" s="1"/>
  <c r="U36" i="3"/>
  <c r="W35" i="3"/>
  <c r="X35" i="3" s="1"/>
  <c r="AF65" i="3"/>
  <c r="AE66" i="3" s="1"/>
  <c r="AJ344" i="3" l="1"/>
  <c r="AL343" i="3"/>
  <c r="AM343" i="3" s="1"/>
  <c r="AN343" i="3"/>
  <c r="AO343" i="3"/>
  <c r="AJ291" i="3"/>
  <c r="AL290" i="3"/>
  <c r="AM290" i="3" s="1"/>
  <c r="AO290" i="3"/>
  <c r="AN290" i="3"/>
  <c r="AO258" i="3"/>
  <c r="AK194" i="3"/>
  <c r="AO194" i="3" s="1"/>
  <c r="AL133" i="3"/>
  <c r="AM133" i="3" s="1"/>
  <c r="AJ134" i="3"/>
  <c r="AG214" i="3"/>
  <c r="AH214" i="3" s="1"/>
  <c r="AF215" i="3"/>
  <c r="AE216" i="3" s="1"/>
  <c r="W193" i="3"/>
  <c r="X193" i="3" s="1"/>
  <c r="U194" i="3"/>
  <c r="Z193" i="3"/>
  <c r="Y193" i="3"/>
  <c r="W133" i="3"/>
  <c r="X133" i="3" s="1"/>
  <c r="U134" i="3"/>
  <c r="AO55" i="3"/>
  <c r="AL55" i="3"/>
  <c r="AM55" i="3" s="1"/>
  <c r="AJ56" i="3"/>
  <c r="AG65" i="3"/>
  <c r="AH65" i="3" s="1"/>
  <c r="V36" i="3"/>
  <c r="Y36" i="3" s="1"/>
  <c r="AF66" i="3"/>
  <c r="AE67" i="3" s="1"/>
  <c r="AK344" i="3" l="1"/>
  <c r="AO344" i="3"/>
  <c r="AK291" i="3"/>
  <c r="AN291" i="3"/>
  <c r="AO291" i="3"/>
  <c r="AJ195" i="3"/>
  <c r="AL194" i="3"/>
  <c r="AM194" i="3" s="1"/>
  <c r="AN194" i="3"/>
  <c r="AK134" i="3"/>
  <c r="AF216" i="3"/>
  <c r="AE217" i="3" s="1"/>
  <c r="AG215" i="3"/>
  <c r="AH215" i="3" s="1"/>
  <c r="V194" i="3"/>
  <c r="V134" i="3"/>
  <c r="AG66" i="3"/>
  <c r="AH66" i="3" s="1"/>
  <c r="AK56" i="3"/>
  <c r="AN56" i="3" s="1"/>
  <c r="Z36" i="3"/>
  <c r="U37" i="3"/>
  <c r="W36" i="3"/>
  <c r="X36" i="3" s="1"/>
  <c r="AF67" i="3"/>
  <c r="AE68" i="3" s="1"/>
  <c r="AL344" i="3" l="1"/>
  <c r="AM344" i="3" s="1"/>
  <c r="AJ345" i="3"/>
  <c r="AN344" i="3"/>
  <c r="AJ292" i="3"/>
  <c r="AL291" i="3"/>
  <c r="AM291" i="3" s="1"/>
  <c r="AK195" i="3"/>
  <c r="AN195" i="3"/>
  <c r="AO195" i="3"/>
  <c r="AL134" i="3"/>
  <c r="AM134" i="3" s="1"/>
  <c r="AJ135" i="3"/>
  <c r="AO134" i="3"/>
  <c r="AN134" i="3"/>
  <c r="AG216" i="3"/>
  <c r="AH216" i="3" s="1"/>
  <c r="AF217" i="3"/>
  <c r="AE218" i="3" s="1"/>
  <c r="AG217" i="3"/>
  <c r="AH217" i="3" s="1"/>
  <c r="U195" i="3"/>
  <c r="W194" i="3"/>
  <c r="X194" i="3" s="1"/>
  <c r="Z194" i="3"/>
  <c r="Y194" i="3"/>
  <c r="W134" i="3"/>
  <c r="X134" i="3" s="1"/>
  <c r="U135" i="3"/>
  <c r="Y134" i="3"/>
  <c r="Z134" i="3"/>
  <c r="AG67" i="3"/>
  <c r="AH67" i="3" s="1"/>
  <c r="AO56" i="3"/>
  <c r="AL56" i="3"/>
  <c r="AM56" i="3" s="1"/>
  <c r="AJ57" i="3"/>
  <c r="V37" i="3"/>
  <c r="Y37" i="3" s="1"/>
  <c r="AF68" i="3"/>
  <c r="AE69" i="3" s="1"/>
  <c r="AK345" i="3" l="1"/>
  <c r="AK292" i="3"/>
  <c r="AL195" i="3"/>
  <c r="AM195" i="3" s="1"/>
  <c r="AJ196" i="3"/>
  <c r="AK135" i="3"/>
  <c r="AO135" i="3" s="1"/>
  <c r="AN135" i="3"/>
  <c r="AF218" i="3"/>
  <c r="AE219" i="3" s="1"/>
  <c r="V195" i="3"/>
  <c r="Y195" i="3"/>
  <c r="Z195" i="3"/>
  <c r="V135" i="3"/>
  <c r="Y135" i="3"/>
  <c r="Z135" i="3"/>
  <c r="AK57" i="3"/>
  <c r="AN57" i="3" s="1"/>
  <c r="Z37" i="3"/>
  <c r="W37" i="3"/>
  <c r="X37" i="3" s="1"/>
  <c r="U38" i="3"/>
  <c r="AG68" i="3"/>
  <c r="AH68" i="3" s="1"/>
  <c r="AF69" i="3"/>
  <c r="AE70" i="3" s="1"/>
  <c r="AJ346" i="3" l="1"/>
  <c r="AL345" i="3"/>
  <c r="AM345" i="3" s="1"/>
  <c r="AN345" i="3"/>
  <c r="AO345" i="3"/>
  <c r="AL292" i="3"/>
  <c r="AM292" i="3" s="1"/>
  <c r="AJ293" i="3"/>
  <c r="AO292" i="3"/>
  <c r="AN292" i="3"/>
  <c r="AK196" i="3"/>
  <c r="AJ136" i="3"/>
  <c r="AL135" i="3"/>
  <c r="AM135" i="3" s="1"/>
  <c r="AF219" i="3"/>
  <c r="AE220" i="3" s="1"/>
  <c r="AG218" i="3"/>
  <c r="AH218" i="3" s="1"/>
  <c r="W195" i="3"/>
  <c r="X195" i="3" s="1"/>
  <c r="U196" i="3"/>
  <c r="U136" i="3"/>
  <c r="W135" i="3"/>
  <c r="X135" i="3" s="1"/>
  <c r="AO57" i="3"/>
  <c r="AJ58" i="3"/>
  <c r="AL57" i="3"/>
  <c r="AM57" i="3" s="1"/>
  <c r="AG69" i="3"/>
  <c r="AH69" i="3" s="1"/>
  <c r="V38" i="3"/>
  <c r="Y38" i="3" s="1"/>
  <c r="AF70" i="3"/>
  <c r="AE71" i="3" s="1"/>
  <c r="AK346" i="3" l="1"/>
  <c r="AN346" i="3" s="1"/>
  <c r="AO346" i="3"/>
  <c r="AK293" i="3"/>
  <c r="AN293" i="3"/>
  <c r="AO293" i="3"/>
  <c r="AL196" i="3"/>
  <c r="AM196" i="3" s="1"/>
  <c r="AJ197" i="3"/>
  <c r="AO196" i="3"/>
  <c r="AN196" i="3"/>
  <c r="AK136" i="3"/>
  <c r="AN136" i="3" s="1"/>
  <c r="AO136" i="3"/>
  <c r="AF220" i="3"/>
  <c r="AE221" i="3" s="1"/>
  <c r="AG219" i="3"/>
  <c r="AH219" i="3" s="1"/>
  <c r="V196" i="3"/>
  <c r="Y196" i="3"/>
  <c r="Z196" i="3"/>
  <c r="V136" i="3"/>
  <c r="Y136" i="3"/>
  <c r="Z136" i="3"/>
  <c r="AK58" i="3"/>
  <c r="AO58" i="3" s="1"/>
  <c r="Z38" i="3"/>
  <c r="AG70" i="3"/>
  <c r="AH70" i="3" s="1"/>
  <c r="U39" i="3"/>
  <c r="W38" i="3"/>
  <c r="X38" i="3" s="1"/>
  <c r="AF71" i="3"/>
  <c r="AE72" i="3" s="1"/>
  <c r="AL346" i="3" l="1"/>
  <c r="AM346" i="3" s="1"/>
  <c r="AJ347" i="3"/>
  <c r="AJ294" i="3"/>
  <c r="AL293" i="3"/>
  <c r="AM293" i="3" s="1"/>
  <c r="AK197" i="3"/>
  <c r="AN197" i="3"/>
  <c r="AO197" i="3"/>
  <c r="AL136" i="3"/>
  <c r="AM136" i="3" s="1"/>
  <c r="AJ137" i="3"/>
  <c r="AF221" i="3"/>
  <c r="AE222" i="3" s="1"/>
  <c r="AG221" i="3"/>
  <c r="AH221" i="3" s="1"/>
  <c r="AG220" i="3"/>
  <c r="AH220" i="3" s="1"/>
  <c r="U197" i="3"/>
  <c r="W196" i="3"/>
  <c r="X196" i="3" s="1"/>
  <c r="W136" i="3"/>
  <c r="X136" i="3" s="1"/>
  <c r="U137" i="3"/>
  <c r="AN58" i="3"/>
  <c r="AL58" i="3"/>
  <c r="AM58" i="3" s="1"/>
  <c r="AJ59" i="3"/>
  <c r="AG71" i="3"/>
  <c r="AH71" i="3" s="1"/>
  <c r="V39" i="3"/>
  <c r="Y39" i="3" s="1"/>
  <c r="AF72" i="3"/>
  <c r="AE73" i="3" s="1"/>
  <c r="AK347" i="3" l="1"/>
  <c r="AO347" i="3"/>
  <c r="AK294" i="3"/>
  <c r="AN294" i="3"/>
  <c r="AO294" i="3"/>
  <c r="AJ198" i="3"/>
  <c r="AL197" i="3"/>
  <c r="AM197" i="3" s="1"/>
  <c r="AK137" i="3"/>
  <c r="AO137" i="3" s="1"/>
  <c r="AF222" i="3"/>
  <c r="AE223" i="3" s="1"/>
  <c r="V197" i="3"/>
  <c r="Z197" i="3"/>
  <c r="Y197" i="3"/>
  <c r="V137" i="3"/>
  <c r="AG72" i="3"/>
  <c r="AH72" i="3" s="1"/>
  <c r="AK59" i="3"/>
  <c r="AN59" i="3" s="1"/>
  <c r="Z39" i="3"/>
  <c r="W39" i="3"/>
  <c r="X39" i="3" s="1"/>
  <c r="U40" i="3"/>
  <c r="AF73" i="3"/>
  <c r="AE74" i="3" s="1"/>
  <c r="AJ348" i="3" l="1"/>
  <c r="AL347" i="3"/>
  <c r="AM347" i="3" s="1"/>
  <c r="AN347" i="3"/>
  <c r="AL294" i="3"/>
  <c r="AM294" i="3" s="1"/>
  <c r="AJ295" i="3"/>
  <c r="AK198" i="3"/>
  <c r="AN198" i="3"/>
  <c r="AO198" i="3"/>
  <c r="AJ138" i="3"/>
  <c r="AL137" i="3"/>
  <c r="AM137" i="3" s="1"/>
  <c r="AN137" i="3"/>
  <c r="AF223" i="3"/>
  <c r="AE224" i="3" s="1"/>
  <c r="AG222" i="3"/>
  <c r="AH222" i="3" s="1"/>
  <c r="W197" i="3"/>
  <c r="X197" i="3" s="1"/>
  <c r="U198" i="3"/>
  <c r="U138" i="3"/>
  <c r="W137" i="3"/>
  <c r="X137" i="3" s="1"/>
  <c r="Z137" i="3"/>
  <c r="Y137" i="3"/>
  <c r="AG73" i="3"/>
  <c r="AH73" i="3" s="1"/>
  <c r="AO59" i="3"/>
  <c r="AJ60" i="3"/>
  <c r="AL59" i="3"/>
  <c r="AM59" i="3" s="1"/>
  <c r="V40" i="3"/>
  <c r="Y40" i="3" s="1"/>
  <c r="AF74" i="3"/>
  <c r="AE75" i="3" s="1"/>
  <c r="AK348" i="3" l="1"/>
  <c r="AO348" i="3"/>
  <c r="AN348" i="3"/>
  <c r="AK295" i="3"/>
  <c r="AL198" i="3"/>
  <c r="AM198" i="3" s="1"/>
  <c r="AJ199" i="3"/>
  <c r="AK138" i="3"/>
  <c r="AF224" i="3"/>
  <c r="AE225" i="3" s="1"/>
  <c r="AG223" i="3"/>
  <c r="AH223" i="3" s="1"/>
  <c r="V198" i="3"/>
  <c r="V138" i="3"/>
  <c r="Z138" i="3"/>
  <c r="Y138" i="3"/>
  <c r="AK60" i="3"/>
  <c r="AN60" i="3" s="1"/>
  <c r="Z40" i="3"/>
  <c r="AG74" i="3"/>
  <c r="AH74" i="3" s="1"/>
  <c r="U41" i="3"/>
  <c r="W40" i="3"/>
  <c r="X40" i="3" s="1"/>
  <c r="AF75" i="3"/>
  <c r="AE76" i="3" s="1"/>
  <c r="AJ349" i="3" l="1"/>
  <c r="AL348" i="3"/>
  <c r="AM348" i="3" s="1"/>
  <c r="AJ296" i="3"/>
  <c r="AL295" i="3"/>
  <c r="AM295" i="3" s="1"/>
  <c r="AO295" i="3"/>
  <c r="AN295" i="3"/>
  <c r="AK199" i="3"/>
  <c r="AL138" i="3"/>
  <c r="AM138" i="3" s="1"/>
  <c r="AJ139" i="3"/>
  <c r="AO138" i="3"/>
  <c r="AN138" i="3"/>
  <c r="AF225" i="3"/>
  <c r="AE226" i="3" s="1"/>
  <c r="AG224" i="3"/>
  <c r="AH224" i="3" s="1"/>
  <c r="W198" i="3"/>
  <c r="X198" i="3" s="1"/>
  <c r="U199" i="3"/>
  <c r="Z198" i="3"/>
  <c r="Y198" i="3"/>
  <c r="W138" i="3"/>
  <c r="X138" i="3" s="1"/>
  <c r="U139" i="3"/>
  <c r="AO60" i="3"/>
  <c r="AL60" i="3"/>
  <c r="AM60" i="3" s="1"/>
  <c r="AJ61" i="3"/>
  <c r="AG75" i="3"/>
  <c r="AH75" i="3" s="1"/>
  <c r="V41" i="3"/>
  <c r="Y41" i="3" s="1"/>
  <c r="AF76" i="3"/>
  <c r="AE77" i="3" s="1"/>
  <c r="AK349" i="3" l="1"/>
  <c r="AO349" i="3" s="1"/>
  <c r="AK296" i="3"/>
  <c r="AO296" i="3"/>
  <c r="AN296" i="3"/>
  <c r="AJ200" i="3"/>
  <c r="AL199" i="3"/>
  <c r="AM199" i="3" s="1"/>
  <c r="AO199" i="3"/>
  <c r="AN199" i="3"/>
  <c r="AK139" i="3"/>
  <c r="AF226" i="3"/>
  <c r="AE227" i="3" s="1"/>
  <c r="AG226" i="3"/>
  <c r="AH226" i="3" s="1"/>
  <c r="AG225" i="3"/>
  <c r="AH225" i="3" s="1"/>
  <c r="V199" i="3"/>
  <c r="Y199" i="3"/>
  <c r="Z199" i="3"/>
  <c r="V139" i="3"/>
  <c r="AK61" i="3"/>
  <c r="AN61" i="3" s="1"/>
  <c r="Z41" i="3"/>
  <c r="AG76" i="3"/>
  <c r="AH76" i="3" s="1"/>
  <c r="W41" i="3"/>
  <c r="X41" i="3" s="1"/>
  <c r="U42" i="3"/>
  <c r="AF77" i="3"/>
  <c r="AE78" i="3" s="1"/>
  <c r="AL349" i="3" l="1"/>
  <c r="AM349" i="3" s="1"/>
  <c r="AJ350" i="3"/>
  <c r="AN349" i="3"/>
  <c r="AL296" i="3"/>
  <c r="AM296" i="3" s="1"/>
  <c r="AJ297" i="3"/>
  <c r="AK200" i="3"/>
  <c r="AO200" i="3"/>
  <c r="AL139" i="3"/>
  <c r="AM139" i="3" s="1"/>
  <c r="AJ140" i="3"/>
  <c r="AO139" i="3"/>
  <c r="AN139" i="3"/>
  <c r="AF227" i="3"/>
  <c r="AE228" i="3" s="1"/>
  <c r="AG227" i="3"/>
  <c r="AH227" i="3" s="1"/>
  <c r="W199" i="3"/>
  <c r="X199" i="3" s="1"/>
  <c r="U200" i="3"/>
  <c r="W139" i="3"/>
  <c r="X139" i="3" s="1"/>
  <c r="U140" i="3"/>
  <c r="Z139" i="3"/>
  <c r="Y139" i="3"/>
  <c r="AO61" i="3"/>
  <c r="AL61" i="3"/>
  <c r="AM61" i="3" s="1"/>
  <c r="AJ62" i="3"/>
  <c r="AG77" i="3"/>
  <c r="AH77" i="3" s="1"/>
  <c r="V42" i="3"/>
  <c r="Y42" i="3" s="1"/>
  <c r="AF78" i="3"/>
  <c r="AE79" i="3" s="1"/>
  <c r="AK350" i="3" l="1"/>
  <c r="AO350" i="3" s="1"/>
  <c r="AK297" i="3"/>
  <c r="AL200" i="3"/>
  <c r="AM200" i="3" s="1"/>
  <c r="AJ201" i="3"/>
  <c r="AN200" i="3"/>
  <c r="AK140" i="3"/>
  <c r="AN140" i="3"/>
  <c r="AO140" i="3"/>
  <c r="AF228" i="3"/>
  <c r="AE229" i="3" s="1"/>
  <c r="V200" i="3"/>
  <c r="V140" i="3"/>
  <c r="Z140" i="3"/>
  <c r="Y140" i="3"/>
  <c r="AK62" i="3"/>
  <c r="AO62" i="3" s="1"/>
  <c r="Z42" i="3"/>
  <c r="AG78" i="3"/>
  <c r="AH78" i="3" s="1"/>
  <c r="W42" i="3"/>
  <c r="X42" i="3" s="1"/>
  <c r="U43" i="3"/>
  <c r="AF79" i="3"/>
  <c r="AE80" i="3" s="1"/>
  <c r="AN350" i="3" l="1"/>
  <c r="AJ351" i="3"/>
  <c r="AL350" i="3"/>
  <c r="AM350" i="3" s="1"/>
  <c r="AL297" i="3"/>
  <c r="AM297" i="3" s="1"/>
  <c r="AJ298" i="3"/>
  <c r="AO297" i="3"/>
  <c r="AN297" i="3"/>
  <c r="AK201" i="3"/>
  <c r="AJ141" i="3"/>
  <c r="AL140" i="3"/>
  <c r="AM140" i="3" s="1"/>
  <c r="AF229" i="3"/>
  <c r="AE230" i="3" s="1"/>
  <c r="AG229" i="3"/>
  <c r="AH229" i="3" s="1"/>
  <c r="AG228" i="3"/>
  <c r="AH228" i="3" s="1"/>
  <c r="W200" i="3"/>
  <c r="X200" i="3" s="1"/>
  <c r="U201" i="3"/>
  <c r="Z200" i="3"/>
  <c r="Y200" i="3"/>
  <c r="U141" i="3"/>
  <c r="W140" i="3"/>
  <c r="X140" i="3" s="1"/>
  <c r="AN62" i="3"/>
  <c r="AJ63" i="3"/>
  <c r="AL62" i="3"/>
  <c r="AM62" i="3" s="1"/>
  <c r="V43" i="3"/>
  <c r="Y43" i="3" s="1"/>
  <c r="AF80" i="3"/>
  <c r="AE81" i="3" s="1"/>
  <c r="AG79" i="3"/>
  <c r="AH79" i="3" s="1"/>
  <c r="AK351" i="3" l="1"/>
  <c r="AO351" i="3"/>
  <c r="AK298" i="3"/>
  <c r="AO298" i="3"/>
  <c r="AL201" i="3"/>
  <c r="AM201" i="3" s="1"/>
  <c r="AJ202" i="3"/>
  <c r="AO201" i="3"/>
  <c r="AN201" i="3"/>
  <c r="AK141" i="3"/>
  <c r="AN141" i="3"/>
  <c r="AO141" i="3"/>
  <c r="AF230" i="3"/>
  <c r="AE231" i="3" s="1"/>
  <c r="V201" i="3"/>
  <c r="V141" i="3"/>
  <c r="Y141" i="3"/>
  <c r="Z141" i="3"/>
  <c r="AK63" i="3"/>
  <c r="AO63" i="3" s="1"/>
  <c r="Z43" i="3"/>
  <c r="AG80" i="3"/>
  <c r="AH80" i="3" s="1"/>
  <c r="U44" i="3"/>
  <c r="W43" i="3"/>
  <c r="X43" i="3" s="1"/>
  <c r="AF81" i="3"/>
  <c r="AE82" i="3" s="1"/>
  <c r="AL351" i="3" l="1"/>
  <c r="AM351" i="3" s="1"/>
  <c r="AJ352" i="3"/>
  <c r="AN351" i="3"/>
  <c r="AJ299" i="3"/>
  <c r="AL298" i="3"/>
  <c r="AM298" i="3" s="1"/>
  <c r="AN298" i="3"/>
  <c r="AK202" i="3"/>
  <c r="AN202" i="3"/>
  <c r="AO202" i="3"/>
  <c r="AL141" i="3"/>
  <c r="AM141" i="3" s="1"/>
  <c r="AJ142" i="3"/>
  <c r="AG230" i="3"/>
  <c r="AH230" i="3" s="1"/>
  <c r="AF231" i="3"/>
  <c r="AE232" i="3" s="1"/>
  <c r="AG231" i="3"/>
  <c r="AH231" i="3" s="1"/>
  <c r="U202" i="3"/>
  <c r="W201" i="3"/>
  <c r="X201" i="3" s="1"/>
  <c r="Y201" i="3"/>
  <c r="Z201" i="3"/>
  <c r="W141" i="3"/>
  <c r="X141" i="3" s="1"/>
  <c r="U142" i="3"/>
  <c r="AN63" i="3"/>
  <c r="AL63" i="3"/>
  <c r="AM63" i="3" s="1"/>
  <c r="AJ64" i="3"/>
  <c r="AG81" i="3"/>
  <c r="AH81" i="3" s="1"/>
  <c r="V44" i="3"/>
  <c r="Y44" i="3" s="1"/>
  <c r="AF82" i="3"/>
  <c r="AE83" i="3" s="1"/>
  <c r="AK352" i="3" l="1"/>
  <c r="AO352" i="3"/>
  <c r="AK299" i="3"/>
  <c r="AN299" i="3"/>
  <c r="AO299" i="3"/>
  <c r="AJ203" i="3"/>
  <c r="AL202" i="3"/>
  <c r="AM202" i="3" s="1"/>
  <c r="AK142" i="3"/>
  <c r="AO142" i="3" s="1"/>
  <c r="AF232" i="3"/>
  <c r="AE233" i="3" s="1"/>
  <c r="AG232" i="3"/>
  <c r="AH232" i="3" s="1"/>
  <c r="V202" i="3"/>
  <c r="Y202" i="3"/>
  <c r="Z202" i="3"/>
  <c r="V142" i="3"/>
  <c r="Z142" i="3" s="1"/>
  <c r="AK64" i="3"/>
  <c r="AO64" i="3" s="1"/>
  <c r="Z44" i="3"/>
  <c r="AG82" i="3"/>
  <c r="AH82" i="3" s="1"/>
  <c r="U45" i="3"/>
  <c r="W44" i="3"/>
  <c r="X44" i="3" s="1"/>
  <c r="AF83" i="3"/>
  <c r="AE84" i="3" s="1"/>
  <c r="AJ353" i="3" l="1"/>
  <c r="AL352" i="3"/>
  <c r="AM352" i="3" s="1"/>
  <c r="AN352" i="3"/>
  <c r="AL299" i="3"/>
  <c r="AM299" i="3" s="1"/>
  <c r="AJ300" i="3"/>
  <c r="AN203" i="3"/>
  <c r="AK203" i="3"/>
  <c r="AJ143" i="3"/>
  <c r="AL142" i="3"/>
  <c r="AM142" i="3" s="1"/>
  <c r="AN142" i="3"/>
  <c r="AF233" i="3"/>
  <c r="AE234" i="3" s="1"/>
  <c r="U203" i="3"/>
  <c r="W202" i="3"/>
  <c r="X202" i="3" s="1"/>
  <c r="U143" i="3"/>
  <c r="W142" i="3"/>
  <c r="X142" i="3" s="1"/>
  <c r="Y142" i="3"/>
  <c r="AN64" i="3"/>
  <c r="AJ65" i="3"/>
  <c r="AL64" i="3"/>
  <c r="AM64" i="3" s="1"/>
  <c r="V45" i="3"/>
  <c r="Y45" i="3" s="1"/>
  <c r="AF84" i="3"/>
  <c r="AE85" i="3" s="1"/>
  <c r="AG83" i="3"/>
  <c r="AH83" i="3" s="1"/>
  <c r="AK353" i="3" l="1"/>
  <c r="AN353" i="3"/>
  <c r="AK300" i="3"/>
  <c r="AL203" i="3"/>
  <c r="AM203" i="3" s="1"/>
  <c r="AJ204" i="3"/>
  <c r="AO203" i="3"/>
  <c r="AO143" i="3"/>
  <c r="AK143" i="3"/>
  <c r="AN143" i="3"/>
  <c r="AF234" i="3"/>
  <c r="AE235" i="3" s="1"/>
  <c r="AG233" i="3"/>
  <c r="AH233" i="3" s="1"/>
  <c r="V203" i="3"/>
  <c r="V143" i="3"/>
  <c r="Y143" i="3"/>
  <c r="Z143" i="3"/>
  <c r="AG84" i="3"/>
  <c r="AH84" i="3" s="1"/>
  <c r="AK65" i="3"/>
  <c r="AO65" i="3" s="1"/>
  <c r="Z45" i="3"/>
  <c r="W45" i="3"/>
  <c r="X45" i="3" s="1"/>
  <c r="U46" i="3"/>
  <c r="AF85" i="3"/>
  <c r="AE86" i="3" s="1"/>
  <c r="AJ354" i="3" l="1"/>
  <c r="AL353" i="3"/>
  <c r="AM353" i="3" s="1"/>
  <c r="AO353" i="3"/>
  <c r="AJ301" i="3"/>
  <c r="AL300" i="3"/>
  <c r="AM300" i="3" s="1"/>
  <c r="AO300" i="3"/>
  <c r="AN300" i="3"/>
  <c r="AK204" i="3"/>
  <c r="AL143" i="3"/>
  <c r="AM143" i="3" s="1"/>
  <c r="AJ144" i="3"/>
  <c r="AG234" i="3"/>
  <c r="AH234" i="3" s="1"/>
  <c r="AF235" i="3"/>
  <c r="AE236" i="3" s="1"/>
  <c r="AG235" i="3"/>
  <c r="AH235" i="3" s="1"/>
  <c r="W203" i="3"/>
  <c r="X203" i="3" s="1"/>
  <c r="U204" i="3"/>
  <c r="Z203" i="3"/>
  <c r="Y203" i="3"/>
  <c r="W143" i="3"/>
  <c r="X143" i="3" s="1"/>
  <c r="U144" i="3"/>
  <c r="AG85" i="3"/>
  <c r="AH85" i="3" s="1"/>
  <c r="AN65" i="3"/>
  <c r="AJ66" i="3"/>
  <c r="AL65" i="3"/>
  <c r="AM65" i="3" s="1"/>
  <c r="V46" i="3"/>
  <c r="Y46" i="3" s="1"/>
  <c r="AF86" i="3"/>
  <c r="AE87" i="3" s="1"/>
  <c r="AK354" i="3" l="1"/>
  <c r="AK301" i="3"/>
  <c r="AN301" i="3"/>
  <c r="AO301" i="3"/>
  <c r="AJ205" i="3"/>
  <c r="AL204" i="3"/>
  <c r="AM204" i="3" s="1"/>
  <c r="AO204" i="3"/>
  <c r="AN204" i="3"/>
  <c r="AO144" i="3"/>
  <c r="AK144" i="3"/>
  <c r="AF236" i="3"/>
  <c r="AE237" i="3" s="1"/>
  <c r="AG236" i="3"/>
  <c r="AH236" i="3" s="1"/>
  <c r="V204" i="3"/>
  <c r="Y204" i="3" s="1"/>
  <c r="V144" i="3"/>
  <c r="AK66" i="3"/>
  <c r="AO66" i="3" s="1"/>
  <c r="Z46" i="3"/>
  <c r="AG86" i="3"/>
  <c r="AH86" i="3" s="1"/>
  <c r="W46" i="3"/>
  <c r="X46" i="3" s="1"/>
  <c r="U47" i="3"/>
  <c r="AF87" i="3"/>
  <c r="AE88" i="3" s="1"/>
  <c r="AL354" i="3" l="1"/>
  <c r="AM354" i="3" s="1"/>
  <c r="AJ355" i="3"/>
  <c r="AO354" i="3"/>
  <c r="AN354" i="3"/>
  <c r="AJ302" i="3"/>
  <c r="AL301" i="3"/>
  <c r="AM301" i="3" s="1"/>
  <c r="AK205" i="3"/>
  <c r="AO205" i="3"/>
  <c r="AL144" i="3"/>
  <c r="AM144" i="3" s="1"/>
  <c r="AJ145" i="3"/>
  <c r="AN144" i="3"/>
  <c r="AF237" i="3"/>
  <c r="AE238" i="3" s="1"/>
  <c r="U205" i="3"/>
  <c r="W204" i="3"/>
  <c r="X204" i="3" s="1"/>
  <c r="Z204" i="3"/>
  <c r="W144" i="3"/>
  <c r="X144" i="3" s="1"/>
  <c r="U145" i="3"/>
  <c r="Y144" i="3"/>
  <c r="Z144" i="3"/>
  <c r="AN66" i="3"/>
  <c r="AJ67" i="3"/>
  <c r="AL66" i="3"/>
  <c r="AM66" i="3" s="1"/>
  <c r="AG87" i="3"/>
  <c r="AH87" i="3" s="1"/>
  <c r="V47" i="3"/>
  <c r="Y47" i="3" s="1"/>
  <c r="AF88" i="3"/>
  <c r="AE89" i="3" s="1"/>
  <c r="AN355" i="3" l="1"/>
  <c r="AK355" i="3"/>
  <c r="AK302" i="3"/>
  <c r="AL205" i="3"/>
  <c r="AM205" i="3" s="1"/>
  <c r="AJ206" i="3"/>
  <c r="AN205" i="3"/>
  <c r="AK145" i="3"/>
  <c r="AN145" i="3"/>
  <c r="AO145" i="3"/>
  <c r="AF238" i="3"/>
  <c r="AE239" i="3" s="1"/>
  <c r="AG237" i="3"/>
  <c r="AH237" i="3" s="1"/>
  <c r="V205" i="3"/>
  <c r="V145" i="3"/>
  <c r="Y145" i="3"/>
  <c r="Z145" i="3"/>
  <c r="AK67" i="3"/>
  <c r="AN67" i="3" s="1"/>
  <c r="Z47" i="3"/>
  <c r="AG88" i="3"/>
  <c r="AH88" i="3" s="1"/>
  <c r="W47" i="3"/>
  <c r="X47" i="3" s="1"/>
  <c r="U48" i="3"/>
  <c r="AF89" i="3"/>
  <c r="AE90" i="3" s="1"/>
  <c r="AJ356" i="3" l="1"/>
  <c r="AL355" i="3"/>
  <c r="AM355" i="3" s="1"/>
  <c r="AO355" i="3"/>
  <c r="AL302" i="3"/>
  <c r="AM302" i="3" s="1"/>
  <c r="AJ303" i="3"/>
  <c r="AO302" i="3"/>
  <c r="AN302" i="3"/>
  <c r="AK206" i="3"/>
  <c r="AJ146" i="3"/>
  <c r="AL145" i="3"/>
  <c r="AM145" i="3" s="1"/>
  <c r="AF239" i="3"/>
  <c r="AE240" i="3" s="1"/>
  <c r="AG239" i="3"/>
  <c r="AH239" i="3" s="1"/>
  <c r="AG238" i="3"/>
  <c r="AH238" i="3" s="1"/>
  <c r="W205" i="3"/>
  <c r="X205" i="3" s="1"/>
  <c r="U206" i="3"/>
  <c r="Z205" i="3"/>
  <c r="Y205" i="3"/>
  <c r="U146" i="3"/>
  <c r="W145" i="3"/>
  <c r="X145" i="3" s="1"/>
  <c r="AO67" i="3"/>
  <c r="AJ68" i="3"/>
  <c r="AL67" i="3"/>
  <c r="AM67" i="3" s="1"/>
  <c r="AG89" i="3"/>
  <c r="AH89" i="3" s="1"/>
  <c r="V48" i="3"/>
  <c r="Y48" i="3" s="1"/>
  <c r="AF90" i="3"/>
  <c r="AE91" i="3" s="1"/>
  <c r="AK356" i="3" l="1"/>
  <c r="AK303" i="3"/>
  <c r="AO303" i="3"/>
  <c r="AL206" i="3"/>
  <c r="AM206" i="3" s="1"/>
  <c r="AJ207" i="3"/>
  <c r="AN206" i="3"/>
  <c r="AO206" i="3"/>
  <c r="AK146" i="3"/>
  <c r="AN146" i="3"/>
  <c r="AO146" i="3"/>
  <c r="AF240" i="3"/>
  <c r="AE241" i="3" s="1"/>
  <c r="AG240" i="3"/>
  <c r="AH240" i="3" s="1"/>
  <c r="V206" i="3"/>
  <c r="Y206" i="3" s="1"/>
  <c r="Z206" i="3"/>
  <c r="V146" i="3"/>
  <c r="Y146" i="3"/>
  <c r="Z146" i="3"/>
  <c r="AK68" i="3"/>
  <c r="AN68" i="3" s="1"/>
  <c r="Z48" i="3"/>
  <c r="AG90" i="3"/>
  <c r="AH90" i="3" s="1"/>
  <c r="W48" i="3"/>
  <c r="X48" i="3" s="1"/>
  <c r="U49" i="3"/>
  <c r="AF91" i="3"/>
  <c r="AE92" i="3" s="1"/>
  <c r="AL356" i="3" l="1"/>
  <c r="AM356" i="3" s="1"/>
  <c r="AJ357" i="3"/>
  <c r="AN356" i="3"/>
  <c r="AO356" i="3"/>
  <c r="AJ304" i="3"/>
  <c r="AL303" i="3"/>
  <c r="AM303" i="3" s="1"/>
  <c r="AN303" i="3"/>
  <c r="AK207" i="3"/>
  <c r="AN207" i="3"/>
  <c r="AO207" i="3"/>
  <c r="AL146" i="3"/>
  <c r="AM146" i="3" s="1"/>
  <c r="AJ147" i="3"/>
  <c r="AF241" i="3"/>
  <c r="AE242" i="3" s="1"/>
  <c r="AG241" i="3"/>
  <c r="AH241" i="3" s="1"/>
  <c r="U207" i="3"/>
  <c r="W206" i="3"/>
  <c r="X206" i="3" s="1"/>
  <c r="W146" i="3"/>
  <c r="X146" i="3" s="1"/>
  <c r="U147" i="3"/>
  <c r="AO68" i="3"/>
  <c r="AG91" i="3"/>
  <c r="AH91" i="3" s="1"/>
  <c r="AJ69" i="3"/>
  <c r="AL68" i="3"/>
  <c r="AM68" i="3" s="1"/>
  <c r="V49" i="3"/>
  <c r="Y49" i="3" s="1"/>
  <c r="AF92" i="3"/>
  <c r="AE93" i="3" s="1"/>
  <c r="AK357" i="3" l="1"/>
  <c r="AO357" i="3"/>
  <c r="AK304" i="3"/>
  <c r="AO304" i="3"/>
  <c r="AN304" i="3"/>
  <c r="AJ208" i="3"/>
  <c r="AL207" i="3"/>
  <c r="AM207" i="3" s="1"/>
  <c r="AN147" i="3"/>
  <c r="AK147" i="3"/>
  <c r="AF242" i="3"/>
  <c r="AE243" i="3" s="1"/>
  <c r="V207" i="3"/>
  <c r="Y207" i="3"/>
  <c r="Z207" i="3"/>
  <c r="V147" i="3"/>
  <c r="AK69" i="3"/>
  <c r="AN69" i="3" s="1"/>
  <c r="Z49" i="3"/>
  <c r="W49" i="3"/>
  <c r="X49" i="3" s="1"/>
  <c r="U50" i="3"/>
  <c r="AG92" i="3"/>
  <c r="AH92" i="3" s="1"/>
  <c r="AF93" i="3"/>
  <c r="AE94" i="3" s="1"/>
  <c r="AJ358" i="3" l="1"/>
  <c r="AL357" i="3"/>
  <c r="AM357" i="3" s="1"/>
  <c r="AN357" i="3"/>
  <c r="AL304" i="3"/>
  <c r="AM304" i="3" s="1"/>
  <c r="AJ305" i="3"/>
  <c r="AK208" i="3"/>
  <c r="AO208" i="3"/>
  <c r="AJ148" i="3"/>
  <c r="AL147" i="3"/>
  <c r="AM147" i="3" s="1"/>
  <c r="AO147" i="3"/>
  <c r="AF243" i="3"/>
  <c r="AE244" i="3" s="1"/>
  <c r="AG242" i="3"/>
  <c r="AH242" i="3" s="1"/>
  <c r="W207" i="3"/>
  <c r="X207" i="3" s="1"/>
  <c r="U208" i="3"/>
  <c r="U148" i="3"/>
  <c r="W147" i="3"/>
  <c r="X147" i="3" s="1"/>
  <c r="Z147" i="3"/>
  <c r="Y147" i="3"/>
  <c r="AO69" i="3"/>
  <c r="AL69" i="3"/>
  <c r="AM69" i="3" s="1"/>
  <c r="AJ70" i="3"/>
  <c r="AG93" i="3"/>
  <c r="AH93" i="3" s="1"/>
  <c r="V50" i="3"/>
  <c r="Y50" i="3" s="1"/>
  <c r="AF94" i="3"/>
  <c r="AE95" i="3" s="1"/>
  <c r="AN358" i="3" l="1"/>
  <c r="AK358" i="3"/>
  <c r="AK305" i="3"/>
  <c r="AJ209" i="3"/>
  <c r="AL208" i="3"/>
  <c r="AM208" i="3" s="1"/>
  <c r="AN208" i="3"/>
  <c r="AO148" i="3"/>
  <c r="AK148" i="3"/>
  <c r="AF244" i="3"/>
  <c r="AE245" i="3" s="1"/>
  <c r="AG243" i="3"/>
  <c r="AH243" i="3" s="1"/>
  <c r="V208" i="3"/>
  <c r="Z208" i="3" s="1"/>
  <c r="V148" i="3"/>
  <c r="Y148" i="3" s="1"/>
  <c r="AK70" i="3"/>
  <c r="AN70" i="3" s="1"/>
  <c r="Z50" i="3"/>
  <c r="AG94" i="3"/>
  <c r="AH94" i="3" s="1"/>
  <c r="W50" i="3"/>
  <c r="X50" i="3" s="1"/>
  <c r="U51" i="3"/>
  <c r="AF95" i="3"/>
  <c r="AE96" i="3" s="1"/>
  <c r="AJ359" i="3" l="1"/>
  <c r="AL358" i="3"/>
  <c r="AM358" i="3" s="1"/>
  <c r="AO358" i="3"/>
  <c r="AJ306" i="3"/>
  <c r="AL305" i="3"/>
  <c r="AM305" i="3" s="1"/>
  <c r="AO305" i="3"/>
  <c r="AN305" i="3"/>
  <c r="AK209" i="3"/>
  <c r="AL148" i="3"/>
  <c r="AM148" i="3" s="1"/>
  <c r="AJ149" i="3"/>
  <c r="AN148" i="3"/>
  <c r="AF245" i="3"/>
  <c r="AE246" i="3" s="1"/>
  <c r="AG245" i="3"/>
  <c r="AH245" i="3" s="1"/>
  <c r="AG244" i="3"/>
  <c r="AH244" i="3" s="1"/>
  <c r="W208" i="3"/>
  <c r="X208" i="3" s="1"/>
  <c r="U209" i="3"/>
  <c r="Y208" i="3"/>
  <c r="Z148" i="3"/>
  <c r="W148" i="3"/>
  <c r="X148" i="3" s="1"/>
  <c r="U149" i="3"/>
  <c r="AO70" i="3"/>
  <c r="AL70" i="3"/>
  <c r="AM70" i="3" s="1"/>
  <c r="AJ71" i="3"/>
  <c r="V51" i="3"/>
  <c r="Y51" i="3" s="1"/>
  <c r="AG95" i="3"/>
  <c r="AH95" i="3" s="1"/>
  <c r="AF96" i="3"/>
  <c r="AE97" i="3" s="1"/>
  <c r="AK359" i="3" l="1"/>
  <c r="AO359" i="3"/>
  <c r="AK306" i="3"/>
  <c r="AN306" i="3"/>
  <c r="AO306" i="3"/>
  <c r="AJ210" i="3"/>
  <c r="AL209" i="3"/>
  <c r="AM209" i="3" s="1"/>
  <c r="AO209" i="3"/>
  <c r="AN209" i="3"/>
  <c r="AK149" i="3"/>
  <c r="AF246" i="3"/>
  <c r="AE247" i="3" s="1"/>
  <c r="AG246" i="3"/>
  <c r="AH246" i="3" s="1"/>
  <c r="V209" i="3"/>
  <c r="V149" i="3"/>
  <c r="AK71" i="3"/>
  <c r="AN71" i="3" s="1"/>
  <c r="Z51" i="3"/>
  <c r="AG96" i="3"/>
  <c r="AH96" i="3" s="1"/>
  <c r="W51" i="3"/>
  <c r="X51" i="3" s="1"/>
  <c r="U52" i="3"/>
  <c r="AF97" i="3"/>
  <c r="AE98" i="3" s="1"/>
  <c r="AL359" i="3" l="1"/>
  <c r="AM359" i="3" s="1"/>
  <c r="AJ360" i="3"/>
  <c r="AN359" i="3"/>
  <c r="AL306" i="3"/>
  <c r="AM306" i="3" s="1"/>
  <c r="AJ307" i="3"/>
  <c r="AK210" i="3"/>
  <c r="AN210" i="3"/>
  <c r="AO210" i="3"/>
  <c r="AL149" i="3"/>
  <c r="AM149" i="3" s="1"/>
  <c r="AJ150" i="3"/>
  <c r="AO149" i="3"/>
  <c r="AN149" i="3"/>
  <c r="AF247" i="3"/>
  <c r="AE248" i="3" s="1"/>
  <c r="W209" i="3"/>
  <c r="X209" i="3" s="1"/>
  <c r="U210" i="3"/>
  <c r="Z209" i="3"/>
  <c r="Y209" i="3"/>
  <c r="W149" i="3"/>
  <c r="X149" i="3" s="1"/>
  <c r="U150" i="3"/>
  <c r="Z149" i="3"/>
  <c r="Y149" i="3"/>
  <c r="AO71" i="3"/>
  <c r="AL71" i="3"/>
  <c r="AM71" i="3" s="1"/>
  <c r="AJ72" i="3"/>
  <c r="V52" i="3"/>
  <c r="Y52" i="3" s="1"/>
  <c r="AG97" i="3"/>
  <c r="AH97" i="3" s="1"/>
  <c r="AF98" i="3"/>
  <c r="AE99" i="3" s="1"/>
  <c r="AK360" i="3" l="1"/>
  <c r="AN360" i="3" s="1"/>
  <c r="AK307" i="3"/>
  <c r="AO307" i="3" s="1"/>
  <c r="AL210" i="3"/>
  <c r="AM210" i="3" s="1"/>
  <c r="AJ211" i="3"/>
  <c r="AK150" i="3"/>
  <c r="AN150" i="3"/>
  <c r="AO150" i="3"/>
  <c r="AF248" i="3"/>
  <c r="AE249" i="3" s="1"/>
  <c r="AG247" i="3"/>
  <c r="AH247" i="3" s="1"/>
  <c r="V210" i="3"/>
  <c r="Y210" i="3"/>
  <c r="Z210" i="3"/>
  <c r="V150" i="3"/>
  <c r="Y150" i="3"/>
  <c r="Z150" i="3"/>
  <c r="AK72" i="3"/>
  <c r="AN72" i="3" s="1"/>
  <c r="Z52" i="3"/>
  <c r="AG98" i="3"/>
  <c r="AH98" i="3" s="1"/>
  <c r="U53" i="3"/>
  <c r="W52" i="3"/>
  <c r="X52" i="3" s="1"/>
  <c r="AF99" i="3"/>
  <c r="AE100" i="3" s="1"/>
  <c r="AF100" i="3" s="1"/>
  <c r="AG100" i="3" s="1"/>
  <c r="AH100" i="3" s="1"/>
  <c r="AJ361" i="3" l="1"/>
  <c r="AL360" i="3"/>
  <c r="AM360" i="3" s="1"/>
  <c r="AO360" i="3"/>
  <c r="AL307" i="3"/>
  <c r="AM307" i="3" s="1"/>
  <c r="AJ308" i="3"/>
  <c r="AN307" i="3"/>
  <c r="AK211" i="3"/>
  <c r="AJ151" i="3"/>
  <c r="AL150" i="3"/>
  <c r="AM150" i="3" s="1"/>
  <c r="AF249" i="3"/>
  <c r="AE250" i="3" s="1"/>
  <c r="AG249" i="3"/>
  <c r="AH249" i="3" s="1"/>
  <c r="AG248" i="3"/>
  <c r="AH248" i="3" s="1"/>
  <c r="W210" i="3"/>
  <c r="X210" i="3" s="1"/>
  <c r="U211" i="3"/>
  <c r="U151" i="3"/>
  <c r="W150" i="3"/>
  <c r="X150" i="3" s="1"/>
  <c r="AO72" i="3"/>
  <c r="AL72" i="3"/>
  <c r="AM72" i="3" s="1"/>
  <c r="AJ73" i="3"/>
  <c r="AG99" i="3"/>
  <c r="AH99" i="3" s="1"/>
  <c r="V53" i="3"/>
  <c r="Y53" i="3" s="1"/>
  <c r="AK361" i="3" l="1"/>
  <c r="AK308" i="3"/>
  <c r="AN308" i="3"/>
  <c r="AO308" i="3"/>
  <c r="AL211" i="3"/>
  <c r="AM211" i="3" s="1"/>
  <c r="AJ212" i="3"/>
  <c r="AN211" i="3"/>
  <c r="AO211" i="3"/>
  <c r="AK151" i="3"/>
  <c r="AO151" i="3"/>
  <c r="AN151" i="3"/>
  <c r="AF250" i="3"/>
  <c r="AE251" i="3" s="1"/>
  <c r="V211" i="3"/>
  <c r="V151" i="3"/>
  <c r="Z151" i="3"/>
  <c r="Y151" i="3"/>
  <c r="AK73" i="3"/>
  <c r="AO73" i="3" s="1"/>
  <c r="Z53" i="3"/>
  <c r="U54" i="3"/>
  <c r="W53" i="3"/>
  <c r="X53" i="3" s="1"/>
  <c r="AL361" i="3" l="1"/>
  <c r="AM361" i="3" s="1"/>
  <c r="AJ362" i="3"/>
  <c r="AN361" i="3"/>
  <c r="AO361" i="3"/>
  <c r="AJ309" i="3"/>
  <c r="AL308" i="3"/>
  <c r="AM308" i="3" s="1"/>
  <c r="AK212" i="3"/>
  <c r="AN212" i="3"/>
  <c r="AO212" i="3"/>
  <c r="AL151" i="3"/>
  <c r="AM151" i="3" s="1"/>
  <c r="AJ152" i="3"/>
  <c r="AF251" i="3"/>
  <c r="AE252" i="3" s="1"/>
  <c r="AG250" i="3"/>
  <c r="AH250" i="3" s="1"/>
  <c r="U212" i="3"/>
  <c r="W211" i="3"/>
  <c r="X211" i="3" s="1"/>
  <c r="Z211" i="3"/>
  <c r="Y211" i="3"/>
  <c r="W151" i="3"/>
  <c r="X151" i="3" s="1"/>
  <c r="U152" i="3"/>
  <c r="AN73" i="3"/>
  <c r="AL73" i="3"/>
  <c r="AM73" i="3" s="1"/>
  <c r="AJ74" i="3"/>
  <c r="V54" i="3"/>
  <c r="Y54" i="3" s="1"/>
  <c r="AN362" i="3" l="1"/>
  <c r="AK362" i="3"/>
  <c r="AO362" i="3"/>
  <c r="AK309" i="3"/>
  <c r="AO309" i="3"/>
  <c r="AN309" i="3"/>
  <c r="AJ213" i="3"/>
  <c r="AL212" i="3"/>
  <c r="AM212" i="3" s="1"/>
  <c r="AK152" i="3"/>
  <c r="AG251" i="3"/>
  <c r="AH251" i="3" s="1"/>
  <c r="AF252" i="3"/>
  <c r="AE253" i="3" s="1"/>
  <c r="V212" i="3"/>
  <c r="Z212" i="3" s="1"/>
  <c r="Y212" i="3"/>
  <c r="V152" i="3"/>
  <c r="Z152" i="3" s="1"/>
  <c r="AK74" i="3"/>
  <c r="AO74" i="3" s="1"/>
  <c r="Z54" i="3"/>
  <c r="W54" i="3"/>
  <c r="X54" i="3" s="1"/>
  <c r="U55" i="3"/>
  <c r="AJ363" i="3" l="1"/>
  <c r="AL362" i="3"/>
  <c r="AM362" i="3" s="1"/>
  <c r="AL309" i="3"/>
  <c r="AM309" i="3" s="1"/>
  <c r="AJ310" i="3"/>
  <c r="AK213" i="3"/>
  <c r="AO213" i="3" s="1"/>
  <c r="AN213" i="3"/>
  <c r="AJ153" i="3"/>
  <c r="AL152" i="3"/>
  <c r="AM152" i="3" s="1"/>
  <c r="AO152" i="3"/>
  <c r="AN152" i="3"/>
  <c r="AG252" i="3"/>
  <c r="AH252" i="3" s="1"/>
  <c r="AF253" i="3"/>
  <c r="AE254" i="3" s="1"/>
  <c r="U213" i="3"/>
  <c r="W212" i="3"/>
  <c r="X212" i="3" s="1"/>
  <c r="U153" i="3"/>
  <c r="W152" i="3"/>
  <c r="X152" i="3" s="1"/>
  <c r="Y152" i="3"/>
  <c r="AN74" i="3"/>
  <c r="AL74" i="3"/>
  <c r="AM74" i="3" s="1"/>
  <c r="AJ75" i="3"/>
  <c r="V55" i="3"/>
  <c r="Y55" i="3" s="1"/>
  <c r="AK363" i="3" l="1"/>
  <c r="AO363" i="3"/>
  <c r="AN363" i="3"/>
  <c r="AO310" i="3"/>
  <c r="AK310" i="3"/>
  <c r="AL310" i="3" s="1"/>
  <c r="AM310" i="3" s="1"/>
  <c r="AL213" i="3"/>
  <c r="AM213" i="3" s="1"/>
  <c r="AJ214" i="3"/>
  <c r="AK153" i="3"/>
  <c r="AN153" i="3"/>
  <c r="AO153" i="3"/>
  <c r="AF254" i="3"/>
  <c r="AE255" i="3" s="1"/>
  <c r="AG254" i="3"/>
  <c r="AH254" i="3" s="1"/>
  <c r="AG253" i="3"/>
  <c r="AH253" i="3" s="1"/>
  <c r="V213" i="3"/>
  <c r="V153" i="3"/>
  <c r="Z153" i="3"/>
  <c r="Y153" i="3"/>
  <c r="AK75" i="3"/>
  <c r="AO75" i="3" s="1"/>
  <c r="Z55" i="3"/>
  <c r="U56" i="3"/>
  <c r="W55" i="3"/>
  <c r="X55" i="3" s="1"/>
  <c r="AL363" i="3" l="1"/>
  <c r="AM363" i="3" s="1"/>
  <c r="AJ364" i="3"/>
  <c r="AN310" i="3"/>
  <c r="AK214" i="3"/>
  <c r="AL153" i="3"/>
  <c r="AM153" i="3" s="1"/>
  <c r="AJ154" i="3"/>
  <c r="AF255" i="3"/>
  <c r="AE256" i="3" s="1"/>
  <c r="U214" i="3"/>
  <c r="W213" i="3"/>
  <c r="X213" i="3" s="1"/>
  <c r="Z213" i="3"/>
  <c r="Y213" i="3"/>
  <c r="W153" i="3"/>
  <c r="X153" i="3" s="1"/>
  <c r="U154" i="3"/>
  <c r="AN75" i="3"/>
  <c r="AL75" i="3"/>
  <c r="AM75" i="3" s="1"/>
  <c r="AJ76" i="3"/>
  <c r="V56" i="3"/>
  <c r="Y56" i="3" s="1"/>
  <c r="AK364" i="3" l="1"/>
  <c r="AJ215" i="3"/>
  <c r="AL214" i="3"/>
  <c r="AM214" i="3" s="1"/>
  <c r="AO214" i="3"/>
  <c r="AN214" i="3"/>
  <c r="AN154" i="3"/>
  <c r="AK154" i="3"/>
  <c r="AF256" i="3"/>
  <c r="AE257" i="3" s="1"/>
  <c r="AG256" i="3"/>
  <c r="AH256" i="3" s="1"/>
  <c r="AG255" i="3"/>
  <c r="AH255" i="3" s="1"/>
  <c r="V214" i="3"/>
  <c r="Y214" i="3"/>
  <c r="Z214" i="3"/>
  <c r="V154" i="3"/>
  <c r="AK76" i="3"/>
  <c r="AO76" i="3" s="1"/>
  <c r="Z56" i="3"/>
  <c r="W56" i="3"/>
  <c r="X56" i="3" s="1"/>
  <c r="U57" i="3"/>
  <c r="AL364" i="3" l="1"/>
  <c r="AM364" i="3" s="1"/>
  <c r="AJ365" i="3"/>
  <c r="AO364" i="3"/>
  <c r="AN364" i="3"/>
  <c r="AK215" i="3"/>
  <c r="AN215" i="3"/>
  <c r="AO215" i="3"/>
  <c r="AL154" i="3"/>
  <c r="AM154" i="3" s="1"/>
  <c r="AJ155" i="3"/>
  <c r="AO154" i="3"/>
  <c r="AF257" i="3"/>
  <c r="AE258" i="3" s="1"/>
  <c r="AG257" i="3"/>
  <c r="AH257" i="3" s="1"/>
  <c r="W214" i="3"/>
  <c r="X214" i="3" s="1"/>
  <c r="U215" i="3"/>
  <c r="W154" i="3"/>
  <c r="X154" i="3" s="1"/>
  <c r="U155" i="3"/>
  <c r="Y154" i="3"/>
  <c r="Z154" i="3"/>
  <c r="AN76" i="3"/>
  <c r="AL76" i="3"/>
  <c r="AM76" i="3" s="1"/>
  <c r="AJ77" i="3"/>
  <c r="V57" i="3"/>
  <c r="Y57" i="3" s="1"/>
  <c r="AK365" i="3" l="1"/>
  <c r="AN365" i="3"/>
  <c r="AO365" i="3"/>
  <c r="AL215" i="3"/>
  <c r="AM215" i="3" s="1"/>
  <c r="AJ216" i="3"/>
  <c r="AK155" i="3"/>
  <c r="AO155" i="3" s="1"/>
  <c r="AN155" i="3"/>
  <c r="AF258" i="3"/>
  <c r="AE259" i="3" s="1"/>
  <c r="V215" i="3"/>
  <c r="Y215" i="3"/>
  <c r="V155" i="3"/>
  <c r="Y155" i="3"/>
  <c r="Z155" i="3"/>
  <c r="AK77" i="3"/>
  <c r="AO77" i="3" s="1"/>
  <c r="Z57" i="3"/>
  <c r="W57" i="3"/>
  <c r="X57" i="3" s="1"/>
  <c r="U58" i="3"/>
  <c r="AJ366" i="3" l="1"/>
  <c r="AL365" i="3"/>
  <c r="AM365" i="3" s="1"/>
  <c r="AK216" i="3"/>
  <c r="AJ156" i="3"/>
  <c r="AL155" i="3"/>
  <c r="AM155" i="3" s="1"/>
  <c r="AF259" i="3"/>
  <c r="AE260" i="3" s="1"/>
  <c r="AG258" i="3"/>
  <c r="AH258" i="3" s="1"/>
  <c r="W215" i="3"/>
  <c r="X215" i="3" s="1"/>
  <c r="U216" i="3"/>
  <c r="Z215" i="3"/>
  <c r="U156" i="3"/>
  <c r="W155" i="3"/>
  <c r="X155" i="3" s="1"/>
  <c r="AN77" i="3"/>
  <c r="AJ78" i="3"/>
  <c r="AL77" i="3"/>
  <c r="AM77" i="3" s="1"/>
  <c r="V58" i="3"/>
  <c r="Y58" i="3" s="1"/>
  <c r="AK366" i="3" l="1"/>
  <c r="AN366" i="3"/>
  <c r="AL216" i="3"/>
  <c r="AM216" i="3" s="1"/>
  <c r="AJ217" i="3"/>
  <c r="AO216" i="3"/>
  <c r="AN216" i="3"/>
  <c r="AK156" i="3"/>
  <c r="AO156" i="3"/>
  <c r="AN156" i="3"/>
  <c r="AF260" i="3"/>
  <c r="AE261" i="3" s="1"/>
  <c r="AG260" i="3"/>
  <c r="AH260" i="3" s="1"/>
  <c r="AG259" i="3"/>
  <c r="AH259" i="3" s="1"/>
  <c r="V216" i="3"/>
  <c r="Y216" i="3"/>
  <c r="Z216" i="3"/>
  <c r="V156" i="3"/>
  <c r="Z156" i="3"/>
  <c r="Y156" i="3"/>
  <c r="AK78" i="3"/>
  <c r="AN78" i="3" s="1"/>
  <c r="Z58" i="3"/>
  <c r="U59" i="3"/>
  <c r="W58" i="3"/>
  <c r="X58" i="3" s="1"/>
  <c r="AL366" i="3" l="1"/>
  <c r="AM366" i="3" s="1"/>
  <c r="AJ367" i="3"/>
  <c r="AO366" i="3"/>
  <c r="AK217" i="3"/>
  <c r="AN217" i="3"/>
  <c r="AO217" i="3"/>
  <c r="AL156" i="3"/>
  <c r="AM156" i="3" s="1"/>
  <c r="AJ157" i="3"/>
  <c r="AF261" i="3"/>
  <c r="AE262" i="3" s="1"/>
  <c r="AG261" i="3"/>
  <c r="AH261" i="3" s="1"/>
  <c r="U217" i="3"/>
  <c r="W216" i="3"/>
  <c r="X216" i="3" s="1"/>
  <c r="W156" i="3"/>
  <c r="X156" i="3" s="1"/>
  <c r="U157" i="3"/>
  <c r="AO78" i="3"/>
  <c r="AL78" i="3"/>
  <c r="AM78" i="3" s="1"/>
  <c r="AJ79" i="3"/>
  <c r="V59" i="3"/>
  <c r="Y59" i="3" s="1"/>
  <c r="AN367" i="3" l="1"/>
  <c r="AK367" i="3"/>
  <c r="AO367" i="3"/>
  <c r="AJ218" i="3"/>
  <c r="AL217" i="3"/>
  <c r="AM217" i="3" s="1"/>
  <c r="AO157" i="3"/>
  <c r="AK157" i="3"/>
  <c r="AF262" i="3"/>
  <c r="AE263" i="3" s="1"/>
  <c r="V217" i="3"/>
  <c r="Y217" i="3"/>
  <c r="Z217" i="3"/>
  <c r="V157" i="3"/>
  <c r="AK79" i="3"/>
  <c r="AN79" i="3" s="1"/>
  <c r="Z59" i="3"/>
  <c r="W59" i="3"/>
  <c r="X59" i="3" s="1"/>
  <c r="U60" i="3"/>
  <c r="AL367" i="3" l="1"/>
  <c r="AM367" i="3" s="1"/>
  <c r="AJ368" i="3"/>
  <c r="AK218" i="3"/>
  <c r="AO218" i="3" s="1"/>
  <c r="AN218" i="3"/>
  <c r="AJ158" i="3"/>
  <c r="AL157" i="3"/>
  <c r="AM157" i="3" s="1"/>
  <c r="AN157" i="3"/>
  <c r="AF263" i="3"/>
  <c r="AE264" i="3" s="1"/>
  <c r="AG262" i="3"/>
  <c r="AH262" i="3" s="1"/>
  <c r="U218" i="3"/>
  <c r="W217" i="3"/>
  <c r="X217" i="3" s="1"/>
  <c r="U158" i="3"/>
  <c r="W157" i="3"/>
  <c r="X157" i="3" s="1"/>
  <c r="Z157" i="3"/>
  <c r="Y157" i="3"/>
  <c r="AO79" i="3"/>
  <c r="AL79" i="3"/>
  <c r="AM79" i="3" s="1"/>
  <c r="AJ80" i="3"/>
  <c r="V60" i="3"/>
  <c r="Y60" i="3" s="1"/>
  <c r="AK368" i="3" l="1"/>
  <c r="AL218" i="3"/>
  <c r="AM218" i="3" s="1"/>
  <c r="AJ219" i="3"/>
  <c r="AK158" i="3"/>
  <c r="AO158" i="3"/>
  <c r="AN158" i="3"/>
  <c r="AF264" i="3"/>
  <c r="AE265" i="3" s="1"/>
  <c r="AG263" i="3"/>
  <c r="AH263" i="3" s="1"/>
  <c r="V218" i="3"/>
  <c r="V158" i="3"/>
  <c r="Y158" i="3"/>
  <c r="Z158" i="3"/>
  <c r="AK80" i="3"/>
  <c r="AN80" i="3" s="1"/>
  <c r="Z60" i="3"/>
  <c r="W60" i="3"/>
  <c r="X60" i="3" s="1"/>
  <c r="U61" i="3"/>
  <c r="AJ369" i="3" l="1"/>
  <c r="AL368" i="3"/>
  <c r="AM368" i="3" s="1"/>
  <c r="AO368" i="3"/>
  <c r="AN368" i="3"/>
  <c r="AK219" i="3"/>
  <c r="AL158" i="3"/>
  <c r="AM158" i="3" s="1"/>
  <c r="AJ159" i="3"/>
  <c r="AF265" i="3"/>
  <c r="AE266" i="3" s="1"/>
  <c r="AG264" i="3"/>
  <c r="AH264" i="3" s="1"/>
  <c r="U219" i="3"/>
  <c r="W218" i="3"/>
  <c r="X218" i="3" s="1"/>
  <c r="Z218" i="3"/>
  <c r="Y218" i="3"/>
  <c r="W158" i="3"/>
  <c r="X158" i="3" s="1"/>
  <c r="U159" i="3"/>
  <c r="AO80" i="3"/>
  <c r="AL80" i="3"/>
  <c r="AM80" i="3" s="1"/>
  <c r="AJ81" i="3"/>
  <c r="V61" i="3"/>
  <c r="Y61" i="3" s="1"/>
  <c r="AK369" i="3" l="1"/>
  <c r="AO369" i="3"/>
  <c r="AJ220" i="3"/>
  <c r="AL219" i="3"/>
  <c r="AM219" i="3" s="1"/>
  <c r="AO219" i="3"/>
  <c r="AN219" i="3"/>
  <c r="AO159" i="3"/>
  <c r="AK159" i="3"/>
  <c r="AF266" i="3"/>
  <c r="AE267" i="3" s="1"/>
  <c r="AG266" i="3"/>
  <c r="AH266" i="3" s="1"/>
  <c r="AG265" i="3"/>
  <c r="AH265" i="3" s="1"/>
  <c r="V219" i="3"/>
  <c r="Z219" i="3"/>
  <c r="Y219" i="3"/>
  <c r="V159" i="3"/>
  <c r="AK81" i="3"/>
  <c r="AN81" i="3" s="1"/>
  <c r="Z61" i="3"/>
  <c r="W61" i="3"/>
  <c r="X61" i="3" s="1"/>
  <c r="U62" i="3"/>
  <c r="AL369" i="3" l="1"/>
  <c r="AM369" i="3" s="1"/>
  <c r="AJ370" i="3"/>
  <c r="AN369" i="3"/>
  <c r="AK220" i="3"/>
  <c r="AN220" i="3"/>
  <c r="AO220" i="3"/>
  <c r="AL159" i="3"/>
  <c r="AM159" i="3" s="1"/>
  <c r="AJ160" i="3"/>
  <c r="AN159" i="3"/>
  <c r="AF267" i="3"/>
  <c r="AE268" i="3" s="1"/>
  <c r="AG267" i="3"/>
  <c r="AH267" i="3" s="1"/>
  <c r="U220" i="3"/>
  <c r="W219" i="3"/>
  <c r="X219" i="3" s="1"/>
  <c r="W159" i="3"/>
  <c r="X159" i="3" s="1"/>
  <c r="U160" i="3"/>
  <c r="Z159" i="3"/>
  <c r="Y159" i="3"/>
  <c r="AO81" i="3"/>
  <c r="AL81" i="3"/>
  <c r="AM81" i="3" s="1"/>
  <c r="AJ82" i="3"/>
  <c r="V62" i="3"/>
  <c r="Y62" i="3" s="1"/>
  <c r="AK370" i="3" l="1"/>
  <c r="AN370" i="3"/>
  <c r="AL220" i="3"/>
  <c r="AM220" i="3" s="1"/>
  <c r="AJ221" i="3"/>
  <c r="AK160" i="3"/>
  <c r="AN160" i="3"/>
  <c r="AO160" i="3"/>
  <c r="AF268" i="3"/>
  <c r="AE269" i="3" s="1"/>
  <c r="V220" i="3"/>
  <c r="Y220" i="3"/>
  <c r="Z220" i="3"/>
  <c r="V160" i="3"/>
  <c r="Y160" i="3"/>
  <c r="Z160" i="3"/>
  <c r="AK82" i="3"/>
  <c r="AO82" i="3" s="1"/>
  <c r="Z62" i="3"/>
  <c r="U63" i="3"/>
  <c r="W62" i="3"/>
  <c r="X62" i="3" s="1"/>
  <c r="AJ371" i="3" l="1"/>
  <c r="AL370" i="3"/>
  <c r="AM370" i="3" s="1"/>
  <c r="AO370" i="3"/>
  <c r="AO221" i="3"/>
  <c r="AN221" i="3"/>
  <c r="AK221" i="3"/>
  <c r="AJ161" i="3"/>
  <c r="AL160" i="3"/>
  <c r="AM160" i="3" s="1"/>
  <c r="AF269" i="3"/>
  <c r="AE270" i="3" s="1"/>
  <c r="AG269" i="3"/>
  <c r="AH269" i="3" s="1"/>
  <c r="AG268" i="3"/>
  <c r="AH268" i="3" s="1"/>
  <c r="W220" i="3"/>
  <c r="X220" i="3" s="1"/>
  <c r="U221" i="3"/>
  <c r="U161" i="3"/>
  <c r="W160" i="3"/>
  <c r="X160" i="3" s="1"/>
  <c r="AN82" i="3"/>
  <c r="AJ83" i="3"/>
  <c r="AL82" i="3"/>
  <c r="AM82" i="3" s="1"/>
  <c r="V63" i="3"/>
  <c r="Y63" i="3" s="1"/>
  <c r="AK371" i="3" l="1"/>
  <c r="AL221" i="3"/>
  <c r="AM221" i="3" s="1"/>
  <c r="AJ222" i="3"/>
  <c r="AK161" i="3"/>
  <c r="AN161" i="3"/>
  <c r="AO161" i="3"/>
  <c r="AF270" i="3"/>
  <c r="AE271" i="3" s="1"/>
  <c r="V221" i="3"/>
  <c r="Z221" i="3"/>
  <c r="V161" i="3"/>
  <c r="W161" i="3" s="1"/>
  <c r="X161" i="3" s="1"/>
  <c r="Z161" i="3"/>
  <c r="Y161" i="3"/>
  <c r="AK83" i="3"/>
  <c r="AN83" i="3" s="1"/>
  <c r="Z63" i="3"/>
  <c r="U64" i="3"/>
  <c r="W63" i="3"/>
  <c r="X63" i="3" s="1"/>
  <c r="AL371" i="3" l="1"/>
  <c r="AM371" i="3" s="1"/>
  <c r="AJ372" i="3"/>
  <c r="AO371" i="3"/>
  <c r="AN371" i="3"/>
  <c r="AK222" i="3"/>
  <c r="AN222" i="3"/>
  <c r="AO222" i="3"/>
  <c r="AL161" i="3"/>
  <c r="AM161" i="3" s="1"/>
  <c r="AJ162" i="3"/>
  <c r="AG270" i="3"/>
  <c r="AH270" i="3" s="1"/>
  <c r="AF271" i="3"/>
  <c r="AE272" i="3" s="1"/>
  <c r="AG271" i="3"/>
  <c r="AH271" i="3" s="1"/>
  <c r="U222" i="3"/>
  <c r="W221" i="3"/>
  <c r="X221" i="3" s="1"/>
  <c r="Y221" i="3"/>
  <c r="AO83" i="3"/>
  <c r="AL83" i="3"/>
  <c r="AM83" i="3" s="1"/>
  <c r="AJ84" i="3"/>
  <c r="V64" i="3"/>
  <c r="Y64" i="3" s="1"/>
  <c r="AK372" i="3" l="1"/>
  <c r="AJ223" i="3"/>
  <c r="AL222" i="3"/>
  <c r="AM222" i="3" s="1"/>
  <c r="AK162" i="3"/>
  <c r="AL162" i="3" s="1"/>
  <c r="AM162" i="3" s="1"/>
  <c r="AF272" i="3"/>
  <c r="AE273" i="3" s="1"/>
  <c r="AG272" i="3"/>
  <c r="AH272" i="3" s="1"/>
  <c r="V222" i="3"/>
  <c r="Z222" i="3"/>
  <c r="Y222" i="3"/>
  <c r="AK84" i="3"/>
  <c r="AO84" i="3" s="1"/>
  <c r="Z64" i="3"/>
  <c r="W64" i="3"/>
  <c r="X64" i="3" s="1"/>
  <c r="U65" i="3"/>
  <c r="AL372" i="3" l="1"/>
  <c r="AM372" i="3" s="1"/>
  <c r="AJ373" i="3"/>
  <c r="AO372" i="3"/>
  <c r="AN372" i="3"/>
  <c r="AK223" i="3"/>
  <c r="AN223" i="3"/>
  <c r="AO223" i="3"/>
  <c r="AO162" i="3"/>
  <c r="AN162" i="3"/>
  <c r="AF273" i="3"/>
  <c r="AE274" i="3" s="1"/>
  <c r="W222" i="3"/>
  <c r="X222" i="3" s="1"/>
  <c r="U223" i="3"/>
  <c r="AN84" i="3"/>
  <c r="AJ85" i="3"/>
  <c r="AL84" i="3"/>
  <c r="AM84" i="3" s="1"/>
  <c r="V65" i="3"/>
  <c r="Y65" i="3" s="1"/>
  <c r="AO373" i="3" l="1"/>
  <c r="AK373" i="3"/>
  <c r="AN373" i="3"/>
  <c r="AL223" i="3"/>
  <c r="AM223" i="3" s="1"/>
  <c r="AJ224" i="3"/>
  <c r="AF274" i="3"/>
  <c r="AE275" i="3" s="1"/>
  <c r="AG274" i="3"/>
  <c r="AH274" i="3" s="1"/>
  <c r="AG273" i="3"/>
  <c r="AH273" i="3" s="1"/>
  <c r="V223" i="3"/>
  <c r="AK85" i="3"/>
  <c r="AN85" i="3" s="1"/>
  <c r="Z65" i="3"/>
  <c r="U66" i="3"/>
  <c r="W65" i="3"/>
  <c r="X65" i="3" s="1"/>
  <c r="AJ374" i="3" l="1"/>
  <c r="AL373" i="3"/>
  <c r="AM373" i="3" s="1"/>
  <c r="AO224" i="3"/>
  <c r="AK224" i="3"/>
  <c r="AF275" i="3"/>
  <c r="AE276" i="3" s="1"/>
  <c r="U224" i="3"/>
  <c r="W223" i="3"/>
  <c r="X223" i="3" s="1"/>
  <c r="Z223" i="3"/>
  <c r="Y223" i="3"/>
  <c r="AO85" i="3"/>
  <c r="AJ86" i="3"/>
  <c r="AL85" i="3"/>
  <c r="AM85" i="3" s="1"/>
  <c r="V66" i="3"/>
  <c r="Y66" i="3" s="1"/>
  <c r="AK374" i="3" l="1"/>
  <c r="AJ225" i="3"/>
  <c r="AL224" i="3"/>
  <c r="AM224" i="3" s="1"/>
  <c r="AN224" i="3"/>
  <c r="AG275" i="3"/>
  <c r="AH275" i="3" s="1"/>
  <c r="AF276" i="3"/>
  <c r="AE277" i="3" s="1"/>
  <c r="AG276" i="3"/>
  <c r="AH276" i="3" s="1"/>
  <c r="V224" i="3"/>
  <c r="Y224" i="3"/>
  <c r="Z224" i="3"/>
  <c r="AK86" i="3"/>
  <c r="AO86" i="3" s="1"/>
  <c r="Z66" i="3"/>
  <c r="W66" i="3"/>
  <c r="X66" i="3" s="1"/>
  <c r="U67" i="3"/>
  <c r="AL374" i="3" l="1"/>
  <c r="AM374" i="3" s="1"/>
  <c r="AJ375" i="3"/>
  <c r="AO374" i="3"/>
  <c r="AN374" i="3"/>
  <c r="AK225" i="3"/>
  <c r="AO225" i="3"/>
  <c r="AN225" i="3"/>
  <c r="AF277" i="3"/>
  <c r="AE278" i="3" s="1"/>
  <c r="AG277" i="3"/>
  <c r="AH277" i="3" s="1"/>
  <c r="W224" i="3"/>
  <c r="X224" i="3" s="1"/>
  <c r="U225" i="3"/>
  <c r="AN86" i="3"/>
  <c r="AL86" i="3"/>
  <c r="AM86" i="3" s="1"/>
  <c r="AJ87" i="3"/>
  <c r="V67" i="3"/>
  <c r="Y67" i="3" s="1"/>
  <c r="AK375" i="3" l="1"/>
  <c r="AN375" i="3"/>
  <c r="AO375" i="3"/>
  <c r="AL225" i="3"/>
  <c r="AM225" i="3" s="1"/>
  <c r="AJ226" i="3"/>
  <c r="AF278" i="3"/>
  <c r="AE279" i="3" s="1"/>
  <c r="V225" i="3"/>
  <c r="Y225" i="3"/>
  <c r="Z225" i="3"/>
  <c r="AK87" i="3"/>
  <c r="AN87" i="3" s="1"/>
  <c r="Z67" i="3"/>
  <c r="W67" i="3"/>
  <c r="X67" i="3" s="1"/>
  <c r="U68" i="3"/>
  <c r="AJ376" i="3" l="1"/>
  <c r="AL375" i="3"/>
  <c r="AM375" i="3" s="1"/>
  <c r="AK226" i="3"/>
  <c r="AL226" i="3" s="1"/>
  <c r="AM226" i="3" s="1"/>
  <c r="AF279" i="3"/>
  <c r="AE280" i="3" s="1"/>
  <c r="AG278" i="3"/>
  <c r="AH278" i="3" s="1"/>
  <c r="W225" i="3"/>
  <c r="X225" i="3" s="1"/>
  <c r="U226" i="3"/>
  <c r="AO87" i="3"/>
  <c r="AL87" i="3"/>
  <c r="AM87" i="3" s="1"/>
  <c r="AJ88" i="3"/>
  <c r="V68" i="3"/>
  <c r="Y68" i="3" s="1"/>
  <c r="AK376" i="3" l="1"/>
  <c r="AN376" i="3"/>
  <c r="AO376" i="3"/>
  <c r="AO226" i="3"/>
  <c r="AN226" i="3"/>
  <c r="AF280" i="3"/>
  <c r="AE281" i="3" s="1"/>
  <c r="AG279" i="3"/>
  <c r="AH279" i="3" s="1"/>
  <c r="V226" i="3"/>
  <c r="AK88" i="3"/>
  <c r="AO88" i="3" s="1"/>
  <c r="Z68" i="3"/>
  <c r="W68" i="3"/>
  <c r="X68" i="3" s="1"/>
  <c r="U69" i="3"/>
  <c r="AL376" i="3" l="1"/>
  <c r="AM376" i="3" s="1"/>
  <c r="AJ377" i="3"/>
  <c r="AF281" i="3"/>
  <c r="AE282" i="3" s="1"/>
  <c r="AG281" i="3"/>
  <c r="AH281" i="3" s="1"/>
  <c r="AG280" i="3"/>
  <c r="AH280" i="3" s="1"/>
  <c r="U227" i="3"/>
  <c r="W226" i="3"/>
  <c r="X226" i="3" s="1"/>
  <c r="Z226" i="3"/>
  <c r="Y226" i="3"/>
  <c r="AN88" i="3"/>
  <c r="AL88" i="3"/>
  <c r="AM88" i="3" s="1"/>
  <c r="AJ89" i="3"/>
  <c r="V69" i="3"/>
  <c r="Y69" i="3" s="1"/>
  <c r="AK377" i="3" l="1"/>
  <c r="AO377" i="3"/>
  <c r="AF282" i="3"/>
  <c r="AE283" i="3" s="1"/>
  <c r="AG282" i="3"/>
  <c r="AH282" i="3" s="1"/>
  <c r="V227" i="3"/>
  <c r="Z227" i="3" s="1"/>
  <c r="Y227" i="3"/>
  <c r="AK89" i="3"/>
  <c r="AN89" i="3" s="1"/>
  <c r="Z69" i="3"/>
  <c r="W69" i="3"/>
  <c r="X69" i="3" s="1"/>
  <c r="U70" i="3"/>
  <c r="AJ378" i="3" l="1"/>
  <c r="AL377" i="3"/>
  <c r="AM377" i="3" s="1"/>
  <c r="AN377" i="3"/>
  <c r="AF283" i="3"/>
  <c r="AE284" i="3" s="1"/>
  <c r="W227" i="3"/>
  <c r="X227" i="3" s="1"/>
  <c r="U228" i="3"/>
  <c r="AO89" i="3"/>
  <c r="AL89" i="3"/>
  <c r="AM89" i="3" s="1"/>
  <c r="AJ90" i="3"/>
  <c r="V70" i="3"/>
  <c r="Y70" i="3" s="1"/>
  <c r="AK378" i="3" l="1"/>
  <c r="AF284" i="3"/>
  <c r="AE285" i="3" s="1"/>
  <c r="AG284" i="3"/>
  <c r="AH284" i="3" s="1"/>
  <c r="AG283" i="3"/>
  <c r="AH283" i="3" s="1"/>
  <c r="V228" i="3"/>
  <c r="AK90" i="3"/>
  <c r="AN90" i="3" s="1"/>
  <c r="Z70" i="3"/>
  <c r="W70" i="3"/>
  <c r="X70" i="3" s="1"/>
  <c r="U71" i="3"/>
  <c r="AL378" i="3" l="1"/>
  <c r="AM378" i="3" s="1"/>
  <c r="AJ379" i="3"/>
  <c r="AO378" i="3"/>
  <c r="AN378" i="3"/>
  <c r="AF285" i="3"/>
  <c r="AE286" i="3" s="1"/>
  <c r="AG285" i="3"/>
  <c r="AH285" i="3" s="1"/>
  <c r="W228" i="3"/>
  <c r="X228" i="3" s="1"/>
  <c r="U229" i="3"/>
  <c r="Z228" i="3"/>
  <c r="Y228" i="3"/>
  <c r="AO90" i="3"/>
  <c r="AL90" i="3"/>
  <c r="AM90" i="3" s="1"/>
  <c r="AJ91" i="3"/>
  <c r="V71" i="3"/>
  <c r="Y71" i="3" s="1"/>
  <c r="AK379" i="3" l="1"/>
  <c r="AN379" i="3"/>
  <c r="AF286" i="3"/>
  <c r="AE287" i="3" s="1"/>
  <c r="V229" i="3"/>
  <c r="Z229" i="3"/>
  <c r="AK91" i="3"/>
  <c r="AN91" i="3" s="1"/>
  <c r="Z71" i="3"/>
  <c r="W71" i="3"/>
  <c r="X71" i="3" s="1"/>
  <c r="U72" i="3"/>
  <c r="AL379" i="3" l="1"/>
  <c r="AM379" i="3" s="1"/>
  <c r="AJ380" i="3"/>
  <c r="AO379" i="3"/>
  <c r="AF287" i="3"/>
  <c r="AE288" i="3" s="1"/>
  <c r="AG287" i="3"/>
  <c r="AH287" i="3" s="1"/>
  <c r="AG286" i="3"/>
  <c r="AH286" i="3" s="1"/>
  <c r="W229" i="3"/>
  <c r="X229" i="3" s="1"/>
  <c r="U230" i="3"/>
  <c r="Y229" i="3"/>
  <c r="AO91" i="3"/>
  <c r="AL91" i="3"/>
  <c r="AM91" i="3" s="1"/>
  <c r="AJ92" i="3"/>
  <c r="V72" i="3"/>
  <c r="Y72" i="3" s="1"/>
  <c r="AK380" i="3" l="1"/>
  <c r="AO380" i="3"/>
  <c r="AN380" i="3"/>
  <c r="AF288" i="3"/>
  <c r="AE289" i="3" s="1"/>
  <c r="V230" i="3"/>
  <c r="AK92" i="3"/>
  <c r="AO92" i="3" s="1"/>
  <c r="Z72" i="3"/>
  <c r="W72" i="3"/>
  <c r="X72" i="3" s="1"/>
  <c r="U73" i="3"/>
  <c r="AJ381" i="3" l="1"/>
  <c r="AL380" i="3"/>
  <c r="AM380" i="3" s="1"/>
  <c r="AF289" i="3"/>
  <c r="AE290" i="3" s="1"/>
  <c r="AG288" i="3"/>
  <c r="AH288" i="3" s="1"/>
  <c r="W230" i="3"/>
  <c r="X230" i="3" s="1"/>
  <c r="U231" i="3"/>
  <c r="Z230" i="3"/>
  <c r="Y230" i="3"/>
  <c r="AN92" i="3"/>
  <c r="AJ93" i="3"/>
  <c r="AL92" i="3"/>
  <c r="AM92" i="3" s="1"/>
  <c r="V73" i="3"/>
  <c r="Y73" i="3" s="1"/>
  <c r="AK381" i="3" l="1"/>
  <c r="AO381" i="3"/>
  <c r="AF290" i="3"/>
  <c r="AE291" i="3" s="1"/>
  <c r="AG289" i="3"/>
  <c r="AH289" i="3" s="1"/>
  <c r="V231" i="3"/>
  <c r="AK93" i="3"/>
  <c r="AN93" i="3" s="1"/>
  <c r="Z73" i="3"/>
  <c r="U74" i="3"/>
  <c r="W73" i="3"/>
  <c r="X73" i="3" s="1"/>
  <c r="AJ382" i="3" l="1"/>
  <c r="AL381" i="3"/>
  <c r="AM381" i="3" s="1"/>
  <c r="AN381" i="3"/>
  <c r="AF291" i="3"/>
  <c r="AE292" i="3" s="1"/>
  <c r="AG291" i="3"/>
  <c r="AH291" i="3" s="1"/>
  <c r="AG290" i="3"/>
  <c r="AH290" i="3" s="1"/>
  <c r="U232" i="3"/>
  <c r="W231" i="3"/>
  <c r="X231" i="3" s="1"/>
  <c r="Z231" i="3"/>
  <c r="Y231" i="3"/>
  <c r="AO93" i="3"/>
  <c r="AL93" i="3"/>
  <c r="AM93" i="3" s="1"/>
  <c r="AJ94" i="3"/>
  <c r="V74" i="3"/>
  <c r="Y74" i="3" s="1"/>
  <c r="AK382" i="3" l="1"/>
  <c r="AF292" i="3"/>
  <c r="AE293" i="3" s="1"/>
  <c r="AG292" i="3"/>
  <c r="AH292" i="3" s="1"/>
  <c r="V232" i="3"/>
  <c r="Y232" i="3"/>
  <c r="Z232" i="3"/>
  <c r="AK94" i="3"/>
  <c r="AO94" i="3" s="1"/>
  <c r="Z74" i="3"/>
  <c r="W74" i="3"/>
  <c r="X74" i="3" s="1"/>
  <c r="U75" i="3"/>
  <c r="AJ383" i="3" l="1"/>
  <c r="AL382" i="3"/>
  <c r="AM382" i="3" s="1"/>
  <c r="AO382" i="3"/>
  <c r="AN382" i="3"/>
  <c r="AF293" i="3"/>
  <c r="AE294" i="3" s="1"/>
  <c r="W232" i="3"/>
  <c r="X232" i="3" s="1"/>
  <c r="U233" i="3"/>
  <c r="AN94" i="3"/>
  <c r="AL94" i="3"/>
  <c r="AM94" i="3" s="1"/>
  <c r="AJ95" i="3"/>
  <c r="V75" i="3"/>
  <c r="Y75" i="3" s="1"/>
  <c r="AK383" i="3" l="1"/>
  <c r="AN383" i="3"/>
  <c r="AF294" i="3"/>
  <c r="AE295" i="3" s="1"/>
  <c r="AG293" i="3"/>
  <c r="AH293" i="3" s="1"/>
  <c r="V233" i="3"/>
  <c r="Z233" i="3"/>
  <c r="AK95" i="3"/>
  <c r="AO95" i="3" s="1"/>
  <c r="Z75" i="3"/>
  <c r="W75" i="3"/>
  <c r="X75" i="3" s="1"/>
  <c r="U76" i="3"/>
  <c r="AL383" i="3" l="1"/>
  <c r="AM383" i="3" s="1"/>
  <c r="AJ384" i="3"/>
  <c r="AO383" i="3"/>
  <c r="AF295" i="3"/>
  <c r="AE296" i="3" s="1"/>
  <c r="AG295" i="3"/>
  <c r="AH295" i="3" s="1"/>
  <c r="AG294" i="3"/>
  <c r="AH294" i="3" s="1"/>
  <c r="W233" i="3"/>
  <c r="X233" i="3" s="1"/>
  <c r="U234" i="3"/>
  <c r="Y233" i="3"/>
  <c r="AN95" i="3"/>
  <c r="AJ96" i="3"/>
  <c r="AL95" i="3"/>
  <c r="AM95" i="3" s="1"/>
  <c r="V76" i="3"/>
  <c r="Y76" i="3" s="1"/>
  <c r="AK384" i="3" l="1"/>
  <c r="AN384" i="3"/>
  <c r="AO384" i="3"/>
  <c r="AF296" i="3"/>
  <c r="AE297" i="3" s="1"/>
  <c r="V234" i="3"/>
  <c r="Z234" i="3"/>
  <c r="AK96" i="3"/>
  <c r="AO96" i="3" s="1"/>
  <c r="Z76" i="3"/>
  <c r="W76" i="3"/>
  <c r="X76" i="3" s="1"/>
  <c r="U77" i="3"/>
  <c r="AL384" i="3" l="1"/>
  <c r="AM384" i="3" s="1"/>
  <c r="AJ385" i="3"/>
  <c r="AG296" i="3"/>
  <c r="AH296" i="3" s="1"/>
  <c r="AF297" i="3"/>
  <c r="AE298" i="3" s="1"/>
  <c r="AG297" i="3"/>
  <c r="AH297" i="3" s="1"/>
  <c r="W234" i="3"/>
  <c r="X234" i="3" s="1"/>
  <c r="U235" i="3"/>
  <c r="Y234" i="3"/>
  <c r="AN96" i="3"/>
  <c r="AL96" i="3"/>
  <c r="AM96" i="3" s="1"/>
  <c r="AJ97" i="3"/>
  <c r="V77" i="3"/>
  <c r="Y77" i="3" s="1"/>
  <c r="AN385" i="3" l="1"/>
  <c r="AK385" i="3"/>
  <c r="AF298" i="3"/>
  <c r="AE299" i="3" s="1"/>
  <c r="V235" i="3"/>
  <c r="Y235" i="3"/>
  <c r="Z235" i="3"/>
  <c r="AK97" i="3"/>
  <c r="AO97" i="3" s="1"/>
  <c r="Z77" i="3"/>
  <c r="W77" i="3"/>
  <c r="X77" i="3" s="1"/>
  <c r="U78" i="3"/>
  <c r="AJ386" i="3" l="1"/>
  <c r="AL385" i="3"/>
  <c r="AM385" i="3" s="1"/>
  <c r="AO385" i="3"/>
  <c r="AF299" i="3"/>
  <c r="AE300" i="3" s="1"/>
  <c r="AG299" i="3"/>
  <c r="AH299" i="3" s="1"/>
  <c r="AG298" i="3"/>
  <c r="AH298" i="3" s="1"/>
  <c r="W235" i="3"/>
  <c r="X235" i="3" s="1"/>
  <c r="U236" i="3"/>
  <c r="AN97" i="3"/>
  <c r="AJ98" i="3"/>
  <c r="AL97" i="3"/>
  <c r="AM97" i="3" s="1"/>
  <c r="V78" i="3"/>
  <c r="Y78" i="3" s="1"/>
  <c r="AK386" i="3" l="1"/>
  <c r="AN386" i="3" s="1"/>
  <c r="AF300" i="3"/>
  <c r="AE301" i="3" s="1"/>
  <c r="AG300" i="3"/>
  <c r="AH300" i="3" s="1"/>
  <c r="V236" i="3"/>
  <c r="AK98" i="3"/>
  <c r="AO98" i="3" s="1"/>
  <c r="Z78" i="3"/>
  <c r="U79" i="3"/>
  <c r="W78" i="3"/>
  <c r="X78" i="3" s="1"/>
  <c r="AO386" i="3" l="1"/>
  <c r="AL386" i="3"/>
  <c r="AM386" i="3" s="1"/>
  <c r="AJ387" i="3"/>
  <c r="AF301" i="3"/>
  <c r="AE302" i="3" s="1"/>
  <c r="AG301" i="3"/>
  <c r="AH301" i="3" s="1"/>
  <c r="U237" i="3"/>
  <c r="W236" i="3"/>
  <c r="X236" i="3" s="1"/>
  <c r="Z236" i="3"/>
  <c r="Y236" i="3"/>
  <c r="AN98" i="3"/>
  <c r="AJ99" i="3"/>
  <c r="AL98" i="3"/>
  <c r="AM98" i="3" s="1"/>
  <c r="V79" i="3"/>
  <c r="Y79" i="3" s="1"/>
  <c r="AN387" i="3" l="1"/>
  <c r="AK387" i="3"/>
  <c r="AO387" i="3"/>
  <c r="AF302" i="3"/>
  <c r="AE303" i="3" s="1"/>
  <c r="AG302" i="3"/>
  <c r="AH302" i="3" s="1"/>
  <c r="V237" i="3"/>
  <c r="Z237" i="3"/>
  <c r="Y237" i="3"/>
  <c r="AK99" i="3"/>
  <c r="AO99" i="3" s="1"/>
  <c r="Z79" i="3"/>
  <c r="U80" i="3"/>
  <c r="W79" i="3"/>
  <c r="X79" i="3" s="1"/>
  <c r="AJ388" i="3" l="1"/>
  <c r="AL387" i="3"/>
  <c r="AM387" i="3" s="1"/>
  <c r="AF303" i="3"/>
  <c r="AE304" i="3" s="1"/>
  <c r="U238" i="3"/>
  <c r="W237" i="3"/>
  <c r="X237" i="3" s="1"/>
  <c r="AN99" i="3"/>
  <c r="AL99" i="3"/>
  <c r="AM99" i="3" s="1"/>
  <c r="AJ100" i="3"/>
  <c r="V80" i="3"/>
  <c r="Y80" i="3" s="1"/>
  <c r="AK388" i="3" l="1"/>
  <c r="AN388" i="3" s="1"/>
  <c r="AO388" i="3"/>
  <c r="AG304" i="3"/>
  <c r="AH304" i="3" s="1"/>
  <c r="AF304" i="3"/>
  <c r="AE305" i="3" s="1"/>
  <c r="AG303" i="3"/>
  <c r="AH303" i="3" s="1"/>
  <c r="V238" i="3"/>
  <c r="Z238" i="3"/>
  <c r="AK100" i="3"/>
  <c r="AL100" i="3" s="1"/>
  <c r="AM100" i="3" s="1"/>
  <c r="Z80" i="3"/>
  <c r="U81" i="3"/>
  <c r="W80" i="3"/>
  <c r="X80" i="3" s="1"/>
  <c r="AJ389" i="3" l="1"/>
  <c r="AL388" i="3"/>
  <c r="AM388" i="3" s="1"/>
  <c r="AF305" i="3"/>
  <c r="AE306" i="3" s="1"/>
  <c r="AG305" i="3"/>
  <c r="AH305" i="3" s="1"/>
  <c r="W238" i="3"/>
  <c r="X238" i="3" s="1"/>
  <c r="U239" i="3"/>
  <c r="Y238" i="3"/>
  <c r="AN100" i="3"/>
  <c r="AO100" i="3"/>
  <c r="AB5" i="3" s="1"/>
  <c r="M3" i="1" s="1"/>
  <c r="V81" i="3"/>
  <c r="Y81" i="3" s="1"/>
  <c r="AK389" i="3" l="1"/>
  <c r="AN389" i="3" s="1"/>
  <c r="AO389" i="3"/>
  <c r="AF306" i="3"/>
  <c r="AE307" i="3" s="1"/>
  <c r="AG306" i="3"/>
  <c r="AH306" i="3" s="1"/>
  <c r="V239" i="3"/>
  <c r="Y239" i="3"/>
  <c r="Z239" i="3"/>
  <c r="G3" i="5"/>
  <c r="E3" i="5"/>
  <c r="Z81" i="3"/>
  <c r="W81" i="3"/>
  <c r="X81" i="3" s="1"/>
  <c r="U82" i="3"/>
  <c r="AL389" i="3" l="1"/>
  <c r="AM389" i="3" s="1"/>
  <c r="AJ390" i="3"/>
  <c r="AF307" i="3"/>
  <c r="AE308" i="3" s="1"/>
  <c r="U240" i="3"/>
  <c r="W239" i="3"/>
  <c r="X239" i="3" s="1"/>
  <c r="V82" i="3"/>
  <c r="Y82" i="3" s="1"/>
  <c r="AK390" i="3" l="1"/>
  <c r="AN390" i="3"/>
  <c r="AF308" i="3"/>
  <c r="AE309" i="3" s="1"/>
  <c r="AG307" i="3"/>
  <c r="AH307" i="3" s="1"/>
  <c r="V240" i="3"/>
  <c r="Y240" i="3"/>
  <c r="Z240" i="3"/>
  <c r="Z82" i="3"/>
  <c r="W82" i="3"/>
  <c r="X82" i="3" s="1"/>
  <c r="U83" i="3"/>
  <c r="AJ391" i="3" l="1"/>
  <c r="AL390" i="3"/>
  <c r="AM390" i="3" s="1"/>
  <c r="AO390" i="3"/>
  <c r="AF309" i="3"/>
  <c r="AE310" i="3" s="1"/>
  <c r="AG309" i="3"/>
  <c r="AH309" i="3" s="1"/>
  <c r="AG308" i="3"/>
  <c r="AH308" i="3" s="1"/>
  <c r="W240" i="3"/>
  <c r="X240" i="3" s="1"/>
  <c r="U241" i="3"/>
  <c r="V83" i="3"/>
  <c r="Y83" i="3" s="1"/>
  <c r="AK391" i="3" l="1"/>
  <c r="AF310" i="3"/>
  <c r="AE311" i="3" s="1"/>
  <c r="AG310" i="3"/>
  <c r="AH310" i="3" s="1"/>
  <c r="V241" i="3"/>
  <c r="Y241" i="3"/>
  <c r="Z83" i="3"/>
  <c r="U84" i="3"/>
  <c r="W83" i="3"/>
  <c r="X83" i="3" s="1"/>
  <c r="AL391" i="3" l="1"/>
  <c r="AM391" i="3" s="1"/>
  <c r="AJ392" i="3"/>
  <c r="AO391" i="3"/>
  <c r="AN391" i="3"/>
  <c r="AF311" i="3"/>
  <c r="AE312" i="3" s="1"/>
  <c r="AG311" i="3"/>
  <c r="AH311" i="3" s="1"/>
  <c r="U242" i="3"/>
  <c r="W241" i="3"/>
  <c r="X241" i="3" s="1"/>
  <c r="Z241" i="3"/>
  <c r="V84" i="3"/>
  <c r="Y84" i="3" s="1"/>
  <c r="AK392" i="3" l="1"/>
  <c r="AF312" i="3"/>
  <c r="AE313" i="3" s="1"/>
  <c r="AG312" i="3"/>
  <c r="AH312" i="3" s="1"/>
  <c r="V242" i="3"/>
  <c r="Y242" i="3"/>
  <c r="Z242" i="3"/>
  <c r="Z84" i="3"/>
  <c r="U85" i="3"/>
  <c r="W84" i="3"/>
  <c r="X84" i="3" s="1"/>
  <c r="AL392" i="3" l="1"/>
  <c r="AM392" i="3" s="1"/>
  <c r="AJ393" i="3"/>
  <c r="AO392" i="3"/>
  <c r="AN392" i="3"/>
  <c r="AF313" i="3"/>
  <c r="AE314" i="3" s="1"/>
  <c r="W242" i="3"/>
  <c r="X242" i="3" s="1"/>
  <c r="U243" i="3"/>
  <c r="V85" i="3"/>
  <c r="Y85" i="3" s="1"/>
  <c r="AK393" i="3" l="1"/>
  <c r="AN393" i="3" s="1"/>
  <c r="AO393" i="3"/>
  <c r="AF314" i="3"/>
  <c r="AE315" i="3" s="1"/>
  <c r="AG314" i="3"/>
  <c r="AH314" i="3" s="1"/>
  <c r="AG313" i="3"/>
  <c r="AH313" i="3" s="1"/>
  <c r="V243" i="3"/>
  <c r="Z85" i="3"/>
  <c r="U86" i="3"/>
  <c r="W85" i="3"/>
  <c r="X85" i="3" s="1"/>
  <c r="AL393" i="3" l="1"/>
  <c r="AM393" i="3" s="1"/>
  <c r="AJ394" i="3"/>
  <c r="AF315" i="3"/>
  <c r="AE316" i="3" s="1"/>
  <c r="U244" i="3"/>
  <c r="W243" i="3"/>
  <c r="X243" i="3" s="1"/>
  <c r="Z243" i="3"/>
  <c r="Y243" i="3"/>
  <c r="V86" i="3"/>
  <c r="Y86" i="3" s="1"/>
  <c r="AK394" i="3" l="1"/>
  <c r="AF316" i="3"/>
  <c r="AE317" i="3" s="1"/>
  <c r="AG316" i="3"/>
  <c r="AH316" i="3" s="1"/>
  <c r="AG315" i="3"/>
  <c r="AH315" i="3" s="1"/>
  <c r="V244" i="3"/>
  <c r="Z244" i="3"/>
  <c r="Y244" i="3"/>
  <c r="Z86" i="3"/>
  <c r="U87" i="3"/>
  <c r="W86" i="3"/>
  <c r="X86" i="3" s="1"/>
  <c r="AL394" i="3" l="1"/>
  <c r="AM394" i="3" s="1"/>
  <c r="AJ395" i="3"/>
  <c r="AO394" i="3"/>
  <c r="AN394" i="3"/>
  <c r="AF317" i="3"/>
  <c r="AE318" i="3" s="1"/>
  <c r="U245" i="3"/>
  <c r="W244" i="3"/>
  <c r="X244" i="3" s="1"/>
  <c r="V87" i="3"/>
  <c r="Y87" i="3" s="1"/>
  <c r="AK395" i="3" l="1"/>
  <c r="AN395" i="3"/>
  <c r="AO395" i="3"/>
  <c r="AF318" i="3"/>
  <c r="AE319" i="3" s="1"/>
  <c r="AG317" i="3"/>
  <c r="AH317" i="3" s="1"/>
  <c r="V245" i="3"/>
  <c r="Z87" i="3"/>
  <c r="W87" i="3"/>
  <c r="X87" i="3" s="1"/>
  <c r="U88" i="3"/>
  <c r="AJ396" i="3" l="1"/>
  <c r="AL395" i="3"/>
  <c r="AM395" i="3" s="1"/>
  <c r="AF319" i="3"/>
  <c r="AE320" i="3" s="1"/>
  <c r="AG319" i="3"/>
  <c r="AH319" i="3" s="1"/>
  <c r="AG318" i="3"/>
  <c r="AH318" i="3" s="1"/>
  <c r="W245" i="3"/>
  <c r="X245" i="3" s="1"/>
  <c r="U246" i="3"/>
  <c r="Z245" i="3"/>
  <c r="Y245" i="3"/>
  <c r="V88" i="3"/>
  <c r="Y88" i="3" s="1"/>
  <c r="AK396" i="3" l="1"/>
  <c r="AN396" i="3"/>
  <c r="AF320" i="3"/>
  <c r="AE321" i="3" s="1"/>
  <c r="AG320" i="3"/>
  <c r="AH320" i="3" s="1"/>
  <c r="V246" i="3"/>
  <c r="Y246" i="3"/>
  <c r="Z246" i="3"/>
  <c r="Z88" i="3"/>
  <c r="U89" i="3"/>
  <c r="W88" i="3"/>
  <c r="X88" i="3" s="1"/>
  <c r="AL396" i="3" l="1"/>
  <c r="AM396" i="3" s="1"/>
  <c r="AJ397" i="3"/>
  <c r="AO396" i="3"/>
  <c r="AF321" i="3"/>
  <c r="AE322" i="3" s="1"/>
  <c r="AG321" i="3"/>
  <c r="AH321" i="3" s="1"/>
  <c r="U247" i="3"/>
  <c r="W246" i="3"/>
  <c r="X246" i="3" s="1"/>
  <c r="V89" i="3"/>
  <c r="Y89" i="3" s="1"/>
  <c r="AK397" i="3" l="1"/>
  <c r="AO397" i="3"/>
  <c r="AF322" i="3"/>
  <c r="AE323" i="3" s="1"/>
  <c r="AG322" i="3"/>
  <c r="AH322" i="3" s="1"/>
  <c r="V247" i="3"/>
  <c r="Z247" i="3"/>
  <c r="Z89" i="3"/>
  <c r="W89" i="3"/>
  <c r="X89" i="3" s="1"/>
  <c r="U90" i="3"/>
  <c r="AL397" i="3" l="1"/>
  <c r="AM397" i="3" s="1"/>
  <c r="AJ398" i="3"/>
  <c r="AN397" i="3"/>
  <c r="AF323" i="3"/>
  <c r="AE324" i="3" s="1"/>
  <c r="U248" i="3"/>
  <c r="W247" i="3"/>
  <c r="X247" i="3" s="1"/>
  <c r="Y247" i="3"/>
  <c r="V90" i="3"/>
  <c r="Y90" i="3" s="1"/>
  <c r="AK398" i="3" l="1"/>
  <c r="AO398" i="3"/>
  <c r="AF324" i="3"/>
  <c r="AE325" i="3" s="1"/>
  <c r="AG324" i="3"/>
  <c r="AH324" i="3" s="1"/>
  <c r="AG323" i="3"/>
  <c r="AH323" i="3" s="1"/>
  <c r="V248" i="3"/>
  <c r="Z248" i="3"/>
  <c r="Z90" i="3"/>
  <c r="W90" i="3"/>
  <c r="X90" i="3" s="1"/>
  <c r="U91" i="3"/>
  <c r="AL398" i="3" l="1"/>
  <c r="AM398" i="3" s="1"/>
  <c r="AJ399" i="3"/>
  <c r="AN398" i="3"/>
  <c r="AF325" i="3"/>
  <c r="AE326" i="3" s="1"/>
  <c r="W248" i="3"/>
  <c r="X248" i="3" s="1"/>
  <c r="U249" i="3"/>
  <c r="Y248" i="3"/>
  <c r="V91" i="3"/>
  <c r="Y91" i="3" s="1"/>
  <c r="AK399" i="3" l="1"/>
  <c r="AO399" i="3"/>
  <c r="AF326" i="3"/>
  <c r="AE327" i="3" s="1"/>
  <c r="AG325" i="3"/>
  <c r="AH325" i="3" s="1"/>
  <c r="V249" i="3"/>
  <c r="Y249" i="3"/>
  <c r="Z249" i="3"/>
  <c r="Z91" i="3"/>
  <c r="W91" i="3"/>
  <c r="X91" i="3" s="1"/>
  <c r="U92" i="3"/>
  <c r="AL399" i="3" l="1"/>
  <c r="AM399" i="3" s="1"/>
  <c r="AJ400" i="3"/>
  <c r="AN399" i="3"/>
  <c r="AF327" i="3"/>
  <c r="AE328" i="3" s="1"/>
  <c r="AG327" i="3"/>
  <c r="AH327" i="3" s="1"/>
  <c r="AG326" i="3"/>
  <c r="AH326" i="3" s="1"/>
  <c r="W249" i="3"/>
  <c r="X249" i="3" s="1"/>
  <c r="U250" i="3"/>
  <c r="V92" i="3"/>
  <c r="Y92" i="3" s="1"/>
  <c r="AK400" i="3" l="1"/>
  <c r="AN400" i="3"/>
  <c r="AO400" i="3"/>
  <c r="AF328" i="3"/>
  <c r="AE329" i="3" s="1"/>
  <c r="V250" i="3"/>
  <c r="Z92" i="3"/>
  <c r="W92" i="3"/>
  <c r="X92" i="3" s="1"/>
  <c r="U93" i="3"/>
  <c r="AJ401" i="3" l="1"/>
  <c r="AL400" i="3"/>
  <c r="AM400" i="3" s="1"/>
  <c r="AF329" i="3"/>
  <c r="AE330" i="3" s="1"/>
  <c r="AG328" i="3"/>
  <c r="AH328" i="3" s="1"/>
  <c r="W250" i="3"/>
  <c r="X250" i="3" s="1"/>
  <c r="U251" i="3"/>
  <c r="Z250" i="3"/>
  <c r="Y250" i="3"/>
  <c r="V93" i="3"/>
  <c r="Y93" i="3" s="1"/>
  <c r="AK401" i="3" l="1"/>
  <c r="AO401" i="3" s="1"/>
  <c r="AF330" i="3"/>
  <c r="AE331" i="3" s="1"/>
  <c r="AG330" i="3"/>
  <c r="AH330" i="3" s="1"/>
  <c r="AG329" i="3"/>
  <c r="AH329" i="3" s="1"/>
  <c r="V251" i="3"/>
  <c r="Y251" i="3"/>
  <c r="Z251" i="3"/>
  <c r="Z93" i="3"/>
  <c r="U94" i="3"/>
  <c r="W93" i="3"/>
  <c r="X93" i="3" s="1"/>
  <c r="AJ402" i="3" l="1"/>
  <c r="AL401" i="3"/>
  <c r="AM401" i="3" s="1"/>
  <c r="AN401" i="3"/>
  <c r="AF331" i="3"/>
  <c r="AE332" i="3" s="1"/>
  <c r="AG331" i="3"/>
  <c r="AH331" i="3" s="1"/>
  <c r="U252" i="3"/>
  <c r="W251" i="3"/>
  <c r="X251" i="3" s="1"/>
  <c r="V94" i="3"/>
  <c r="Y94" i="3" s="1"/>
  <c r="AK402" i="3" l="1"/>
  <c r="AO402" i="3"/>
  <c r="AF332" i="3"/>
  <c r="AE333" i="3" s="1"/>
  <c r="AG332" i="3"/>
  <c r="AH332" i="3" s="1"/>
  <c r="V252" i="3"/>
  <c r="Z94" i="3"/>
  <c r="W94" i="3"/>
  <c r="X94" i="3" s="1"/>
  <c r="U95" i="3"/>
  <c r="AL402" i="3" l="1"/>
  <c r="AM402" i="3" s="1"/>
  <c r="AJ403" i="3"/>
  <c r="AN402" i="3"/>
  <c r="AF333" i="3"/>
  <c r="AE334" i="3" s="1"/>
  <c r="U253" i="3"/>
  <c r="W252" i="3"/>
  <c r="X252" i="3" s="1"/>
  <c r="Z252" i="3"/>
  <c r="Y252" i="3"/>
  <c r="V95" i="3"/>
  <c r="Y95" i="3" s="1"/>
  <c r="AK403" i="3" l="1"/>
  <c r="AN403" i="3"/>
  <c r="AF334" i="3"/>
  <c r="AE335" i="3" s="1"/>
  <c r="AG333" i="3"/>
  <c r="AH333" i="3" s="1"/>
  <c r="V253" i="3"/>
  <c r="Z253" i="3"/>
  <c r="Z95" i="3"/>
  <c r="W95" i="3"/>
  <c r="X95" i="3" s="1"/>
  <c r="U96" i="3"/>
  <c r="AJ404" i="3" l="1"/>
  <c r="AL403" i="3"/>
  <c r="AM403" i="3" s="1"/>
  <c r="AO403" i="3"/>
  <c r="AG334" i="3"/>
  <c r="AH334" i="3" s="1"/>
  <c r="AF335" i="3"/>
  <c r="AE336" i="3" s="1"/>
  <c r="AG335" i="3"/>
  <c r="AH335" i="3" s="1"/>
  <c r="W253" i="3"/>
  <c r="X253" i="3" s="1"/>
  <c r="U254" i="3"/>
  <c r="Y253" i="3"/>
  <c r="V96" i="3"/>
  <c r="Y96" i="3" s="1"/>
  <c r="AK404" i="3" l="1"/>
  <c r="AN404" i="3"/>
  <c r="AO404" i="3"/>
  <c r="AF336" i="3"/>
  <c r="AE337" i="3" s="1"/>
  <c r="AG336" i="3"/>
  <c r="AH336" i="3" s="1"/>
  <c r="V254" i="3"/>
  <c r="Z96" i="3"/>
  <c r="W96" i="3"/>
  <c r="X96" i="3" s="1"/>
  <c r="U97" i="3"/>
  <c r="AL404" i="3" l="1"/>
  <c r="AM404" i="3" s="1"/>
  <c r="AJ405" i="3"/>
  <c r="AF337" i="3"/>
  <c r="AE338" i="3" s="1"/>
  <c r="AG337" i="3"/>
  <c r="AH337" i="3" s="1"/>
  <c r="U255" i="3"/>
  <c r="W254" i="3"/>
  <c r="X254" i="3" s="1"/>
  <c r="Y254" i="3"/>
  <c r="Z254" i="3"/>
  <c r="V97" i="3"/>
  <c r="Y97" i="3" s="1"/>
  <c r="AN405" i="3" l="1"/>
  <c r="AO405" i="3"/>
  <c r="AK405" i="3"/>
  <c r="AF338" i="3"/>
  <c r="AE339" i="3" s="1"/>
  <c r="V255" i="3"/>
  <c r="Y255" i="3"/>
  <c r="Z255" i="3"/>
  <c r="Z97" i="3"/>
  <c r="W97" i="3"/>
  <c r="X97" i="3" s="1"/>
  <c r="U98" i="3"/>
  <c r="AJ406" i="3" l="1"/>
  <c r="AL405" i="3"/>
  <c r="AM405" i="3" s="1"/>
  <c r="AF339" i="3"/>
  <c r="AE340" i="3" s="1"/>
  <c r="AG338" i="3"/>
  <c r="AH338" i="3" s="1"/>
  <c r="W255" i="3"/>
  <c r="X255" i="3" s="1"/>
  <c r="U256" i="3"/>
  <c r="V98" i="3"/>
  <c r="Y98" i="3" s="1"/>
  <c r="AK406" i="3" l="1"/>
  <c r="AN406" i="3"/>
  <c r="AO406" i="3"/>
  <c r="AF340" i="3"/>
  <c r="AE341" i="3" s="1"/>
  <c r="AG339" i="3"/>
  <c r="AH339" i="3" s="1"/>
  <c r="V256" i="3"/>
  <c r="Z98" i="3"/>
  <c r="U99" i="3"/>
  <c r="W98" i="3"/>
  <c r="X98" i="3" s="1"/>
  <c r="AL406" i="3" l="1"/>
  <c r="AM406" i="3" s="1"/>
  <c r="AJ407" i="3"/>
  <c r="AF341" i="3"/>
  <c r="AE342" i="3" s="1"/>
  <c r="AG341" i="3"/>
  <c r="AH341" i="3" s="1"/>
  <c r="AG340" i="3"/>
  <c r="AH340" i="3" s="1"/>
  <c r="U257" i="3"/>
  <c r="W256" i="3"/>
  <c r="X256" i="3" s="1"/>
  <c r="Z256" i="3"/>
  <c r="Y256" i="3"/>
  <c r="V99" i="3"/>
  <c r="Y99" i="3" s="1"/>
  <c r="AK407" i="3" l="1"/>
  <c r="AO407" i="3"/>
  <c r="AF342" i="3"/>
  <c r="AE343" i="3" s="1"/>
  <c r="AG342" i="3"/>
  <c r="AH342" i="3" s="1"/>
  <c r="V257" i="3"/>
  <c r="Z99" i="3"/>
  <c r="W99" i="3"/>
  <c r="X99" i="3" s="1"/>
  <c r="U100" i="3"/>
  <c r="AJ408" i="3" l="1"/>
  <c r="AL407" i="3"/>
  <c r="AM407" i="3" s="1"/>
  <c r="AN407" i="3"/>
  <c r="AF343" i="3"/>
  <c r="AE344" i="3" s="1"/>
  <c r="U258" i="3"/>
  <c r="W257" i="3"/>
  <c r="X257" i="3" s="1"/>
  <c r="Z257" i="3"/>
  <c r="Y257" i="3"/>
  <c r="V100" i="3"/>
  <c r="W100" i="3" s="1"/>
  <c r="X100" i="3" s="1"/>
  <c r="AK408" i="3" l="1"/>
  <c r="AF344" i="3"/>
  <c r="AE345" i="3" s="1"/>
  <c r="AG344" i="3"/>
  <c r="AH344" i="3" s="1"/>
  <c r="AG343" i="3"/>
  <c r="AH343" i="3" s="1"/>
  <c r="V258" i="3"/>
  <c r="Z100" i="3"/>
  <c r="AB3" i="3" s="1"/>
  <c r="M2" i="1" s="1"/>
  <c r="Y100" i="3"/>
  <c r="AJ409" i="3" l="1"/>
  <c r="AL408" i="3"/>
  <c r="AM408" i="3" s="1"/>
  <c r="AO408" i="3"/>
  <c r="AN408" i="3"/>
  <c r="AF345" i="3"/>
  <c r="AE346" i="3" s="1"/>
  <c r="AG345" i="3"/>
  <c r="AH345" i="3" s="1"/>
  <c r="W258" i="3"/>
  <c r="X258" i="3" s="1"/>
  <c r="U259" i="3"/>
  <c r="Z258" i="3"/>
  <c r="Y258" i="3"/>
  <c r="AK409" i="3" l="1"/>
  <c r="AF346" i="3"/>
  <c r="AE347" i="3" s="1"/>
  <c r="AG346" i="3"/>
  <c r="AH346" i="3" s="1"/>
  <c r="V259" i="3"/>
  <c r="Z259" i="3" s="1"/>
  <c r="AL409" i="3" l="1"/>
  <c r="AM409" i="3" s="1"/>
  <c r="AJ410" i="3"/>
  <c r="AN409" i="3"/>
  <c r="AO409" i="3"/>
  <c r="AF347" i="3"/>
  <c r="AE348" i="3" s="1"/>
  <c r="AG347" i="3"/>
  <c r="AH347" i="3" s="1"/>
  <c r="U260" i="3"/>
  <c r="W259" i="3"/>
  <c r="X259" i="3" s="1"/>
  <c r="Y259" i="3"/>
  <c r="AK410" i="3" l="1"/>
  <c r="AN410" i="3" s="1"/>
  <c r="AF348" i="3"/>
  <c r="AE349" i="3" s="1"/>
  <c r="V260" i="3"/>
  <c r="Z260" i="3"/>
  <c r="AJ411" i="3" l="1"/>
  <c r="AL410" i="3"/>
  <c r="AM410" i="3" s="1"/>
  <c r="AO410" i="3"/>
  <c r="AF349" i="3"/>
  <c r="AE350" i="3" s="1"/>
  <c r="AG349" i="3"/>
  <c r="AH349" i="3" s="1"/>
  <c r="AG348" i="3"/>
  <c r="AH348" i="3" s="1"/>
  <c r="W260" i="3"/>
  <c r="X260" i="3" s="1"/>
  <c r="U261" i="3"/>
  <c r="Y260" i="3"/>
  <c r="AK411" i="3" l="1"/>
  <c r="AO411" i="3"/>
  <c r="AF350" i="3"/>
  <c r="AE351" i="3" s="1"/>
  <c r="AG350" i="3"/>
  <c r="AH350" i="3" s="1"/>
  <c r="V261" i="3"/>
  <c r="AL411" i="3" l="1"/>
  <c r="AM411" i="3" s="1"/>
  <c r="AJ412" i="3"/>
  <c r="AN411" i="3"/>
  <c r="AF351" i="3"/>
  <c r="AE352" i="3" s="1"/>
  <c r="AG351" i="3"/>
  <c r="AH351" i="3" s="1"/>
  <c r="U262" i="3"/>
  <c r="W261" i="3"/>
  <c r="X261" i="3" s="1"/>
  <c r="Y261" i="3"/>
  <c r="Z261" i="3"/>
  <c r="AK412" i="3" l="1"/>
  <c r="AO412" i="3" s="1"/>
  <c r="AF352" i="3"/>
  <c r="AE353" i="3" s="1"/>
  <c r="V262" i="3"/>
  <c r="Y262" i="3"/>
  <c r="Z262" i="3"/>
  <c r="AL412" i="3" l="1"/>
  <c r="AM412" i="3" s="1"/>
  <c r="AJ413" i="3"/>
  <c r="AN412" i="3"/>
  <c r="AF353" i="3"/>
  <c r="AE354" i="3" s="1"/>
  <c r="AG352" i="3"/>
  <c r="AH352" i="3" s="1"/>
  <c r="W262" i="3"/>
  <c r="X262" i="3" s="1"/>
  <c r="U263" i="3"/>
  <c r="AK413" i="3" l="1"/>
  <c r="AN413" i="3"/>
  <c r="AO413" i="3"/>
  <c r="AF354" i="3"/>
  <c r="AE355" i="3" s="1"/>
  <c r="AG353" i="3"/>
  <c r="AH353" i="3" s="1"/>
  <c r="V263" i="3"/>
  <c r="Z263" i="3"/>
  <c r="AL413" i="3" l="1"/>
  <c r="AM413" i="3" s="1"/>
  <c r="AJ414" i="3"/>
  <c r="AF355" i="3"/>
  <c r="AE356" i="3" s="1"/>
  <c r="AG354" i="3"/>
  <c r="AH354" i="3" s="1"/>
  <c r="U264" i="3"/>
  <c r="W263" i="3"/>
  <c r="X263" i="3" s="1"/>
  <c r="Y263" i="3"/>
  <c r="AK414" i="3" l="1"/>
  <c r="AF356" i="3"/>
  <c r="AE357" i="3" s="1"/>
  <c r="AG355" i="3"/>
  <c r="AH355" i="3" s="1"/>
  <c r="V264" i="3"/>
  <c r="Y264" i="3"/>
  <c r="Z264" i="3"/>
  <c r="AL414" i="3" l="1"/>
  <c r="AM414" i="3" s="1"/>
  <c r="AJ415" i="3"/>
  <c r="AO414" i="3"/>
  <c r="AN414" i="3"/>
  <c r="AF357" i="3"/>
  <c r="AE358" i="3" s="1"/>
  <c r="AG357" i="3"/>
  <c r="AH357" i="3" s="1"/>
  <c r="AG356" i="3"/>
  <c r="AH356" i="3" s="1"/>
  <c r="W264" i="3"/>
  <c r="X264" i="3" s="1"/>
  <c r="U265" i="3"/>
  <c r="AK415" i="3" l="1"/>
  <c r="AF358" i="3"/>
  <c r="AE359" i="3" s="1"/>
  <c r="V265" i="3"/>
  <c r="Y265" i="3"/>
  <c r="Z265" i="3"/>
  <c r="AJ416" i="3" l="1"/>
  <c r="AL415" i="3"/>
  <c r="AM415" i="3" s="1"/>
  <c r="AO415" i="3"/>
  <c r="AN415" i="3"/>
  <c r="AF359" i="3"/>
  <c r="AE360" i="3" s="1"/>
  <c r="AG359" i="3"/>
  <c r="AH359" i="3" s="1"/>
  <c r="AG358" i="3"/>
  <c r="AH358" i="3" s="1"/>
  <c r="W265" i="3"/>
  <c r="X265" i="3" s="1"/>
  <c r="U266" i="3"/>
  <c r="AK416" i="3" l="1"/>
  <c r="AN416" i="3"/>
  <c r="AF360" i="3"/>
  <c r="AE361" i="3" s="1"/>
  <c r="AG360" i="3"/>
  <c r="AH360" i="3" s="1"/>
  <c r="V266" i="3"/>
  <c r="Y266" i="3"/>
  <c r="Z266" i="3"/>
  <c r="AL416" i="3" l="1"/>
  <c r="AM416" i="3" s="1"/>
  <c r="AJ417" i="3"/>
  <c r="AO416" i="3"/>
  <c r="AF361" i="3"/>
  <c r="AE362" i="3" s="1"/>
  <c r="U267" i="3"/>
  <c r="W266" i="3"/>
  <c r="X266" i="3" s="1"/>
  <c r="AK417" i="3" l="1"/>
  <c r="AO417" i="3"/>
  <c r="AF362" i="3"/>
  <c r="AE363" i="3" s="1"/>
  <c r="AG362" i="3"/>
  <c r="AH362" i="3" s="1"/>
  <c r="AG361" i="3"/>
  <c r="AH361" i="3" s="1"/>
  <c r="V267" i="3"/>
  <c r="Y267" i="3"/>
  <c r="AJ418" i="3" l="1"/>
  <c r="AL417" i="3"/>
  <c r="AM417" i="3" s="1"/>
  <c r="AN417" i="3"/>
  <c r="AF363" i="3"/>
  <c r="AE364" i="3" s="1"/>
  <c r="U268" i="3"/>
  <c r="W267" i="3"/>
  <c r="X267" i="3" s="1"/>
  <c r="Z267" i="3"/>
  <c r="AK418" i="3" l="1"/>
  <c r="AO418" i="3"/>
  <c r="AF364" i="3"/>
  <c r="AE365" i="3" s="1"/>
  <c r="AG364" i="3"/>
  <c r="AH364" i="3" s="1"/>
  <c r="AG363" i="3"/>
  <c r="AH363" i="3" s="1"/>
  <c r="V268" i="3"/>
  <c r="Z268" i="3" s="1"/>
  <c r="AJ419" i="3" l="1"/>
  <c r="AL418" i="3"/>
  <c r="AM418" i="3" s="1"/>
  <c r="AN418" i="3"/>
  <c r="AF365" i="3"/>
  <c r="AE366" i="3" s="1"/>
  <c r="U269" i="3"/>
  <c r="W268" i="3"/>
  <c r="X268" i="3" s="1"/>
  <c r="Y268" i="3"/>
  <c r="AK419" i="3" l="1"/>
  <c r="AN419" i="3"/>
  <c r="AO419" i="3"/>
  <c r="AF366" i="3"/>
  <c r="AE367" i="3" s="1"/>
  <c r="AG366" i="3"/>
  <c r="AH366" i="3" s="1"/>
  <c r="AG365" i="3"/>
  <c r="AH365" i="3" s="1"/>
  <c r="V269" i="3"/>
  <c r="AL419" i="3" l="1"/>
  <c r="AM419" i="3" s="1"/>
  <c r="AJ420" i="3"/>
  <c r="AF367" i="3"/>
  <c r="AE368" i="3" s="1"/>
  <c r="AG367" i="3"/>
  <c r="AH367" i="3" s="1"/>
  <c r="W269" i="3"/>
  <c r="X269" i="3" s="1"/>
  <c r="U270" i="3"/>
  <c r="Z269" i="3"/>
  <c r="Y269" i="3"/>
  <c r="AK420" i="3" l="1"/>
  <c r="AN420" i="3"/>
  <c r="AF368" i="3"/>
  <c r="AE369" i="3" s="1"/>
  <c r="AG368" i="3"/>
  <c r="AH368" i="3" s="1"/>
  <c r="V270" i="3"/>
  <c r="AJ421" i="3" l="1"/>
  <c r="AL420" i="3"/>
  <c r="AM420" i="3" s="1"/>
  <c r="AO420" i="3"/>
  <c r="AF369" i="3"/>
  <c r="AE370" i="3" s="1"/>
  <c r="AG369" i="3"/>
  <c r="AH369" i="3" s="1"/>
  <c r="W270" i="3"/>
  <c r="X270" i="3" s="1"/>
  <c r="U271" i="3"/>
  <c r="Y270" i="3"/>
  <c r="Z270" i="3"/>
  <c r="AK421" i="3" l="1"/>
  <c r="AN421" i="3"/>
  <c r="AO421" i="3"/>
  <c r="AF370" i="3"/>
  <c r="AE371" i="3" s="1"/>
  <c r="V271" i="3"/>
  <c r="Z271" i="3"/>
  <c r="AL421" i="3" l="1"/>
  <c r="AM421" i="3" s="1"/>
  <c r="AJ422" i="3"/>
  <c r="AF371" i="3"/>
  <c r="AE372" i="3" s="1"/>
  <c r="AG371" i="3"/>
  <c r="AH371" i="3" s="1"/>
  <c r="AG370" i="3"/>
  <c r="AH370" i="3" s="1"/>
  <c r="U272" i="3"/>
  <c r="W271" i="3"/>
  <c r="X271" i="3" s="1"/>
  <c r="Y271" i="3"/>
  <c r="AK422" i="3" l="1"/>
  <c r="AF372" i="3"/>
  <c r="AE373" i="3" s="1"/>
  <c r="V272" i="3"/>
  <c r="Y272" i="3"/>
  <c r="Z272" i="3"/>
  <c r="AL422" i="3" l="1"/>
  <c r="AM422" i="3" s="1"/>
  <c r="AJ423" i="3"/>
  <c r="AO422" i="3"/>
  <c r="AN422" i="3"/>
  <c r="AG372" i="3"/>
  <c r="AH372" i="3" s="1"/>
  <c r="AF373" i="3"/>
  <c r="AE374" i="3" s="1"/>
  <c r="AG373" i="3"/>
  <c r="AH373" i="3" s="1"/>
  <c r="W272" i="3"/>
  <c r="X272" i="3" s="1"/>
  <c r="U273" i="3"/>
  <c r="AK423" i="3" l="1"/>
  <c r="AF374" i="3"/>
  <c r="AE375" i="3" s="1"/>
  <c r="AG374" i="3"/>
  <c r="AH374" i="3" s="1"/>
  <c r="V273" i="3"/>
  <c r="AJ424" i="3" l="1"/>
  <c r="AL423" i="3"/>
  <c r="AM423" i="3" s="1"/>
  <c r="AO423" i="3"/>
  <c r="AN423" i="3"/>
  <c r="AF375" i="3"/>
  <c r="AE376" i="3" s="1"/>
  <c r="W273" i="3"/>
  <c r="X273" i="3" s="1"/>
  <c r="U274" i="3"/>
  <c r="Z273" i="3"/>
  <c r="Y273" i="3"/>
  <c r="AK424" i="3" l="1"/>
  <c r="AO424" i="3"/>
  <c r="AF376" i="3"/>
  <c r="AE377" i="3" s="1"/>
  <c r="AG375" i="3"/>
  <c r="AH375" i="3" s="1"/>
  <c r="V274" i="3"/>
  <c r="Y274" i="3"/>
  <c r="Z274" i="3"/>
  <c r="AL424" i="3" l="1"/>
  <c r="AM424" i="3" s="1"/>
  <c r="AJ425" i="3"/>
  <c r="AN424" i="3"/>
  <c r="AF377" i="3"/>
  <c r="AE378" i="3" s="1"/>
  <c r="AG377" i="3"/>
  <c r="AH377" i="3" s="1"/>
  <c r="AG376" i="3"/>
  <c r="AH376" i="3" s="1"/>
  <c r="U275" i="3"/>
  <c r="W274" i="3"/>
  <c r="X274" i="3" s="1"/>
  <c r="AK425" i="3" l="1"/>
  <c r="AN425" i="3"/>
  <c r="AO425" i="3"/>
  <c r="AF378" i="3"/>
  <c r="AE379" i="3" s="1"/>
  <c r="AG378" i="3"/>
  <c r="AH378" i="3" s="1"/>
  <c r="V275" i="3"/>
  <c r="Z275" i="3" s="1"/>
  <c r="Y275" i="3"/>
  <c r="AJ426" i="3" l="1"/>
  <c r="AL425" i="3"/>
  <c r="AM425" i="3" s="1"/>
  <c r="AF379" i="3"/>
  <c r="AE380" i="3" s="1"/>
  <c r="W275" i="3"/>
  <c r="X275" i="3" s="1"/>
  <c r="U276" i="3"/>
  <c r="AK426" i="3" l="1"/>
  <c r="AN426" i="3"/>
  <c r="AO426" i="3"/>
  <c r="AF380" i="3"/>
  <c r="AE381" i="3" s="1"/>
  <c r="AG379" i="3"/>
  <c r="AH379" i="3" s="1"/>
  <c r="V276" i="3"/>
  <c r="Y276" i="3"/>
  <c r="Z276" i="3"/>
  <c r="AJ427" i="3" l="1"/>
  <c r="AL426" i="3"/>
  <c r="AM426" i="3" s="1"/>
  <c r="AF381" i="3"/>
  <c r="AE382" i="3" s="1"/>
  <c r="AG381" i="3"/>
  <c r="AH381" i="3" s="1"/>
  <c r="AG380" i="3"/>
  <c r="AH380" i="3" s="1"/>
  <c r="U277" i="3"/>
  <c r="W276" i="3"/>
  <c r="X276" i="3" s="1"/>
  <c r="AK427" i="3" l="1"/>
  <c r="AO427" i="3"/>
  <c r="AF382" i="3"/>
  <c r="AE383" i="3" s="1"/>
  <c r="V277" i="3"/>
  <c r="Z277" i="3"/>
  <c r="Y277" i="3"/>
  <c r="AL427" i="3" l="1"/>
  <c r="AM427" i="3" s="1"/>
  <c r="AJ428" i="3"/>
  <c r="AN427" i="3"/>
  <c r="AF383" i="3"/>
  <c r="AE384" i="3" s="1"/>
  <c r="AG383" i="3"/>
  <c r="AH383" i="3" s="1"/>
  <c r="AG382" i="3"/>
  <c r="AH382" i="3" s="1"/>
  <c r="W277" i="3"/>
  <c r="X277" i="3" s="1"/>
  <c r="U278" i="3"/>
  <c r="AK428" i="3" l="1"/>
  <c r="AF384" i="3"/>
  <c r="AE385" i="3" s="1"/>
  <c r="AG384" i="3"/>
  <c r="AH384" i="3" s="1"/>
  <c r="V278" i="3"/>
  <c r="Z278" i="3"/>
  <c r="AL428" i="3" l="1"/>
  <c r="AM428" i="3" s="1"/>
  <c r="AJ429" i="3"/>
  <c r="AO428" i="3"/>
  <c r="AN428" i="3"/>
  <c r="AF385" i="3"/>
  <c r="AE386" i="3" s="1"/>
  <c r="U279" i="3"/>
  <c r="W278" i="3"/>
  <c r="X278" i="3" s="1"/>
  <c r="Y278" i="3"/>
  <c r="AK429" i="3" l="1"/>
  <c r="AN429" i="3"/>
  <c r="AO429" i="3"/>
  <c r="AF386" i="3"/>
  <c r="AE387" i="3" s="1"/>
  <c r="AG386" i="3"/>
  <c r="AH386" i="3" s="1"/>
  <c r="AG385" i="3"/>
  <c r="AH385" i="3" s="1"/>
  <c r="V279" i="3"/>
  <c r="Y279" i="3"/>
  <c r="Z279" i="3"/>
  <c r="AL429" i="3" l="1"/>
  <c r="AM429" i="3" s="1"/>
  <c r="AJ430" i="3"/>
  <c r="AF387" i="3"/>
  <c r="AE388" i="3" s="1"/>
  <c r="AG387" i="3"/>
  <c r="AH387" i="3" s="1"/>
  <c r="W279" i="3"/>
  <c r="X279" i="3" s="1"/>
  <c r="U280" i="3"/>
  <c r="AK430" i="3" l="1"/>
  <c r="AN430" i="3"/>
  <c r="AO430" i="3"/>
  <c r="AF388" i="3"/>
  <c r="AE389" i="3" s="1"/>
  <c r="AG388" i="3"/>
  <c r="AH388" i="3" s="1"/>
  <c r="V280" i="3"/>
  <c r="AJ431" i="3" l="1"/>
  <c r="AL430" i="3"/>
  <c r="AM430" i="3" s="1"/>
  <c r="AF389" i="3"/>
  <c r="AE390" i="3" s="1"/>
  <c r="AG389" i="3"/>
  <c r="AH389" i="3" s="1"/>
  <c r="W280" i="3"/>
  <c r="X280" i="3" s="1"/>
  <c r="U281" i="3"/>
  <c r="Y280" i="3"/>
  <c r="Z280" i="3"/>
  <c r="AK431" i="3" l="1"/>
  <c r="AO431" i="3" s="1"/>
  <c r="AN431" i="3"/>
  <c r="AF390" i="3"/>
  <c r="AE391" i="3" s="1"/>
  <c r="V281" i="3"/>
  <c r="Y281" i="3"/>
  <c r="Z281" i="3"/>
  <c r="AJ432" i="3" l="1"/>
  <c r="AL431" i="3"/>
  <c r="AM431" i="3" s="1"/>
  <c r="AF391" i="3"/>
  <c r="AE392" i="3" s="1"/>
  <c r="AG390" i="3"/>
  <c r="AH390" i="3" s="1"/>
  <c r="U282" i="3"/>
  <c r="W281" i="3"/>
  <c r="X281" i="3" s="1"/>
  <c r="AK432" i="3" l="1"/>
  <c r="AO432" i="3"/>
  <c r="AF392" i="3"/>
  <c r="AE393" i="3" s="1"/>
  <c r="AG392" i="3"/>
  <c r="AH392" i="3" s="1"/>
  <c r="AG391" i="3"/>
  <c r="AH391" i="3" s="1"/>
  <c r="V282" i="3"/>
  <c r="AL432" i="3" l="1"/>
  <c r="AM432" i="3" s="1"/>
  <c r="AJ433" i="3"/>
  <c r="AN432" i="3"/>
  <c r="AF393" i="3"/>
  <c r="AE394" i="3" s="1"/>
  <c r="AG393" i="3"/>
  <c r="AH393" i="3" s="1"/>
  <c r="U283" i="3"/>
  <c r="W282" i="3"/>
  <c r="X282" i="3" s="1"/>
  <c r="Z282" i="3"/>
  <c r="Y282" i="3"/>
  <c r="AK433" i="3" l="1"/>
  <c r="AN433" i="3"/>
  <c r="AF394" i="3"/>
  <c r="AE395" i="3" s="1"/>
  <c r="AG394" i="3"/>
  <c r="AH394" i="3" s="1"/>
  <c r="V283" i="3"/>
  <c r="Z283" i="3"/>
  <c r="AL433" i="3" l="1"/>
  <c r="AM433" i="3" s="1"/>
  <c r="AJ434" i="3"/>
  <c r="AO433" i="3"/>
  <c r="AF395" i="3"/>
  <c r="AE396" i="3" s="1"/>
  <c r="W283" i="3"/>
  <c r="X283" i="3" s="1"/>
  <c r="U284" i="3"/>
  <c r="Y283" i="3"/>
  <c r="AK434" i="3" l="1"/>
  <c r="AN434" i="3"/>
  <c r="AO434" i="3"/>
  <c r="AF396" i="3"/>
  <c r="AE397" i="3" s="1"/>
  <c r="AG396" i="3"/>
  <c r="AH396" i="3" s="1"/>
  <c r="AG395" i="3"/>
  <c r="AH395" i="3" s="1"/>
  <c r="V284" i="3"/>
  <c r="AL434" i="3" l="1"/>
  <c r="AM434" i="3" s="1"/>
  <c r="AJ435" i="3"/>
  <c r="AF397" i="3"/>
  <c r="AE398" i="3" s="1"/>
  <c r="AG397" i="3"/>
  <c r="AH397" i="3" s="1"/>
  <c r="W284" i="3"/>
  <c r="X284" i="3" s="1"/>
  <c r="U285" i="3"/>
  <c r="Z284" i="3"/>
  <c r="Y284" i="3"/>
  <c r="AK435" i="3" l="1"/>
  <c r="AO435" i="3"/>
  <c r="AF398" i="3"/>
  <c r="AE399" i="3" s="1"/>
  <c r="AG398" i="3"/>
  <c r="AH398" i="3" s="1"/>
  <c r="V285" i="3"/>
  <c r="Y285" i="3"/>
  <c r="Z285" i="3"/>
  <c r="AJ436" i="3" l="1"/>
  <c r="AL435" i="3"/>
  <c r="AM435" i="3" s="1"/>
  <c r="AN435" i="3"/>
  <c r="AF399" i="3"/>
  <c r="AE400" i="3" s="1"/>
  <c r="W285" i="3"/>
  <c r="X285" i="3" s="1"/>
  <c r="U286" i="3"/>
  <c r="AK436" i="3" l="1"/>
  <c r="AF400" i="3"/>
  <c r="AE401" i="3" s="1"/>
  <c r="AG399" i="3"/>
  <c r="AH399" i="3" s="1"/>
  <c r="V286" i="3"/>
  <c r="Y286" i="3"/>
  <c r="Z286" i="3"/>
  <c r="AJ437" i="3" l="1"/>
  <c r="AL436" i="3"/>
  <c r="AM436" i="3" s="1"/>
  <c r="AO436" i="3"/>
  <c r="AN436" i="3"/>
  <c r="AF401" i="3"/>
  <c r="AE402" i="3" s="1"/>
  <c r="AG401" i="3"/>
  <c r="AH401" i="3" s="1"/>
  <c r="AG400" i="3"/>
  <c r="AH400" i="3" s="1"/>
  <c r="U287" i="3"/>
  <c r="W286" i="3"/>
  <c r="X286" i="3" s="1"/>
  <c r="AK437" i="3" l="1"/>
  <c r="AO437" i="3"/>
  <c r="AF402" i="3"/>
  <c r="AE403" i="3" s="1"/>
  <c r="AG402" i="3"/>
  <c r="AH402" i="3" s="1"/>
  <c r="V287" i="3"/>
  <c r="AL437" i="3" l="1"/>
  <c r="AM437" i="3" s="1"/>
  <c r="AJ438" i="3"/>
  <c r="AN437" i="3"/>
  <c r="AF403" i="3"/>
  <c r="AE404" i="3" s="1"/>
  <c r="AG403" i="3"/>
  <c r="AH403" i="3" s="1"/>
  <c r="U288" i="3"/>
  <c r="W287" i="3"/>
  <c r="X287" i="3" s="1"/>
  <c r="Z287" i="3"/>
  <c r="Y287" i="3"/>
  <c r="AK438" i="3" l="1"/>
  <c r="AF404" i="3"/>
  <c r="AE405" i="3" s="1"/>
  <c r="V288" i="3"/>
  <c r="AJ439" i="3" l="1"/>
  <c r="AL438" i="3"/>
  <c r="AM438" i="3" s="1"/>
  <c r="AN438" i="3"/>
  <c r="AO438" i="3"/>
  <c r="AG404" i="3"/>
  <c r="AH404" i="3" s="1"/>
  <c r="AF405" i="3"/>
  <c r="AE406" i="3" s="1"/>
  <c r="AG405" i="3"/>
  <c r="AH405" i="3" s="1"/>
  <c r="W288" i="3"/>
  <c r="X288" i="3" s="1"/>
  <c r="U289" i="3"/>
  <c r="Z288" i="3"/>
  <c r="Y288" i="3"/>
  <c r="AK439" i="3" l="1"/>
  <c r="AN439" i="3"/>
  <c r="AO439" i="3"/>
  <c r="AF406" i="3"/>
  <c r="AE407" i="3" s="1"/>
  <c r="AG406" i="3"/>
  <c r="AH406" i="3" s="1"/>
  <c r="V289" i="3"/>
  <c r="AL439" i="3" l="1"/>
  <c r="AM439" i="3" s="1"/>
  <c r="AJ440" i="3"/>
  <c r="AF407" i="3"/>
  <c r="AE408" i="3" s="1"/>
  <c r="AG407" i="3"/>
  <c r="AH407" i="3" s="1"/>
  <c r="U290" i="3"/>
  <c r="W289" i="3"/>
  <c r="X289" i="3" s="1"/>
  <c r="Z289" i="3"/>
  <c r="Y289" i="3"/>
  <c r="AK440" i="3" l="1"/>
  <c r="AN440" i="3"/>
  <c r="AO440" i="3"/>
  <c r="AF408" i="3"/>
  <c r="AE409" i="3" s="1"/>
  <c r="AG408" i="3"/>
  <c r="AH408" i="3" s="1"/>
  <c r="V290" i="3"/>
  <c r="Y290" i="3"/>
  <c r="Z290" i="3"/>
  <c r="AJ441" i="3" l="1"/>
  <c r="AL440" i="3"/>
  <c r="AM440" i="3" s="1"/>
  <c r="AF409" i="3"/>
  <c r="AE410" i="3" s="1"/>
  <c r="W290" i="3"/>
  <c r="X290" i="3" s="1"/>
  <c r="U291" i="3"/>
  <c r="AK441" i="3" l="1"/>
  <c r="AG409" i="3"/>
  <c r="AH409" i="3" s="1"/>
  <c r="AF410" i="3"/>
  <c r="AE411" i="3" s="1"/>
  <c r="AG410" i="3"/>
  <c r="AH410" i="3" s="1"/>
  <c r="V291" i="3"/>
  <c r="Y291" i="3"/>
  <c r="AL441" i="3" l="1"/>
  <c r="AM441" i="3" s="1"/>
  <c r="AJ442" i="3"/>
  <c r="AO441" i="3"/>
  <c r="AN441" i="3"/>
  <c r="AF411" i="3"/>
  <c r="AE412" i="3" s="1"/>
  <c r="AG411" i="3"/>
  <c r="AH411" i="3" s="1"/>
  <c r="U292" i="3"/>
  <c r="W291" i="3"/>
  <c r="X291" i="3" s="1"/>
  <c r="Z291" i="3"/>
  <c r="AK442" i="3" l="1"/>
  <c r="AO442" i="3"/>
  <c r="AF412" i="3"/>
  <c r="AE413" i="3" s="1"/>
  <c r="V292" i="3"/>
  <c r="Y292" i="3"/>
  <c r="Z292" i="3"/>
  <c r="AL442" i="3" l="1"/>
  <c r="AM442" i="3" s="1"/>
  <c r="AJ443" i="3"/>
  <c r="AN442" i="3"/>
  <c r="AG412" i="3"/>
  <c r="AH412" i="3" s="1"/>
  <c r="AF413" i="3"/>
  <c r="AE414" i="3" s="1"/>
  <c r="W292" i="3"/>
  <c r="X292" i="3" s="1"/>
  <c r="U293" i="3"/>
  <c r="AK443" i="3" l="1"/>
  <c r="AN443" i="3"/>
  <c r="AO443" i="3"/>
  <c r="AF414" i="3"/>
  <c r="AE415" i="3" s="1"/>
  <c r="AG413" i="3"/>
  <c r="AH413" i="3" s="1"/>
  <c r="V293" i="3"/>
  <c r="AJ444" i="3" l="1"/>
  <c r="AL443" i="3"/>
  <c r="AM443" i="3" s="1"/>
  <c r="AF415" i="3"/>
  <c r="AE416" i="3" s="1"/>
  <c r="AG415" i="3"/>
  <c r="AH415" i="3" s="1"/>
  <c r="AG414" i="3"/>
  <c r="AH414" i="3" s="1"/>
  <c r="U294" i="3"/>
  <c r="W293" i="3"/>
  <c r="X293" i="3" s="1"/>
  <c r="Z293" i="3"/>
  <c r="Y293" i="3"/>
  <c r="AK444" i="3" l="1"/>
  <c r="AN444" i="3"/>
  <c r="AO444" i="3"/>
  <c r="AF416" i="3"/>
  <c r="AE417" i="3" s="1"/>
  <c r="AG416" i="3"/>
  <c r="AH416" i="3" s="1"/>
  <c r="V294" i="3"/>
  <c r="AL444" i="3" l="1"/>
  <c r="AM444" i="3" s="1"/>
  <c r="AJ445" i="3"/>
  <c r="AF417" i="3"/>
  <c r="AE418" i="3" s="1"/>
  <c r="AG417" i="3"/>
  <c r="AH417" i="3" s="1"/>
  <c r="W294" i="3"/>
  <c r="X294" i="3" s="1"/>
  <c r="U295" i="3"/>
  <c r="Z294" i="3"/>
  <c r="Y294" i="3"/>
  <c r="AK445" i="3" l="1"/>
  <c r="AO445" i="3"/>
  <c r="AF418" i="3"/>
  <c r="AE419" i="3" s="1"/>
  <c r="V295" i="3"/>
  <c r="AJ446" i="3" l="1"/>
  <c r="AL445" i="3"/>
  <c r="AM445" i="3" s="1"/>
  <c r="AN445" i="3"/>
  <c r="AG418" i="3"/>
  <c r="AH418" i="3" s="1"/>
  <c r="AF419" i="3"/>
  <c r="AE420" i="3" s="1"/>
  <c r="W295" i="3"/>
  <c r="X295" i="3" s="1"/>
  <c r="U296" i="3"/>
  <c r="Z295" i="3"/>
  <c r="Y295" i="3"/>
  <c r="AK446" i="3" l="1"/>
  <c r="AF420" i="3"/>
  <c r="AE421" i="3" s="1"/>
  <c r="AG420" i="3"/>
  <c r="AH420" i="3" s="1"/>
  <c r="AG419" i="3"/>
  <c r="AH419" i="3" s="1"/>
  <c r="V296" i="3"/>
  <c r="AJ447" i="3" l="1"/>
  <c r="AL446" i="3"/>
  <c r="AM446" i="3" s="1"/>
  <c r="AN446" i="3"/>
  <c r="AO446" i="3"/>
  <c r="AF421" i="3"/>
  <c r="AE422" i="3" s="1"/>
  <c r="AG421" i="3"/>
  <c r="AH421" i="3" s="1"/>
  <c r="U297" i="3"/>
  <c r="W296" i="3"/>
  <c r="X296" i="3" s="1"/>
  <c r="Z296" i="3"/>
  <c r="Y296" i="3"/>
  <c r="AK447" i="3" l="1"/>
  <c r="AO447" i="3" s="1"/>
  <c r="AF422" i="3"/>
  <c r="AE423" i="3" s="1"/>
  <c r="AG422" i="3"/>
  <c r="AH422" i="3" s="1"/>
  <c r="V297" i="3"/>
  <c r="Z297" i="3"/>
  <c r="AL447" i="3" l="1"/>
  <c r="AM447" i="3" s="1"/>
  <c r="AJ448" i="3"/>
  <c r="AN447" i="3"/>
  <c r="AF423" i="3"/>
  <c r="AE424" i="3" s="1"/>
  <c r="AG423" i="3"/>
  <c r="AH423" i="3" s="1"/>
  <c r="U298" i="3"/>
  <c r="W297" i="3"/>
  <c r="X297" i="3" s="1"/>
  <c r="Y297" i="3"/>
  <c r="AK448" i="3" l="1"/>
  <c r="AO448" i="3"/>
  <c r="AF424" i="3"/>
  <c r="AE425" i="3" s="1"/>
  <c r="AG424" i="3"/>
  <c r="AH424" i="3" s="1"/>
  <c r="V298" i="3"/>
  <c r="Z298" i="3"/>
  <c r="AJ449" i="3" l="1"/>
  <c r="AL448" i="3"/>
  <c r="AM448" i="3" s="1"/>
  <c r="AN448" i="3"/>
  <c r="AF425" i="3"/>
  <c r="AE426" i="3" s="1"/>
  <c r="U299" i="3"/>
  <c r="W298" i="3"/>
  <c r="X298" i="3" s="1"/>
  <c r="Y298" i="3"/>
  <c r="AK449" i="3" l="1"/>
  <c r="AF426" i="3"/>
  <c r="AE427" i="3" s="1"/>
  <c r="AG426" i="3"/>
  <c r="AH426" i="3" s="1"/>
  <c r="AG425" i="3"/>
  <c r="AH425" i="3" s="1"/>
  <c r="V299" i="3"/>
  <c r="Y299" i="3"/>
  <c r="Z299" i="3"/>
  <c r="AL449" i="3" l="1"/>
  <c r="AM449" i="3" s="1"/>
  <c r="AJ450" i="3"/>
  <c r="AO449" i="3"/>
  <c r="AN449" i="3"/>
  <c r="AF427" i="3"/>
  <c r="AE428" i="3" s="1"/>
  <c r="AG427" i="3"/>
  <c r="AH427" i="3" s="1"/>
  <c r="W299" i="3"/>
  <c r="X299" i="3" s="1"/>
  <c r="U300" i="3"/>
  <c r="AK450" i="3" l="1"/>
  <c r="AN450" i="3"/>
  <c r="AO450" i="3"/>
  <c r="AF428" i="3"/>
  <c r="AE429" i="3" s="1"/>
  <c r="AG428" i="3"/>
  <c r="AH428" i="3" s="1"/>
  <c r="V300" i="3"/>
  <c r="Y300" i="3"/>
  <c r="AJ451" i="3" l="1"/>
  <c r="AL450" i="3"/>
  <c r="AM450" i="3" s="1"/>
  <c r="AF429" i="3"/>
  <c r="AE430" i="3" s="1"/>
  <c r="AG429" i="3"/>
  <c r="AH429" i="3" s="1"/>
  <c r="W300" i="3"/>
  <c r="X300" i="3" s="1"/>
  <c r="U301" i="3"/>
  <c r="Z300" i="3"/>
  <c r="AN451" i="3" l="1"/>
  <c r="AK451" i="3"/>
  <c r="AF430" i="3"/>
  <c r="AE431" i="3" s="1"/>
  <c r="AG430" i="3"/>
  <c r="AH430" i="3" s="1"/>
  <c r="V301" i="3"/>
  <c r="Y301" i="3"/>
  <c r="Z301" i="3"/>
  <c r="AJ452" i="3" l="1"/>
  <c r="AL451" i="3"/>
  <c r="AM451" i="3" s="1"/>
  <c r="AO451" i="3"/>
  <c r="AF431" i="3"/>
  <c r="AE432" i="3" s="1"/>
  <c r="U302" i="3"/>
  <c r="W301" i="3"/>
  <c r="X301" i="3" s="1"/>
  <c r="AK452" i="3" l="1"/>
  <c r="AO452" i="3"/>
  <c r="AG431" i="3"/>
  <c r="AH431" i="3" s="1"/>
  <c r="AF432" i="3"/>
  <c r="AE433" i="3" s="1"/>
  <c r="V302" i="3"/>
  <c r="Z302" i="3"/>
  <c r="Y302" i="3"/>
  <c r="AL452" i="3" l="1"/>
  <c r="AM452" i="3" s="1"/>
  <c r="AJ453" i="3"/>
  <c r="AN452" i="3"/>
  <c r="AG432" i="3"/>
  <c r="AH432" i="3" s="1"/>
  <c r="AF433" i="3"/>
  <c r="AE434" i="3" s="1"/>
  <c r="U303" i="3"/>
  <c r="W302" i="3"/>
  <c r="X302" i="3" s="1"/>
  <c r="AK453" i="3" l="1"/>
  <c r="AF434" i="3"/>
  <c r="AE435" i="3" s="1"/>
  <c r="AG434" i="3"/>
  <c r="AH434" i="3" s="1"/>
  <c r="AG433" i="3"/>
  <c r="AH433" i="3" s="1"/>
  <c r="V303" i="3"/>
  <c r="Z303" i="3"/>
  <c r="AL453" i="3" l="1"/>
  <c r="AM453" i="3" s="1"/>
  <c r="AJ454" i="3"/>
  <c r="AO453" i="3"/>
  <c r="AN453" i="3"/>
  <c r="AF435" i="3"/>
  <c r="AE436" i="3" s="1"/>
  <c r="AG435" i="3"/>
  <c r="AH435" i="3" s="1"/>
  <c r="U304" i="3"/>
  <c r="W303" i="3"/>
  <c r="X303" i="3" s="1"/>
  <c r="Y303" i="3"/>
  <c r="AK454" i="3" l="1"/>
  <c r="AN454" i="3"/>
  <c r="AO454" i="3"/>
  <c r="AF436" i="3"/>
  <c r="AE437" i="3" s="1"/>
  <c r="AG436" i="3"/>
  <c r="AH436" i="3" s="1"/>
  <c r="V304" i="3"/>
  <c r="Y304" i="3"/>
  <c r="AJ455" i="3" l="1"/>
  <c r="AL454" i="3"/>
  <c r="AM454" i="3" s="1"/>
  <c r="AF437" i="3"/>
  <c r="AE438" i="3" s="1"/>
  <c r="AG437" i="3"/>
  <c r="AH437" i="3" s="1"/>
  <c r="U305" i="3"/>
  <c r="W304" i="3"/>
  <c r="X304" i="3" s="1"/>
  <c r="Z304" i="3"/>
  <c r="AK455" i="3" l="1"/>
  <c r="AG438" i="3"/>
  <c r="AH438" i="3" s="1"/>
  <c r="AF438" i="3"/>
  <c r="AE439" i="3" s="1"/>
  <c r="V305" i="3"/>
  <c r="Y305" i="3"/>
  <c r="AL455" i="3" l="1"/>
  <c r="AM455" i="3" s="1"/>
  <c r="AJ456" i="3"/>
  <c r="AN455" i="3"/>
  <c r="AO455" i="3"/>
  <c r="AF439" i="3"/>
  <c r="AE440" i="3" s="1"/>
  <c r="U306" i="3"/>
  <c r="W305" i="3"/>
  <c r="X305" i="3" s="1"/>
  <c r="Z305" i="3"/>
  <c r="AK456" i="3" l="1"/>
  <c r="AF440" i="3"/>
  <c r="AE441" i="3" s="1"/>
  <c r="AG440" i="3"/>
  <c r="AH440" i="3" s="1"/>
  <c r="AG439" i="3"/>
  <c r="AH439" i="3" s="1"/>
  <c r="V306" i="3"/>
  <c r="Z306" i="3"/>
  <c r="AJ457" i="3" l="1"/>
  <c r="AL456" i="3"/>
  <c r="AM456" i="3" s="1"/>
  <c r="AO456" i="3"/>
  <c r="AN456" i="3"/>
  <c r="AF441" i="3"/>
  <c r="AE442" i="3" s="1"/>
  <c r="AG441" i="3"/>
  <c r="AH441" i="3" s="1"/>
  <c r="W306" i="3"/>
  <c r="X306" i="3" s="1"/>
  <c r="U307" i="3"/>
  <c r="Y306" i="3"/>
  <c r="AK457" i="3" l="1"/>
  <c r="AO457" i="3"/>
  <c r="AF442" i="3"/>
  <c r="AE443" i="3" s="1"/>
  <c r="AG442" i="3"/>
  <c r="AH442" i="3" s="1"/>
  <c r="V307" i="3"/>
  <c r="AL457" i="3" l="1"/>
  <c r="AM457" i="3" s="1"/>
  <c r="AJ458" i="3"/>
  <c r="AN457" i="3"/>
  <c r="AF443" i="3"/>
  <c r="AE444" i="3" s="1"/>
  <c r="U308" i="3"/>
  <c r="W307" i="3"/>
  <c r="X307" i="3" s="1"/>
  <c r="Y307" i="3"/>
  <c r="Z307" i="3"/>
  <c r="AK458" i="3" l="1"/>
  <c r="AF444" i="3"/>
  <c r="AE445" i="3" s="1"/>
  <c r="AG444" i="3"/>
  <c r="AH444" i="3" s="1"/>
  <c r="AG443" i="3"/>
  <c r="AH443" i="3" s="1"/>
  <c r="V308" i="3"/>
  <c r="Y308" i="3"/>
  <c r="Z308" i="3"/>
  <c r="AJ459" i="3" l="1"/>
  <c r="AL458" i="3"/>
  <c r="AM458" i="3" s="1"/>
  <c r="AN458" i="3"/>
  <c r="AO458" i="3"/>
  <c r="AF445" i="3"/>
  <c r="AE446" i="3" s="1"/>
  <c r="W308" i="3"/>
  <c r="X308" i="3" s="1"/>
  <c r="U309" i="3"/>
  <c r="AK459" i="3" l="1"/>
  <c r="AN459" i="3"/>
  <c r="AO459" i="3"/>
  <c r="AF446" i="3"/>
  <c r="AE447" i="3" s="1"/>
  <c r="AG446" i="3"/>
  <c r="AH446" i="3" s="1"/>
  <c r="AG445" i="3"/>
  <c r="AH445" i="3" s="1"/>
  <c r="V309" i="3"/>
  <c r="AL459" i="3" l="1"/>
  <c r="AM459" i="3" s="1"/>
  <c r="AJ460" i="3"/>
  <c r="AF447" i="3"/>
  <c r="AE448" i="3" s="1"/>
  <c r="U310" i="3"/>
  <c r="W309" i="3"/>
  <c r="X309" i="3" s="1"/>
  <c r="Y309" i="3"/>
  <c r="Z309" i="3"/>
  <c r="AK460" i="3" l="1"/>
  <c r="AN460" i="3"/>
  <c r="AF448" i="3"/>
  <c r="AE449" i="3" s="1"/>
  <c r="AG448" i="3"/>
  <c r="AH448" i="3" s="1"/>
  <c r="AG447" i="3"/>
  <c r="AH447" i="3" s="1"/>
  <c r="V310" i="3"/>
  <c r="Y310" i="3"/>
  <c r="Z310" i="3"/>
  <c r="AL460" i="3" l="1"/>
  <c r="AM460" i="3" s="1"/>
  <c r="AJ461" i="3"/>
  <c r="AO460" i="3"/>
  <c r="AF449" i="3"/>
  <c r="AE450" i="3" s="1"/>
  <c r="W310" i="3"/>
  <c r="X310" i="3" s="1"/>
  <c r="U311" i="3"/>
  <c r="AK461" i="3" l="1"/>
  <c r="AN461" i="3"/>
  <c r="AO461" i="3"/>
  <c r="AG449" i="3"/>
  <c r="AH449" i="3" s="1"/>
  <c r="AF450" i="3"/>
  <c r="AE451" i="3" s="1"/>
  <c r="V311" i="3"/>
  <c r="Z311" i="3"/>
  <c r="AL461" i="3" l="1"/>
  <c r="AM461" i="3" s="1"/>
  <c r="AJ462" i="3"/>
  <c r="AF451" i="3"/>
  <c r="AE452" i="3" s="1"/>
  <c r="AG451" i="3"/>
  <c r="AH451" i="3" s="1"/>
  <c r="AG450" i="3"/>
  <c r="AH450" i="3" s="1"/>
  <c r="W311" i="3"/>
  <c r="X311" i="3" s="1"/>
  <c r="U312" i="3"/>
  <c r="Y311" i="3"/>
  <c r="AK462" i="3" l="1"/>
  <c r="AO462" i="3" s="1"/>
  <c r="AN462" i="3"/>
  <c r="AF452" i="3"/>
  <c r="AE453" i="3" s="1"/>
  <c r="V312" i="3"/>
  <c r="Y312" i="3"/>
  <c r="Z312" i="3"/>
  <c r="AJ463" i="3" l="1"/>
  <c r="AL462" i="3"/>
  <c r="AM462" i="3" s="1"/>
  <c r="AF453" i="3"/>
  <c r="AE454" i="3" s="1"/>
  <c r="AG453" i="3"/>
  <c r="AH453" i="3" s="1"/>
  <c r="AG452" i="3"/>
  <c r="AH452" i="3" s="1"/>
  <c r="W312" i="3"/>
  <c r="X312" i="3" s="1"/>
  <c r="U313" i="3"/>
  <c r="AK463" i="3" l="1"/>
  <c r="AN463" i="3"/>
  <c r="AO463" i="3"/>
  <c r="AF454" i="3"/>
  <c r="AE455" i="3" s="1"/>
  <c r="V313" i="3"/>
  <c r="Y313" i="3"/>
  <c r="Z313" i="3"/>
  <c r="AJ464" i="3" l="1"/>
  <c r="AL463" i="3"/>
  <c r="AM463" i="3" s="1"/>
  <c r="AG454" i="3"/>
  <c r="AH454" i="3" s="1"/>
  <c r="AF455" i="3"/>
  <c r="AE456" i="3" s="1"/>
  <c r="AG455" i="3"/>
  <c r="AH455" i="3" s="1"/>
  <c r="W313" i="3"/>
  <c r="X313" i="3" s="1"/>
  <c r="U314" i="3"/>
  <c r="AK464" i="3" l="1"/>
  <c r="AO464" i="3"/>
  <c r="AN464" i="3"/>
  <c r="AF456" i="3"/>
  <c r="AE457" i="3" s="1"/>
  <c r="V314" i="3"/>
  <c r="Y314" i="3"/>
  <c r="AJ465" i="3" l="1"/>
  <c r="AL464" i="3"/>
  <c r="AM464" i="3" s="1"/>
  <c r="AF457" i="3"/>
  <c r="AE458" i="3" s="1"/>
  <c r="AG456" i="3"/>
  <c r="AH456" i="3" s="1"/>
  <c r="U315" i="3"/>
  <c r="W314" i="3"/>
  <c r="X314" i="3" s="1"/>
  <c r="Z314" i="3"/>
  <c r="AK465" i="3" l="1"/>
  <c r="AN465" i="3"/>
  <c r="AF458" i="3"/>
  <c r="AE459" i="3" s="1"/>
  <c r="AG458" i="3"/>
  <c r="AH458" i="3" s="1"/>
  <c r="AG457" i="3"/>
  <c r="AH457" i="3" s="1"/>
  <c r="V315" i="3"/>
  <c r="AJ466" i="3" l="1"/>
  <c r="AL465" i="3"/>
  <c r="AM465" i="3" s="1"/>
  <c r="AO465" i="3"/>
  <c r="AF459" i="3"/>
  <c r="AE460" i="3" s="1"/>
  <c r="AG459" i="3"/>
  <c r="AH459" i="3" s="1"/>
  <c r="U316" i="3"/>
  <c r="W315" i="3"/>
  <c r="X315" i="3" s="1"/>
  <c r="Y315" i="3"/>
  <c r="Z315" i="3"/>
  <c r="AK466" i="3" l="1"/>
  <c r="AF460" i="3"/>
  <c r="AE461" i="3" s="1"/>
  <c r="AG460" i="3"/>
  <c r="AH460" i="3" s="1"/>
  <c r="V316" i="3"/>
  <c r="Z316" i="3"/>
  <c r="AL466" i="3" l="1"/>
  <c r="AM466" i="3" s="1"/>
  <c r="AJ467" i="3"/>
  <c r="AO466" i="3"/>
  <c r="AN466" i="3"/>
  <c r="AF461" i="3"/>
  <c r="AE462" i="3" s="1"/>
  <c r="W316" i="3"/>
  <c r="X316" i="3" s="1"/>
  <c r="U317" i="3"/>
  <c r="Y316" i="3"/>
  <c r="AK467" i="3" l="1"/>
  <c r="AN467" i="3"/>
  <c r="AO467" i="3"/>
  <c r="AF462" i="3"/>
  <c r="AE463" i="3" s="1"/>
  <c r="AG461" i="3"/>
  <c r="AH461" i="3" s="1"/>
  <c r="V317" i="3"/>
  <c r="Y317" i="3"/>
  <c r="Z317" i="3"/>
  <c r="AJ468" i="3" l="1"/>
  <c r="AL467" i="3"/>
  <c r="AM467" i="3" s="1"/>
  <c r="AF463" i="3"/>
  <c r="AE464" i="3" s="1"/>
  <c r="AG463" i="3"/>
  <c r="AH463" i="3" s="1"/>
  <c r="AG462" i="3"/>
  <c r="AH462" i="3" s="1"/>
  <c r="W317" i="3"/>
  <c r="X317" i="3" s="1"/>
  <c r="U318" i="3"/>
  <c r="AK468" i="3" l="1"/>
  <c r="AO468" i="3"/>
  <c r="AF464" i="3"/>
  <c r="AE465" i="3" s="1"/>
  <c r="V318" i="3"/>
  <c r="Y318" i="3"/>
  <c r="Z318" i="3"/>
  <c r="AL468" i="3" l="1"/>
  <c r="AM468" i="3" s="1"/>
  <c r="AJ469" i="3"/>
  <c r="AN468" i="3"/>
  <c r="AF465" i="3"/>
  <c r="AE466" i="3" s="1"/>
  <c r="AG465" i="3"/>
  <c r="AH465" i="3" s="1"/>
  <c r="AG464" i="3"/>
  <c r="AH464" i="3" s="1"/>
  <c r="W318" i="3"/>
  <c r="X318" i="3" s="1"/>
  <c r="U319" i="3"/>
  <c r="AK469" i="3" l="1"/>
  <c r="AN469" i="3" s="1"/>
  <c r="AF466" i="3"/>
  <c r="AE467" i="3" s="1"/>
  <c r="AG466" i="3"/>
  <c r="AH466" i="3" s="1"/>
  <c r="V319" i="3"/>
  <c r="Y319" i="3"/>
  <c r="AO469" i="3" l="1"/>
  <c r="AL469" i="3"/>
  <c r="AM469" i="3" s="1"/>
  <c r="AJ470" i="3"/>
  <c r="AF467" i="3"/>
  <c r="AE468" i="3" s="1"/>
  <c r="AG467" i="3"/>
  <c r="AH467" i="3" s="1"/>
  <c r="U320" i="3"/>
  <c r="W319" i="3"/>
  <c r="X319" i="3" s="1"/>
  <c r="Z319" i="3"/>
  <c r="AO470" i="3" l="1"/>
  <c r="AK470" i="3"/>
  <c r="AF468" i="3"/>
  <c r="AE469" i="3" s="1"/>
  <c r="AG468" i="3"/>
  <c r="AH468" i="3" s="1"/>
  <c r="V320" i="3"/>
  <c r="AL470" i="3" l="1"/>
  <c r="AM470" i="3" s="1"/>
  <c r="AJ471" i="3"/>
  <c r="AN470" i="3"/>
  <c r="AF469" i="3"/>
  <c r="AE470" i="3" s="1"/>
  <c r="AG469" i="3"/>
  <c r="AH469" i="3" s="1"/>
  <c r="W320" i="3"/>
  <c r="X320" i="3" s="1"/>
  <c r="U321" i="3"/>
  <c r="Z320" i="3"/>
  <c r="Y320" i="3"/>
  <c r="AK471" i="3" l="1"/>
  <c r="AO471" i="3"/>
  <c r="AN471" i="3"/>
  <c r="AF470" i="3"/>
  <c r="AE471" i="3" s="1"/>
  <c r="AG470" i="3"/>
  <c r="AH470" i="3" s="1"/>
  <c r="V321" i="3"/>
  <c r="AL471" i="3" l="1"/>
  <c r="AM471" i="3" s="1"/>
  <c r="AJ472" i="3"/>
  <c r="AF471" i="3"/>
  <c r="AE472" i="3" s="1"/>
  <c r="AG471" i="3"/>
  <c r="AH471" i="3" s="1"/>
  <c r="W321" i="3"/>
  <c r="X321" i="3" s="1"/>
  <c r="U322" i="3"/>
  <c r="Z321" i="3"/>
  <c r="Y321" i="3"/>
  <c r="AK472" i="3" l="1"/>
  <c r="AO472" i="3"/>
  <c r="AN472" i="3"/>
  <c r="AF472" i="3"/>
  <c r="AE473" i="3" s="1"/>
  <c r="AG472" i="3"/>
  <c r="AH472" i="3" s="1"/>
  <c r="V322" i="3"/>
  <c r="AL472" i="3" l="1"/>
  <c r="AM472" i="3" s="1"/>
  <c r="AJ473" i="3"/>
  <c r="AF473" i="3"/>
  <c r="AE474" i="3" s="1"/>
  <c r="AG473" i="3"/>
  <c r="AH473" i="3" s="1"/>
  <c r="W322" i="3"/>
  <c r="X322" i="3" s="1"/>
  <c r="U323" i="3"/>
  <c r="Z322" i="3"/>
  <c r="Y322" i="3"/>
  <c r="AK473" i="3" l="1"/>
  <c r="AN473" i="3"/>
  <c r="AO473" i="3"/>
  <c r="AF474" i="3"/>
  <c r="AE475" i="3" s="1"/>
  <c r="AG474" i="3"/>
  <c r="AH474" i="3" s="1"/>
  <c r="V323" i="3"/>
  <c r="Y323" i="3"/>
  <c r="Z323" i="3"/>
  <c r="AJ474" i="3" l="1"/>
  <c r="AL473" i="3"/>
  <c r="AM473" i="3" s="1"/>
  <c r="AF475" i="3"/>
  <c r="AE476" i="3" s="1"/>
  <c r="W323" i="3"/>
  <c r="X323" i="3" s="1"/>
  <c r="U324" i="3"/>
  <c r="AK474" i="3" l="1"/>
  <c r="AN474" i="3"/>
  <c r="AO474" i="3"/>
  <c r="AF476" i="3"/>
  <c r="AE477" i="3" s="1"/>
  <c r="AG476" i="3"/>
  <c r="AH476" i="3" s="1"/>
  <c r="AG475" i="3"/>
  <c r="AH475" i="3" s="1"/>
  <c r="V324" i="3"/>
  <c r="AL474" i="3" l="1"/>
  <c r="AM474" i="3" s="1"/>
  <c r="AJ475" i="3"/>
  <c r="AF477" i="3"/>
  <c r="AE478" i="3" s="1"/>
  <c r="AG477" i="3"/>
  <c r="AH477" i="3" s="1"/>
  <c r="U325" i="3"/>
  <c r="W324" i="3"/>
  <c r="X324" i="3" s="1"/>
  <c r="Y324" i="3"/>
  <c r="Z324" i="3"/>
  <c r="AK475" i="3" l="1"/>
  <c r="AN475" i="3"/>
  <c r="AF478" i="3"/>
  <c r="AE479" i="3" s="1"/>
  <c r="AG478" i="3"/>
  <c r="AH478" i="3" s="1"/>
  <c r="V325" i="3"/>
  <c r="Y325" i="3"/>
  <c r="Z325" i="3"/>
  <c r="AJ476" i="3" l="1"/>
  <c r="AL475" i="3"/>
  <c r="AM475" i="3" s="1"/>
  <c r="AO475" i="3"/>
  <c r="AF479" i="3"/>
  <c r="AE480" i="3" s="1"/>
  <c r="AG479" i="3"/>
  <c r="AH479" i="3" s="1"/>
  <c r="U326" i="3"/>
  <c r="W325" i="3"/>
  <c r="X325" i="3" s="1"/>
  <c r="AK476" i="3" l="1"/>
  <c r="AN476" i="3"/>
  <c r="AO476" i="3"/>
  <c r="AF480" i="3"/>
  <c r="AE481" i="3" s="1"/>
  <c r="AG480" i="3"/>
  <c r="AH480" i="3" s="1"/>
  <c r="V326" i="3"/>
  <c r="AL476" i="3" l="1"/>
  <c r="AM476" i="3" s="1"/>
  <c r="AJ477" i="3"/>
  <c r="AF481" i="3"/>
  <c r="AE482" i="3" s="1"/>
  <c r="AG481" i="3"/>
  <c r="AH481" i="3" s="1"/>
  <c r="U327" i="3"/>
  <c r="W326" i="3"/>
  <c r="X326" i="3" s="1"/>
  <c r="Z326" i="3"/>
  <c r="Y326" i="3"/>
  <c r="AK477" i="3" l="1"/>
  <c r="AF482" i="3"/>
  <c r="AE483" i="3" s="1"/>
  <c r="AG482" i="3"/>
  <c r="AH482" i="3" s="1"/>
  <c r="V327" i="3"/>
  <c r="Y327" i="3"/>
  <c r="AJ478" i="3" l="1"/>
  <c r="AL477" i="3"/>
  <c r="AM477" i="3" s="1"/>
  <c r="AN477" i="3"/>
  <c r="AO477" i="3"/>
  <c r="AF483" i="3"/>
  <c r="AE484" i="3" s="1"/>
  <c r="AG483" i="3"/>
  <c r="AH483" i="3" s="1"/>
  <c r="U328" i="3"/>
  <c r="W327" i="3"/>
  <c r="X327" i="3" s="1"/>
  <c r="Z327" i="3"/>
  <c r="AK478" i="3" l="1"/>
  <c r="AN478" i="3"/>
  <c r="AO478" i="3"/>
  <c r="AF484" i="3"/>
  <c r="AE485" i="3" s="1"/>
  <c r="AG484" i="3"/>
  <c r="AH484" i="3" s="1"/>
  <c r="V328" i="3"/>
  <c r="Y328" i="3"/>
  <c r="Z328" i="3"/>
  <c r="AL478" i="3" l="1"/>
  <c r="AM478" i="3" s="1"/>
  <c r="AJ479" i="3"/>
  <c r="AF485" i="3"/>
  <c r="AE486" i="3" s="1"/>
  <c r="AG485" i="3"/>
  <c r="AH485" i="3" s="1"/>
  <c r="U329" i="3"/>
  <c r="W328" i="3"/>
  <c r="X328" i="3" s="1"/>
  <c r="AK479" i="3" l="1"/>
  <c r="AN479" i="3"/>
  <c r="AO479" i="3"/>
  <c r="AF486" i="3"/>
  <c r="AE487" i="3" s="1"/>
  <c r="AG486" i="3"/>
  <c r="AH486" i="3" s="1"/>
  <c r="V329" i="3"/>
  <c r="Y329" i="3"/>
  <c r="AJ480" i="3" l="1"/>
  <c r="AL479" i="3"/>
  <c r="AM479" i="3" s="1"/>
  <c r="AF487" i="3"/>
  <c r="AE488" i="3" s="1"/>
  <c r="AG487" i="3"/>
  <c r="AH487" i="3" s="1"/>
  <c r="U330" i="3"/>
  <c r="W329" i="3"/>
  <c r="X329" i="3" s="1"/>
  <c r="Z329" i="3"/>
  <c r="AK480" i="3" l="1"/>
  <c r="AN480" i="3"/>
  <c r="AF488" i="3"/>
  <c r="AE489" i="3" s="1"/>
  <c r="AG488" i="3"/>
  <c r="AH488" i="3" s="1"/>
  <c r="V330" i="3"/>
  <c r="Z330" i="3" s="1"/>
  <c r="AL480" i="3" l="1"/>
  <c r="AM480" i="3" s="1"/>
  <c r="AJ481" i="3"/>
  <c r="AO480" i="3"/>
  <c r="AF489" i="3"/>
  <c r="AE490" i="3" s="1"/>
  <c r="W330" i="3"/>
  <c r="X330" i="3" s="1"/>
  <c r="U331" i="3"/>
  <c r="Y330" i="3"/>
  <c r="AK481" i="3" l="1"/>
  <c r="AF490" i="3"/>
  <c r="AE491" i="3" s="1"/>
  <c r="AG490" i="3"/>
  <c r="AH490" i="3" s="1"/>
  <c r="AG489" i="3"/>
  <c r="AH489" i="3" s="1"/>
  <c r="V331" i="3"/>
  <c r="Z331" i="3"/>
  <c r="AJ482" i="3" l="1"/>
  <c r="AL481" i="3"/>
  <c r="AM481" i="3" s="1"/>
  <c r="AO481" i="3"/>
  <c r="AN481" i="3"/>
  <c r="AF491" i="3"/>
  <c r="AE492" i="3" s="1"/>
  <c r="AG491" i="3"/>
  <c r="AH491" i="3" s="1"/>
  <c r="W331" i="3"/>
  <c r="X331" i="3" s="1"/>
  <c r="U332" i="3"/>
  <c r="Y331" i="3"/>
  <c r="AK482" i="3" l="1"/>
  <c r="AO482" i="3"/>
  <c r="AF492" i="3"/>
  <c r="AE493" i="3" s="1"/>
  <c r="AG492" i="3"/>
  <c r="AH492" i="3" s="1"/>
  <c r="V332" i="3"/>
  <c r="Y332" i="3"/>
  <c r="Z332" i="3"/>
  <c r="AL482" i="3" l="1"/>
  <c r="AM482" i="3" s="1"/>
  <c r="AJ483" i="3"/>
  <c r="AN482" i="3"/>
  <c r="AF493" i="3"/>
  <c r="AE494" i="3" s="1"/>
  <c r="W332" i="3"/>
  <c r="X332" i="3" s="1"/>
  <c r="U333" i="3"/>
  <c r="AK483" i="3" l="1"/>
  <c r="AN483" i="3"/>
  <c r="AO483" i="3"/>
  <c r="AF494" i="3"/>
  <c r="AE495" i="3" s="1"/>
  <c r="AG494" i="3"/>
  <c r="AH494" i="3" s="1"/>
  <c r="AG493" i="3"/>
  <c r="AH493" i="3" s="1"/>
  <c r="V333" i="3"/>
  <c r="Z333" i="3"/>
  <c r="Y333" i="3"/>
  <c r="AL483" i="3" l="1"/>
  <c r="AM483" i="3" s="1"/>
  <c r="AJ484" i="3"/>
  <c r="AF495" i="3"/>
  <c r="AE496" i="3" s="1"/>
  <c r="AG495" i="3"/>
  <c r="AH495" i="3" s="1"/>
  <c r="U334" i="3"/>
  <c r="W333" i="3"/>
  <c r="X333" i="3" s="1"/>
  <c r="AK484" i="3" l="1"/>
  <c r="AN484" i="3"/>
  <c r="AO484" i="3"/>
  <c r="AF496" i="3"/>
  <c r="AE497" i="3" s="1"/>
  <c r="AG496" i="3"/>
  <c r="AH496" i="3" s="1"/>
  <c r="V334" i="3"/>
  <c r="Y334" i="3"/>
  <c r="AJ485" i="3" l="1"/>
  <c r="AL484" i="3"/>
  <c r="AM484" i="3" s="1"/>
  <c r="AF497" i="3"/>
  <c r="AE498" i="3" s="1"/>
  <c r="AG497" i="3"/>
  <c r="AH497" i="3" s="1"/>
  <c r="W334" i="3"/>
  <c r="X334" i="3" s="1"/>
  <c r="U335" i="3"/>
  <c r="Z334" i="3"/>
  <c r="AK485" i="3" l="1"/>
  <c r="AN485" i="3"/>
  <c r="AF498" i="3"/>
  <c r="AE499" i="3" s="1"/>
  <c r="AG498" i="3"/>
  <c r="AH498" i="3" s="1"/>
  <c r="V335" i="3"/>
  <c r="AL485" i="3" l="1"/>
  <c r="AM485" i="3" s="1"/>
  <c r="AJ486" i="3"/>
  <c r="AO485" i="3"/>
  <c r="AF499" i="3"/>
  <c r="AE500" i="3" s="1"/>
  <c r="AG499" i="3"/>
  <c r="AH499" i="3" s="1"/>
  <c r="U336" i="3"/>
  <c r="W335" i="3"/>
  <c r="X335" i="3" s="1"/>
  <c r="Y335" i="3"/>
  <c r="Z335" i="3"/>
  <c r="AK486" i="3" l="1"/>
  <c r="AF500" i="3"/>
  <c r="AE501" i="3" s="1"/>
  <c r="V336" i="3"/>
  <c r="Z336" i="3"/>
  <c r="Y336" i="3"/>
  <c r="AJ487" i="3" l="1"/>
  <c r="AL486" i="3"/>
  <c r="AM486" i="3" s="1"/>
  <c r="AO486" i="3"/>
  <c r="AN486" i="3"/>
  <c r="AF501" i="3"/>
  <c r="AE502" i="3" s="1"/>
  <c r="AG501" i="3"/>
  <c r="AH501" i="3" s="1"/>
  <c r="AG500" i="3"/>
  <c r="AH500" i="3" s="1"/>
  <c r="W336" i="3"/>
  <c r="X336" i="3" s="1"/>
  <c r="U337" i="3"/>
  <c r="AK487" i="3" l="1"/>
  <c r="AN487" i="3"/>
  <c r="AO487" i="3"/>
  <c r="AF502" i="3"/>
  <c r="AE503" i="3" s="1"/>
  <c r="AG502" i="3"/>
  <c r="AH502" i="3" s="1"/>
  <c r="V337" i="3"/>
  <c r="AL487" i="3" l="1"/>
  <c r="AM487" i="3" s="1"/>
  <c r="AJ488" i="3"/>
  <c r="AF503" i="3"/>
  <c r="AE504" i="3" s="1"/>
  <c r="AG503" i="3"/>
  <c r="AH503" i="3" s="1"/>
  <c r="U338" i="3"/>
  <c r="W337" i="3"/>
  <c r="X337" i="3" s="1"/>
  <c r="Z337" i="3"/>
  <c r="Y337" i="3"/>
  <c r="AK488" i="3" l="1"/>
  <c r="AN488" i="3" s="1"/>
  <c r="AF504" i="3"/>
  <c r="AE505" i="3" s="1"/>
  <c r="V338" i="3"/>
  <c r="Y338" i="3"/>
  <c r="Z338" i="3"/>
  <c r="AJ489" i="3" l="1"/>
  <c r="AL488" i="3"/>
  <c r="AM488" i="3" s="1"/>
  <c r="AO488" i="3"/>
  <c r="AF505" i="3"/>
  <c r="AE506" i="3" s="1"/>
  <c r="AG504" i="3"/>
  <c r="AH504" i="3" s="1"/>
  <c r="U339" i="3"/>
  <c r="W338" i="3"/>
  <c r="X338" i="3" s="1"/>
  <c r="AK489" i="3" l="1"/>
  <c r="AN489" i="3"/>
  <c r="AO489" i="3"/>
  <c r="AF506" i="3"/>
  <c r="AE507" i="3" s="1"/>
  <c r="AG506" i="3"/>
  <c r="AH506" i="3" s="1"/>
  <c r="AG505" i="3"/>
  <c r="AH505" i="3" s="1"/>
  <c r="V339" i="3"/>
  <c r="Y339" i="3" s="1"/>
  <c r="AL489" i="3" l="1"/>
  <c r="AM489" i="3" s="1"/>
  <c r="AJ490" i="3"/>
  <c r="AF507" i="3"/>
  <c r="AE508" i="3" s="1"/>
  <c r="U340" i="3"/>
  <c r="W339" i="3"/>
  <c r="X339" i="3" s="1"/>
  <c r="Z339" i="3"/>
  <c r="AK490" i="3" l="1"/>
  <c r="AG507" i="3"/>
  <c r="AH507" i="3" s="1"/>
  <c r="AF508" i="3"/>
  <c r="AE509" i="3" s="1"/>
  <c r="AG508" i="3"/>
  <c r="AH508" i="3" s="1"/>
  <c r="V340" i="3"/>
  <c r="Y340" i="3"/>
  <c r="Z340" i="3"/>
  <c r="AJ491" i="3" l="1"/>
  <c r="AL490" i="3"/>
  <c r="AM490" i="3" s="1"/>
  <c r="AN490" i="3"/>
  <c r="AO490" i="3"/>
  <c r="AF509" i="3"/>
  <c r="AE510" i="3" s="1"/>
  <c r="AG509" i="3"/>
  <c r="AH509" i="3" s="1"/>
  <c r="U341" i="3"/>
  <c r="W340" i="3"/>
  <c r="X340" i="3" s="1"/>
  <c r="AK491" i="3" l="1"/>
  <c r="AO491" i="3" s="1"/>
  <c r="AF510" i="3"/>
  <c r="AE511" i="3" s="1"/>
  <c r="AG510" i="3"/>
  <c r="AH510" i="3" s="1"/>
  <c r="V341" i="3"/>
  <c r="AJ492" i="3" l="1"/>
  <c r="AL491" i="3"/>
  <c r="AM491" i="3" s="1"/>
  <c r="AN491" i="3"/>
  <c r="AF511" i="3"/>
  <c r="AE512" i="3" s="1"/>
  <c r="AG511" i="3"/>
  <c r="AH511" i="3" s="1"/>
  <c r="W341" i="3"/>
  <c r="X341" i="3" s="1"/>
  <c r="U342" i="3"/>
  <c r="Z341" i="3"/>
  <c r="Y341" i="3"/>
  <c r="AK492" i="3" l="1"/>
  <c r="AF512" i="3"/>
  <c r="AE513" i="3" s="1"/>
  <c r="AG512" i="3"/>
  <c r="AH512" i="3" s="1"/>
  <c r="V342" i="3"/>
  <c r="Y342" i="3"/>
  <c r="Z342" i="3"/>
  <c r="AL492" i="3" l="1"/>
  <c r="AM492" i="3" s="1"/>
  <c r="AJ493" i="3"/>
  <c r="AO492" i="3"/>
  <c r="AN492" i="3"/>
  <c r="AF513" i="3"/>
  <c r="AE514" i="3" s="1"/>
  <c r="AG513" i="3"/>
  <c r="AH513" i="3" s="1"/>
  <c r="W342" i="3"/>
  <c r="X342" i="3" s="1"/>
  <c r="U343" i="3"/>
  <c r="AK493" i="3" l="1"/>
  <c r="AF514" i="3"/>
  <c r="AE515" i="3" s="1"/>
  <c r="V343" i="3"/>
  <c r="Y343" i="3"/>
  <c r="Z343" i="3"/>
  <c r="AJ494" i="3" l="1"/>
  <c r="AL493" i="3"/>
  <c r="AM493" i="3" s="1"/>
  <c r="AO493" i="3"/>
  <c r="AN493" i="3"/>
  <c r="AF515" i="3"/>
  <c r="AE516" i="3" s="1"/>
  <c r="AG515" i="3"/>
  <c r="AH515" i="3" s="1"/>
  <c r="AG514" i="3"/>
  <c r="AH514" i="3" s="1"/>
  <c r="W343" i="3"/>
  <c r="X343" i="3" s="1"/>
  <c r="U344" i="3"/>
  <c r="AK494" i="3" l="1"/>
  <c r="AN494" i="3"/>
  <c r="AO494" i="3"/>
  <c r="AF516" i="3"/>
  <c r="AE517" i="3" s="1"/>
  <c r="AG516" i="3"/>
  <c r="AH516" i="3" s="1"/>
  <c r="V344" i="3"/>
  <c r="Y344" i="3"/>
  <c r="AL494" i="3" l="1"/>
  <c r="AM494" i="3" s="1"/>
  <c r="AJ495" i="3"/>
  <c r="AF517" i="3"/>
  <c r="AE518" i="3" s="1"/>
  <c r="AG517" i="3"/>
  <c r="AH517" i="3" s="1"/>
  <c r="W344" i="3"/>
  <c r="X344" i="3" s="1"/>
  <c r="U345" i="3"/>
  <c r="Z344" i="3"/>
  <c r="AK495" i="3" l="1"/>
  <c r="AN495" i="3"/>
  <c r="AF518" i="3"/>
  <c r="AE519" i="3" s="1"/>
  <c r="AG518" i="3"/>
  <c r="AH518" i="3" s="1"/>
  <c r="V345" i="3"/>
  <c r="Y345" i="3"/>
  <c r="Z345" i="3"/>
  <c r="AJ496" i="3" l="1"/>
  <c r="AL495" i="3"/>
  <c r="AM495" i="3" s="1"/>
  <c r="AO495" i="3"/>
  <c r="AF519" i="3"/>
  <c r="AE520" i="3" s="1"/>
  <c r="AG519" i="3"/>
  <c r="AH519" i="3" s="1"/>
  <c r="W345" i="3"/>
  <c r="X345" i="3" s="1"/>
  <c r="U346" i="3"/>
  <c r="AK496" i="3" l="1"/>
  <c r="AN496" i="3"/>
  <c r="AO496" i="3"/>
  <c r="AF520" i="3"/>
  <c r="AE521" i="3" s="1"/>
  <c r="AG520" i="3"/>
  <c r="AH520" i="3" s="1"/>
  <c r="V346" i="3"/>
  <c r="Z346" i="3"/>
  <c r="AL496" i="3" l="1"/>
  <c r="AM496" i="3" s="1"/>
  <c r="AJ497" i="3"/>
  <c r="AF521" i="3"/>
  <c r="AE522" i="3" s="1"/>
  <c r="AG521" i="3"/>
  <c r="AH521" i="3" s="1"/>
  <c r="U347" i="3"/>
  <c r="W346" i="3"/>
  <c r="X346" i="3" s="1"/>
  <c r="Y346" i="3"/>
  <c r="AK497" i="3" l="1"/>
  <c r="AO497" i="3"/>
  <c r="AN497" i="3"/>
  <c r="AF522" i="3"/>
  <c r="AE523" i="3" s="1"/>
  <c r="AG522" i="3"/>
  <c r="AH522" i="3" s="1"/>
  <c r="V347" i="3"/>
  <c r="Z347" i="3" s="1"/>
  <c r="Y347" i="3"/>
  <c r="AL497" i="3" l="1"/>
  <c r="AM497" i="3" s="1"/>
  <c r="AJ498" i="3"/>
  <c r="AF523" i="3"/>
  <c r="AE524" i="3" s="1"/>
  <c r="AG523" i="3"/>
  <c r="AH523" i="3" s="1"/>
  <c r="W347" i="3"/>
  <c r="X347" i="3" s="1"/>
  <c r="U348" i="3"/>
  <c r="AK498" i="3" l="1"/>
  <c r="AN498" i="3" s="1"/>
  <c r="AO498" i="3"/>
  <c r="AF524" i="3"/>
  <c r="AE525" i="3" s="1"/>
  <c r="V348" i="3"/>
  <c r="Z348" i="3"/>
  <c r="Y348" i="3"/>
  <c r="AL498" i="3" l="1"/>
  <c r="AM498" i="3" s="1"/>
  <c r="AJ499" i="3"/>
  <c r="AF525" i="3"/>
  <c r="AE526" i="3" s="1"/>
  <c r="AG524" i="3"/>
  <c r="AH524" i="3" s="1"/>
  <c r="U349" i="3"/>
  <c r="W348" i="3"/>
  <c r="X348" i="3" s="1"/>
  <c r="AK499" i="3" l="1"/>
  <c r="AN499" i="3"/>
  <c r="AO499" i="3"/>
  <c r="AF526" i="3"/>
  <c r="AE527" i="3" s="1"/>
  <c r="AG526" i="3"/>
  <c r="AH526" i="3" s="1"/>
  <c r="AG525" i="3"/>
  <c r="AH525" i="3" s="1"/>
  <c r="V349" i="3"/>
  <c r="Y349" i="3"/>
  <c r="AJ500" i="3" l="1"/>
  <c r="AL499" i="3"/>
  <c r="AM499" i="3" s="1"/>
  <c r="AF527" i="3"/>
  <c r="AE528" i="3" s="1"/>
  <c r="AG527" i="3"/>
  <c r="AH527" i="3" s="1"/>
  <c r="W349" i="3"/>
  <c r="X349" i="3" s="1"/>
  <c r="U350" i="3"/>
  <c r="Z349" i="3"/>
  <c r="AK500" i="3" l="1"/>
  <c r="AN500" i="3" s="1"/>
  <c r="AF528" i="3"/>
  <c r="AE529" i="3" s="1"/>
  <c r="AG528" i="3"/>
  <c r="AH528" i="3" s="1"/>
  <c r="V350" i="3"/>
  <c r="AJ501" i="3" l="1"/>
  <c r="AL500" i="3"/>
  <c r="AM500" i="3" s="1"/>
  <c r="AO500" i="3"/>
  <c r="AF529" i="3"/>
  <c r="AE530" i="3" s="1"/>
  <c r="AG529" i="3"/>
  <c r="AH529" i="3" s="1"/>
  <c r="U351" i="3"/>
  <c r="W350" i="3"/>
  <c r="X350" i="3" s="1"/>
  <c r="Z350" i="3"/>
  <c r="Y350" i="3"/>
  <c r="AK501" i="3" l="1"/>
  <c r="AN501" i="3"/>
  <c r="AF530" i="3"/>
  <c r="AE531" i="3" s="1"/>
  <c r="V351" i="3"/>
  <c r="AL501" i="3" l="1"/>
  <c r="AM501" i="3" s="1"/>
  <c r="AJ502" i="3"/>
  <c r="AO501" i="3"/>
  <c r="AF531" i="3"/>
  <c r="AE532" i="3" s="1"/>
  <c r="AG531" i="3"/>
  <c r="AH531" i="3" s="1"/>
  <c r="AG530" i="3"/>
  <c r="AH530" i="3" s="1"/>
  <c r="U352" i="3"/>
  <c r="W351" i="3"/>
  <c r="X351" i="3" s="1"/>
  <c r="Y351" i="3"/>
  <c r="Z351" i="3"/>
  <c r="AK502" i="3" l="1"/>
  <c r="AF532" i="3"/>
  <c r="AE533" i="3" s="1"/>
  <c r="AG532" i="3"/>
  <c r="AH532" i="3" s="1"/>
  <c r="V352" i="3"/>
  <c r="AJ503" i="3" l="1"/>
  <c r="AL502" i="3"/>
  <c r="AM502" i="3" s="1"/>
  <c r="AN502" i="3"/>
  <c r="AO502" i="3"/>
  <c r="AF533" i="3"/>
  <c r="AE534" i="3" s="1"/>
  <c r="AG533" i="3"/>
  <c r="AH533" i="3" s="1"/>
  <c r="W352" i="3"/>
  <c r="X352" i="3" s="1"/>
  <c r="U353" i="3"/>
  <c r="Z352" i="3"/>
  <c r="Y352" i="3"/>
  <c r="AK503" i="3" l="1"/>
  <c r="AO503" i="3"/>
  <c r="AF534" i="3"/>
  <c r="AE535" i="3" s="1"/>
  <c r="AG534" i="3"/>
  <c r="AH534" i="3" s="1"/>
  <c r="V353" i="3"/>
  <c r="Y353" i="3"/>
  <c r="Z353" i="3"/>
  <c r="AL503" i="3" l="1"/>
  <c r="AM503" i="3" s="1"/>
  <c r="AJ504" i="3"/>
  <c r="AN503" i="3"/>
  <c r="AF535" i="3"/>
  <c r="AE536" i="3" s="1"/>
  <c r="W353" i="3"/>
  <c r="X353" i="3" s="1"/>
  <c r="U354" i="3"/>
  <c r="AK504" i="3" l="1"/>
  <c r="AO504" i="3"/>
  <c r="AN504" i="3"/>
  <c r="AF536" i="3"/>
  <c r="AE537" i="3" s="1"/>
  <c r="AG536" i="3"/>
  <c r="AH536" i="3" s="1"/>
  <c r="AG535" i="3"/>
  <c r="AH535" i="3" s="1"/>
  <c r="V354" i="3"/>
  <c r="AJ505" i="3" l="1"/>
  <c r="AL504" i="3"/>
  <c r="AM504" i="3" s="1"/>
  <c r="AF537" i="3"/>
  <c r="AE538" i="3" s="1"/>
  <c r="AG537" i="3"/>
  <c r="AH537" i="3" s="1"/>
  <c r="W354" i="3"/>
  <c r="X354" i="3" s="1"/>
  <c r="U355" i="3"/>
  <c r="Y354" i="3"/>
  <c r="Z354" i="3"/>
  <c r="AK505" i="3" l="1"/>
  <c r="AF538" i="3"/>
  <c r="AE539" i="3" s="1"/>
  <c r="AG538" i="3"/>
  <c r="AH538" i="3" s="1"/>
  <c r="V355" i="3"/>
  <c r="AJ506" i="3" l="1"/>
  <c r="AL505" i="3"/>
  <c r="AM505" i="3" s="1"/>
  <c r="AN505" i="3"/>
  <c r="AO505" i="3"/>
  <c r="AF539" i="3"/>
  <c r="AE540" i="3" s="1"/>
  <c r="U356" i="3"/>
  <c r="W355" i="3"/>
  <c r="X355" i="3" s="1"/>
  <c r="Z355" i="3"/>
  <c r="Y355" i="3"/>
  <c r="AK506" i="3" l="1"/>
  <c r="AN506" i="3"/>
  <c r="AF540" i="3"/>
  <c r="AE541" i="3" s="1"/>
  <c r="AG539" i="3"/>
  <c r="AH539" i="3" s="1"/>
  <c r="V356" i="3"/>
  <c r="Y356" i="3"/>
  <c r="Z356" i="3"/>
  <c r="AJ507" i="3" l="1"/>
  <c r="AL506" i="3"/>
  <c r="AM506" i="3" s="1"/>
  <c r="AO506" i="3"/>
  <c r="AF541" i="3"/>
  <c r="AE542" i="3" s="1"/>
  <c r="AG541" i="3"/>
  <c r="AH541" i="3" s="1"/>
  <c r="AG540" i="3"/>
  <c r="AH540" i="3" s="1"/>
  <c r="W356" i="3"/>
  <c r="X356" i="3" s="1"/>
  <c r="U357" i="3"/>
  <c r="AK507" i="3" l="1"/>
  <c r="AO507" i="3"/>
  <c r="AN507" i="3"/>
  <c r="AF542" i="3"/>
  <c r="AE543" i="3" s="1"/>
  <c r="AG542" i="3"/>
  <c r="AH542" i="3" s="1"/>
  <c r="V357" i="3"/>
  <c r="Z357" i="3"/>
  <c r="Y357" i="3"/>
  <c r="AL507" i="3" l="1"/>
  <c r="AM507" i="3" s="1"/>
  <c r="AJ508" i="3"/>
  <c r="AF543" i="3"/>
  <c r="AE544" i="3" s="1"/>
  <c r="AG543" i="3"/>
  <c r="AH543" i="3" s="1"/>
  <c r="U358" i="3"/>
  <c r="W357" i="3"/>
  <c r="X357" i="3" s="1"/>
  <c r="AK508" i="3" l="1"/>
  <c r="AF544" i="3"/>
  <c r="AE545" i="3" s="1"/>
  <c r="V358" i="3"/>
  <c r="Y358" i="3"/>
  <c r="Z358" i="3"/>
  <c r="AJ509" i="3" l="1"/>
  <c r="AL508" i="3"/>
  <c r="AM508" i="3" s="1"/>
  <c r="AN508" i="3"/>
  <c r="AO508" i="3"/>
  <c r="AF545" i="3"/>
  <c r="AE546" i="3" s="1"/>
  <c r="AG545" i="3"/>
  <c r="AH545" i="3" s="1"/>
  <c r="AG544" i="3"/>
  <c r="AH544" i="3" s="1"/>
  <c r="W358" i="3"/>
  <c r="X358" i="3" s="1"/>
  <c r="U359" i="3"/>
  <c r="AK509" i="3" l="1"/>
  <c r="AN509" i="3"/>
  <c r="AO509" i="3"/>
  <c r="AF546" i="3"/>
  <c r="AE547" i="3" s="1"/>
  <c r="AG546" i="3"/>
  <c r="AH546" i="3" s="1"/>
  <c r="V359" i="3"/>
  <c r="AL509" i="3" l="1"/>
  <c r="AM509" i="3" s="1"/>
  <c r="AJ510" i="3"/>
  <c r="AF547" i="3"/>
  <c r="AE548" i="3" s="1"/>
  <c r="AG547" i="3"/>
  <c r="AH547" i="3" s="1"/>
  <c r="U360" i="3"/>
  <c r="W359" i="3"/>
  <c r="X359" i="3" s="1"/>
  <c r="Y359" i="3"/>
  <c r="Z359" i="3"/>
  <c r="AK510" i="3" l="1"/>
  <c r="AN510" i="3"/>
  <c r="AF548" i="3"/>
  <c r="AE549" i="3" s="1"/>
  <c r="AG548" i="3"/>
  <c r="AH548" i="3" s="1"/>
  <c r="V360" i="3"/>
  <c r="AJ511" i="3" l="1"/>
  <c r="AL510" i="3"/>
  <c r="AM510" i="3" s="1"/>
  <c r="AO510" i="3"/>
  <c r="AF549" i="3"/>
  <c r="AE550" i="3" s="1"/>
  <c r="U361" i="3"/>
  <c r="W360" i="3"/>
  <c r="X360" i="3" s="1"/>
  <c r="Y360" i="3"/>
  <c r="Z360" i="3"/>
  <c r="AK511" i="3" l="1"/>
  <c r="AO511" i="3"/>
  <c r="AN511" i="3"/>
  <c r="AF550" i="3"/>
  <c r="AE551" i="3" s="1"/>
  <c r="AG549" i="3"/>
  <c r="AH549" i="3" s="1"/>
  <c r="Y361" i="3"/>
  <c r="Z361" i="3"/>
  <c r="V361" i="3"/>
  <c r="AL511" i="3" l="1"/>
  <c r="AM511" i="3" s="1"/>
  <c r="AJ512" i="3"/>
  <c r="AF551" i="3"/>
  <c r="AE552" i="3" s="1"/>
  <c r="AG551" i="3"/>
  <c r="AH551" i="3" s="1"/>
  <c r="AG550" i="3"/>
  <c r="AH550" i="3" s="1"/>
  <c r="W361" i="3"/>
  <c r="X361" i="3" s="1"/>
  <c r="U362" i="3"/>
  <c r="AK512" i="3" l="1"/>
  <c r="AN512" i="3"/>
  <c r="AO512" i="3"/>
  <c r="AF552" i="3"/>
  <c r="AE553" i="3" s="1"/>
  <c r="AG552" i="3"/>
  <c r="AH552" i="3" s="1"/>
  <c r="V362" i="3"/>
  <c r="Y362" i="3" s="1"/>
  <c r="AJ513" i="3" l="1"/>
  <c r="AL512" i="3"/>
  <c r="AM512" i="3" s="1"/>
  <c r="AF553" i="3"/>
  <c r="AE554" i="3" s="1"/>
  <c r="AG553" i="3"/>
  <c r="AH553" i="3" s="1"/>
  <c r="Z362" i="3"/>
  <c r="W362" i="3"/>
  <c r="X362" i="3" s="1"/>
  <c r="U363" i="3"/>
  <c r="AK513" i="3" l="1"/>
  <c r="AN513" i="3"/>
  <c r="AO513" i="3"/>
  <c r="AF554" i="3"/>
  <c r="AE555" i="3" s="1"/>
  <c r="AG554" i="3"/>
  <c r="AH554" i="3" s="1"/>
  <c r="V363" i="3"/>
  <c r="Y363" i="3"/>
  <c r="Z363" i="3"/>
  <c r="AL513" i="3" l="1"/>
  <c r="AM513" i="3" s="1"/>
  <c r="AJ514" i="3"/>
  <c r="AF555" i="3"/>
  <c r="AE556" i="3" s="1"/>
  <c r="AG555" i="3"/>
  <c r="AH555" i="3" s="1"/>
  <c r="W363" i="3"/>
  <c r="X363" i="3" s="1"/>
  <c r="U364" i="3"/>
  <c r="AK514" i="3" l="1"/>
  <c r="AO514" i="3"/>
  <c r="AN514" i="3"/>
  <c r="AF556" i="3"/>
  <c r="AE557" i="3" s="1"/>
  <c r="AG556" i="3"/>
  <c r="AH556" i="3" s="1"/>
  <c r="V364" i="3"/>
  <c r="Y364" i="3"/>
  <c r="AJ515" i="3" l="1"/>
  <c r="AL514" i="3"/>
  <c r="AM514" i="3" s="1"/>
  <c r="AF557" i="3"/>
  <c r="AE558" i="3" s="1"/>
  <c r="AG557" i="3"/>
  <c r="AH557" i="3" s="1"/>
  <c r="U365" i="3"/>
  <c r="W364" i="3"/>
  <c r="X364" i="3" s="1"/>
  <c r="Z364" i="3"/>
  <c r="AK515" i="3" l="1"/>
  <c r="AN515" i="3"/>
  <c r="AF558" i="3"/>
  <c r="AE559" i="3" s="1"/>
  <c r="AG558" i="3"/>
  <c r="AH558" i="3" s="1"/>
  <c r="V365" i="3"/>
  <c r="AL515" i="3" l="1"/>
  <c r="AM515" i="3" s="1"/>
  <c r="AJ516" i="3"/>
  <c r="AO515" i="3"/>
  <c r="AF559" i="3"/>
  <c r="AE560" i="3" s="1"/>
  <c r="AG559" i="3"/>
  <c r="AH559" i="3" s="1"/>
  <c r="U366" i="3"/>
  <c r="W365" i="3"/>
  <c r="X365" i="3" s="1"/>
  <c r="Z365" i="3"/>
  <c r="Y365" i="3"/>
  <c r="AK516" i="3" l="1"/>
  <c r="AO516" i="3"/>
  <c r="AF560" i="3"/>
  <c r="AE561" i="3" s="1"/>
  <c r="AG560" i="3"/>
  <c r="AH560" i="3" s="1"/>
  <c r="V366" i="3"/>
  <c r="AL516" i="3" l="1"/>
  <c r="AM516" i="3" s="1"/>
  <c r="AJ517" i="3"/>
  <c r="AN516" i="3"/>
  <c r="AF561" i="3"/>
  <c r="AE562" i="3" s="1"/>
  <c r="AG561" i="3"/>
  <c r="AH561" i="3" s="1"/>
  <c r="W366" i="3"/>
  <c r="X366" i="3" s="1"/>
  <c r="U367" i="3"/>
  <c r="Z366" i="3"/>
  <c r="Y366" i="3"/>
  <c r="AK517" i="3" l="1"/>
  <c r="AN517" i="3"/>
  <c r="AO517" i="3"/>
  <c r="AF562" i="3"/>
  <c r="AE563" i="3" s="1"/>
  <c r="AG562" i="3"/>
  <c r="AH562" i="3" s="1"/>
  <c r="V367" i="3"/>
  <c r="AL517" i="3" l="1"/>
  <c r="AM517" i="3" s="1"/>
  <c r="AJ518" i="3"/>
  <c r="AF563" i="3"/>
  <c r="AE564" i="3" s="1"/>
  <c r="AG563" i="3"/>
  <c r="AH563" i="3" s="1"/>
  <c r="W367" i="3"/>
  <c r="X367" i="3" s="1"/>
  <c r="U368" i="3"/>
  <c r="Z367" i="3"/>
  <c r="Y367" i="3"/>
  <c r="AK518" i="3" l="1"/>
  <c r="AO518" i="3"/>
  <c r="AN518" i="3"/>
  <c r="AF564" i="3"/>
  <c r="AE565" i="3" s="1"/>
  <c r="V368" i="3"/>
  <c r="Z368" i="3"/>
  <c r="Y368" i="3"/>
  <c r="AL518" i="3" l="1"/>
  <c r="AM518" i="3" s="1"/>
  <c r="AJ519" i="3"/>
  <c r="AF565" i="3"/>
  <c r="AE566" i="3" s="1"/>
  <c r="AG565" i="3"/>
  <c r="AH565" i="3" s="1"/>
  <c r="AG564" i="3"/>
  <c r="AH564" i="3" s="1"/>
  <c r="W368" i="3"/>
  <c r="X368" i="3" s="1"/>
  <c r="U369" i="3"/>
  <c r="AK519" i="3" l="1"/>
  <c r="AN519" i="3"/>
  <c r="AO519" i="3"/>
  <c r="AF566" i="3"/>
  <c r="AE567" i="3" s="1"/>
  <c r="V369" i="3"/>
  <c r="AL519" i="3" l="1"/>
  <c r="AM519" i="3" s="1"/>
  <c r="AJ520" i="3"/>
  <c r="AG566" i="3"/>
  <c r="AH566" i="3" s="1"/>
  <c r="AF567" i="3"/>
  <c r="AE568" i="3" s="1"/>
  <c r="AG567" i="3"/>
  <c r="AH567" i="3" s="1"/>
  <c r="U370" i="3"/>
  <c r="W369" i="3"/>
  <c r="X369" i="3" s="1"/>
  <c r="Y369" i="3"/>
  <c r="Z369" i="3"/>
  <c r="AK520" i="3" l="1"/>
  <c r="AN520" i="3" s="1"/>
  <c r="AF568" i="3"/>
  <c r="AE569" i="3" s="1"/>
  <c r="AG568" i="3"/>
  <c r="AH568" i="3" s="1"/>
  <c r="V370" i="3"/>
  <c r="Y370" i="3"/>
  <c r="Z370" i="3"/>
  <c r="AL520" i="3" l="1"/>
  <c r="AM520" i="3" s="1"/>
  <c r="AJ521" i="3"/>
  <c r="AO520" i="3"/>
  <c r="AF569" i="3"/>
  <c r="AE570" i="3" s="1"/>
  <c r="AG569" i="3"/>
  <c r="AH569" i="3" s="1"/>
  <c r="W370" i="3"/>
  <c r="X370" i="3" s="1"/>
  <c r="U371" i="3"/>
  <c r="AK521" i="3" l="1"/>
  <c r="AO521" i="3"/>
  <c r="AF570" i="3"/>
  <c r="AE571" i="3" s="1"/>
  <c r="AG570" i="3"/>
  <c r="AH570" i="3" s="1"/>
  <c r="V371" i="3"/>
  <c r="AL521" i="3" l="1"/>
  <c r="AM521" i="3" s="1"/>
  <c r="AJ522" i="3"/>
  <c r="AN521" i="3"/>
  <c r="AF571" i="3"/>
  <c r="AE572" i="3" s="1"/>
  <c r="AG571" i="3"/>
  <c r="AH571" i="3" s="1"/>
  <c r="U372" i="3"/>
  <c r="W371" i="3"/>
  <c r="X371" i="3" s="1"/>
  <c r="Z371" i="3"/>
  <c r="Y371" i="3"/>
  <c r="AK522" i="3" l="1"/>
  <c r="AN522" i="3" s="1"/>
  <c r="AO522" i="3"/>
  <c r="AF572" i="3"/>
  <c r="AE573" i="3" s="1"/>
  <c r="V372" i="3"/>
  <c r="Y372" i="3"/>
  <c r="Z372" i="3"/>
  <c r="AL522" i="3" l="1"/>
  <c r="AM522" i="3" s="1"/>
  <c r="AJ523" i="3"/>
  <c r="AG572" i="3"/>
  <c r="AH572" i="3" s="1"/>
  <c r="AF573" i="3"/>
  <c r="AE574" i="3" s="1"/>
  <c r="AG573" i="3"/>
  <c r="AH573" i="3" s="1"/>
  <c r="W372" i="3"/>
  <c r="X372" i="3" s="1"/>
  <c r="U373" i="3"/>
  <c r="AK523" i="3" l="1"/>
  <c r="AO523" i="3" s="1"/>
  <c r="AF574" i="3"/>
  <c r="AE575" i="3" s="1"/>
  <c r="V373" i="3"/>
  <c r="Y373" i="3"/>
  <c r="Z373" i="3"/>
  <c r="AJ524" i="3" l="1"/>
  <c r="AL523" i="3"/>
  <c r="AM523" i="3" s="1"/>
  <c r="AN523" i="3"/>
  <c r="AF575" i="3"/>
  <c r="AE576" i="3" s="1"/>
  <c r="AG574" i="3"/>
  <c r="AH574" i="3" s="1"/>
  <c r="W373" i="3"/>
  <c r="X373" i="3" s="1"/>
  <c r="U374" i="3"/>
  <c r="AK524" i="3" l="1"/>
  <c r="AN524" i="3"/>
  <c r="AO524" i="3"/>
  <c r="AF576" i="3"/>
  <c r="AE577" i="3" s="1"/>
  <c r="AG576" i="3"/>
  <c r="AH576" i="3" s="1"/>
  <c r="AG575" i="3"/>
  <c r="AH575" i="3" s="1"/>
  <c r="V374" i="3"/>
  <c r="Y374" i="3"/>
  <c r="AL524" i="3" l="1"/>
  <c r="AM524" i="3" s="1"/>
  <c r="AJ525" i="3"/>
  <c r="AF577" i="3"/>
  <c r="AE578" i="3" s="1"/>
  <c r="U375" i="3"/>
  <c r="W374" i="3"/>
  <c r="X374" i="3" s="1"/>
  <c r="Z374" i="3"/>
  <c r="AK525" i="3" l="1"/>
  <c r="AG577" i="3"/>
  <c r="AH577" i="3" s="1"/>
  <c r="AF578" i="3"/>
  <c r="AE579" i="3" s="1"/>
  <c r="V375" i="3"/>
  <c r="Y375" i="3"/>
  <c r="Z375" i="3"/>
  <c r="AJ526" i="3" l="1"/>
  <c r="AL525" i="3"/>
  <c r="AM525" i="3" s="1"/>
  <c r="AN525" i="3"/>
  <c r="AO525" i="3"/>
  <c r="AG578" i="3"/>
  <c r="AH578" i="3" s="1"/>
  <c r="AF579" i="3"/>
  <c r="AE580" i="3" s="1"/>
  <c r="AG579" i="3"/>
  <c r="AH579" i="3" s="1"/>
  <c r="U376" i="3"/>
  <c r="W375" i="3"/>
  <c r="X375" i="3" s="1"/>
  <c r="AK526" i="3" l="1"/>
  <c r="AF580" i="3"/>
  <c r="AE581" i="3" s="1"/>
  <c r="V376" i="3"/>
  <c r="Z376" i="3"/>
  <c r="AJ527" i="3" l="1"/>
  <c r="AL526" i="3"/>
  <c r="AM526" i="3" s="1"/>
  <c r="AO526" i="3"/>
  <c r="AN526" i="3"/>
  <c r="AF581" i="3"/>
  <c r="AE582" i="3" s="1"/>
  <c r="AG581" i="3"/>
  <c r="AH581" i="3" s="1"/>
  <c r="AG580" i="3"/>
  <c r="AH580" i="3" s="1"/>
  <c r="U377" i="3"/>
  <c r="W376" i="3"/>
  <c r="X376" i="3" s="1"/>
  <c r="Y376" i="3"/>
  <c r="AK527" i="3" l="1"/>
  <c r="AF582" i="3"/>
  <c r="AE583" i="3" s="1"/>
  <c r="V377" i="3"/>
  <c r="Y377" i="3"/>
  <c r="Z377" i="3"/>
  <c r="AL527" i="3" l="1"/>
  <c r="AM527" i="3" s="1"/>
  <c r="AJ528" i="3"/>
  <c r="AN527" i="3"/>
  <c r="AO527" i="3"/>
  <c r="AF583" i="3"/>
  <c r="AE584" i="3" s="1"/>
  <c r="AG582" i="3"/>
  <c r="AH582" i="3" s="1"/>
  <c r="U378" i="3"/>
  <c r="W377" i="3"/>
  <c r="X377" i="3" s="1"/>
  <c r="AK528" i="3" l="1"/>
  <c r="AN528" i="3"/>
  <c r="AO528" i="3"/>
  <c r="AF584" i="3"/>
  <c r="AE585" i="3" s="1"/>
  <c r="AG583" i="3"/>
  <c r="AH583" i="3" s="1"/>
  <c r="V378" i="3"/>
  <c r="Y378" i="3"/>
  <c r="Z378" i="3"/>
  <c r="AJ529" i="3" l="1"/>
  <c r="AL528" i="3"/>
  <c r="AM528" i="3" s="1"/>
  <c r="AF585" i="3"/>
  <c r="AE586" i="3" s="1"/>
  <c r="AG584" i="3"/>
  <c r="AH584" i="3" s="1"/>
  <c r="W378" i="3"/>
  <c r="X378" i="3" s="1"/>
  <c r="U379" i="3"/>
  <c r="AK529" i="3" l="1"/>
  <c r="AN529" i="3"/>
  <c r="AO529" i="3"/>
  <c r="AF586" i="3"/>
  <c r="AE587" i="3" s="1"/>
  <c r="AG586" i="3"/>
  <c r="AH586" i="3" s="1"/>
  <c r="AG585" i="3"/>
  <c r="AH585" i="3" s="1"/>
  <c r="V379" i="3"/>
  <c r="AJ530" i="3" l="1"/>
  <c r="AL529" i="3"/>
  <c r="AM529" i="3" s="1"/>
  <c r="AF587" i="3"/>
  <c r="AE588" i="3" s="1"/>
  <c r="U380" i="3"/>
  <c r="W379" i="3"/>
  <c r="X379" i="3" s="1"/>
  <c r="Y379" i="3"/>
  <c r="Z379" i="3"/>
  <c r="AK530" i="3" l="1"/>
  <c r="AF588" i="3"/>
  <c r="AE589" i="3" s="1"/>
  <c r="AG588" i="3"/>
  <c r="AH588" i="3" s="1"/>
  <c r="AG587" i="3"/>
  <c r="AH587" i="3" s="1"/>
  <c r="V380" i="3"/>
  <c r="Y380" i="3"/>
  <c r="Z380" i="3"/>
  <c r="AL530" i="3" l="1"/>
  <c r="AM530" i="3" s="1"/>
  <c r="AJ531" i="3"/>
  <c r="AN530" i="3"/>
  <c r="AO530" i="3"/>
  <c r="AF589" i="3"/>
  <c r="AE590" i="3" s="1"/>
  <c r="W380" i="3"/>
  <c r="X380" i="3" s="1"/>
  <c r="U381" i="3"/>
  <c r="AK531" i="3" l="1"/>
  <c r="AF590" i="3"/>
  <c r="AE591" i="3" s="1"/>
  <c r="AG589" i="3"/>
  <c r="AH589" i="3" s="1"/>
  <c r="V381" i="3"/>
  <c r="AJ532" i="3" l="1"/>
  <c r="AL531" i="3"/>
  <c r="AM531" i="3" s="1"/>
  <c r="AO531" i="3"/>
  <c r="AN531" i="3"/>
  <c r="AF591" i="3"/>
  <c r="AE592" i="3" s="1"/>
  <c r="AG591" i="3"/>
  <c r="AH591" i="3" s="1"/>
  <c r="AG590" i="3"/>
  <c r="AH590" i="3" s="1"/>
  <c r="U382" i="3"/>
  <c r="W381" i="3"/>
  <c r="X381" i="3" s="1"/>
  <c r="Z381" i="3"/>
  <c r="Y381" i="3"/>
  <c r="AK532" i="3" l="1"/>
  <c r="AF592" i="3"/>
  <c r="AE593" i="3" s="1"/>
  <c r="AG592" i="3"/>
  <c r="AH592" i="3" s="1"/>
  <c r="V382" i="3"/>
  <c r="Y382" i="3"/>
  <c r="Z382" i="3"/>
  <c r="AL532" i="3" l="1"/>
  <c r="AM532" i="3" s="1"/>
  <c r="AJ533" i="3"/>
  <c r="AO532" i="3"/>
  <c r="AN532" i="3"/>
  <c r="AF593" i="3"/>
  <c r="AE594" i="3" s="1"/>
  <c r="W382" i="3"/>
  <c r="X382" i="3" s="1"/>
  <c r="U383" i="3"/>
  <c r="AK533" i="3" l="1"/>
  <c r="AF594" i="3"/>
  <c r="AE595" i="3" s="1"/>
  <c r="AG594" i="3"/>
  <c r="AH594" i="3" s="1"/>
  <c r="AG593" i="3"/>
  <c r="AH593" i="3" s="1"/>
  <c r="V383" i="3"/>
  <c r="Y383" i="3"/>
  <c r="Z383" i="3"/>
  <c r="AL533" i="3" l="1"/>
  <c r="AM533" i="3" s="1"/>
  <c r="AJ534" i="3"/>
  <c r="AO533" i="3"/>
  <c r="AN533" i="3"/>
  <c r="AF595" i="3"/>
  <c r="AE596" i="3" s="1"/>
  <c r="W383" i="3"/>
  <c r="X383" i="3" s="1"/>
  <c r="U384" i="3"/>
  <c r="AK534" i="3" l="1"/>
  <c r="AN534" i="3"/>
  <c r="AO534" i="3"/>
  <c r="AF596" i="3"/>
  <c r="AE597" i="3" s="1"/>
  <c r="AG596" i="3"/>
  <c r="AH596" i="3" s="1"/>
  <c r="AG595" i="3"/>
  <c r="AH595" i="3" s="1"/>
  <c r="V384" i="3"/>
  <c r="AJ535" i="3" l="1"/>
  <c r="AL534" i="3"/>
  <c r="AM534" i="3" s="1"/>
  <c r="AF597" i="3"/>
  <c r="AE598" i="3" s="1"/>
  <c r="AG597" i="3"/>
  <c r="AH597" i="3" s="1"/>
  <c r="U385" i="3"/>
  <c r="W384" i="3"/>
  <c r="X384" i="3" s="1"/>
  <c r="Y384" i="3"/>
  <c r="Z384" i="3"/>
  <c r="AK535" i="3" l="1"/>
  <c r="AN535" i="3"/>
  <c r="AF598" i="3"/>
  <c r="AE599" i="3" s="1"/>
  <c r="AG598" i="3"/>
  <c r="AH598" i="3" s="1"/>
  <c r="V385" i="3"/>
  <c r="Y385" i="3"/>
  <c r="Z385" i="3"/>
  <c r="AJ536" i="3" l="1"/>
  <c r="AL535" i="3"/>
  <c r="AM535" i="3" s="1"/>
  <c r="AO535" i="3"/>
  <c r="AF599" i="3"/>
  <c r="AE600" i="3" s="1"/>
  <c r="AG599" i="3"/>
  <c r="AH599" i="3" s="1"/>
  <c r="W385" i="3"/>
  <c r="X385" i="3" s="1"/>
  <c r="U386" i="3"/>
  <c r="AK536" i="3" l="1"/>
  <c r="AO536" i="3"/>
  <c r="AN536" i="3"/>
  <c r="AF600" i="3"/>
  <c r="AE601" i="3" s="1"/>
  <c r="V386" i="3"/>
  <c r="AJ537" i="3" l="1"/>
  <c r="AL536" i="3"/>
  <c r="AM536" i="3" s="1"/>
  <c r="AF601" i="3"/>
  <c r="AE602" i="3" s="1"/>
  <c r="AG601" i="3"/>
  <c r="AH601" i="3" s="1"/>
  <c r="AG600" i="3"/>
  <c r="AH600" i="3" s="1"/>
  <c r="W386" i="3"/>
  <c r="X386" i="3" s="1"/>
  <c r="U387" i="3"/>
  <c r="Z386" i="3"/>
  <c r="Y386" i="3"/>
  <c r="AK537" i="3" l="1"/>
  <c r="AN537" i="3"/>
  <c r="AF602" i="3"/>
  <c r="AE603" i="3" s="1"/>
  <c r="AG602" i="3"/>
  <c r="AH602" i="3" s="1"/>
  <c r="V387" i="3"/>
  <c r="AJ538" i="3" l="1"/>
  <c r="AL537" i="3"/>
  <c r="AM537" i="3" s="1"/>
  <c r="AO537" i="3"/>
  <c r="AF603" i="3"/>
  <c r="AE604" i="3" s="1"/>
  <c r="AG603" i="3"/>
  <c r="AH603" i="3" s="1"/>
  <c r="W387" i="3"/>
  <c r="X387" i="3" s="1"/>
  <c r="U388" i="3"/>
  <c r="Z387" i="3"/>
  <c r="Y387" i="3"/>
  <c r="AK538" i="3" l="1"/>
  <c r="AN538" i="3"/>
  <c r="AF604" i="3"/>
  <c r="AE605" i="3" s="1"/>
  <c r="V388" i="3"/>
  <c r="Y388" i="3"/>
  <c r="Z388" i="3"/>
  <c r="AL538" i="3" l="1"/>
  <c r="AM538" i="3" s="1"/>
  <c r="AJ539" i="3"/>
  <c r="AO538" i="3"/>
  <c r="AF605" i="3"/>
  <c r="AE606" i="3" s="1"/>
  <c r="AG605" i="3"/>
  <c r="AH605" i="3" s="1"/>
  <c r="AG604" i="3"/>
  <c r="AH604" i="3" s="1"/>
  <c r="W388" i="3"/>
  <c r="X388" i="3" s="1"/>
  <c r="U389" i="3"/>
  <c r="AK539" i="3" l="1"/>
  <c r="AF606" i="3"/>
  <c r="AE607" i="3" s="1"/>
  <c r="AG606" i="3"/>
  <c r="AH606" i="3" s="1"/>
  <c r="V389" i="3"/>
  <c r="AJ540" i="3" l="1"/>
  <c r="AL539" i="3"/>
  <c r="AM539" i="3" s="1"/>
  <c r="AN539" i="3"/>
  <c r="AO539" i="3"/>
  <c r="AF607" i="3"/>
  <c r="AE608" i="3" s="1"/>
  <c r="U390" i="3"/>
  <c r="W389" i="3"/>
  <c r="X389" i="3" s="1"/>
  <c r="Y389" i="3"/>
  <c r="Z389" i="3"/>
  <c r="AK540" i="3" l="1"/>
  <c r="AG607" i="3"/>
  <c r="AH607" i="3" s="1"/>
  <c r="AF608" i="3"/>
  <c r="AE609" i="3" s="1"/>
  <c r="AG608" i="3"/>
  <c r="AH608" i="3" s="1"/>
  <c r="V390" i="3"/>
  <c r="AL540" i="3" l="1"/>
  <c r="AM540" i="3" s="1"/>
  <c r="AJ541" i="3"/>
  <c r="AN540" i="3"/>
  <c r="AO540" i="3"/>
  <c r="AF609" i="3"/>
  <c r="AE610" i="3" s="1"/>
  <c r="AG609" i="3"/>
  <c r="AH609" i="3" s="1"/>
  <c r="W390" i="3"/>
  <c r="X390" i="3" s="1"/>
  <c r="U391" i="3"/>
  <c r="Z390" i="3"/>
  <c r="Y390" i="3"/>
  <c r="AK541" i="3" l="1"/>
  <c r="AN541" i="3"/>
  <c r="AF610" i="3"/>
  <c r="AE611" i="3" s="1"/>
  <c r="AG610" i="3"/>
  <c r="AH610" i="3" s="1"/>
  <c r="V391" i="3"/>
  <c r="Z391" i="3"/>
  <c r="AJ542" i="3" l="1"/>
  <c r="AL541" i="3"/>
  <c r="AM541" i="3" s="1"/>
  <c r="AO541" i="3"/>
  <c r="AF611" i="3"/>
  <c r="AE612" i="3" s="1"/>
  <c r="AG611" i="3"/>
  <c r="AH611" i="3" s="1"/>
  <c r="U392" i="3"/>
  <c r="W391" i="3"/>
  <c r="X391" i="3" s="1"/>
  <c r="Y391" i="3"/>
  <c r="AK542" i="3" l="1"/>
  <c r="AF612" i="3"/>
  <c r="AE613" i="3" s="1"/>
  <c r="AG612" i="3"/>
  <c r="AH612" i="3" s="1"/>
  <c r="V392" i="3"/>
  <c r="Z392" i="3" s="1"/>
  <c r="AJ543" i="3" l="1"/>
  <c r="AL542" i="3"/>
  <c r="AM542" i="3" s="1"/>
  <c r="AO542" i="3"/>
  <c r="AN542" i="3"/>
  <c r="AF613" i="3"/>
  <c r="AE614" i="3" s="1"/>
  <c r="AG613" i="3"/>
  <c r="AH613" i="3" s="1"/>
  <c r="W392" i="3"/>
  <c r="X392" i="3" s="1"/>
  <c r="U393" i="3"/>
  <c r="Y392" i="3"/>
  <c r="AK543" i="3" l="1"/>
  <c r="AF614" i="3"/>
  <c r="AE615" i="3" s="1"/>
  <c r="V393" i="3"/>
  <c r="Y393" i="3"/>
  <c r="Z393" i="3"/>
  <c r="AJ544" i="3" l="1"/>
  <c r="AL543" i="3"/>
  <c r="AM543" i="3" s="1"/>
  <c r="AN543" i="3"/>
  <c r="AO543" i="3"/>
  <c r="AF615" i="3"/>
  <c r="AE616" i="3" s="1"/>
  <c r="AG615" i="3"/>
  <c r="AH615" i="3" s="1"/>
  <c r="AG614" i="3"/>
  <c r="AH614" i="3" s="1"/>
  <c r="W393" i="3"/>
  <c r="X393" i="3" s="1"/>
  <c r="U394" i="3"/>
  <c r="AK544" i="3" l="1"/>
  <c r="AN544" i="3"/>
  <c r="AO544" i="3"/>
  <c r="AF616" i="3"/>
  <c r="AE617" i="3" s="1"/>
  <c r="AG616" i="3"/>
  <c r="AH616" i="3" s="1"/>
  <c r="V394" i="3"/>
  <c r="AL544" i="3" l="1"/>
  <c r="AM544" i="3" s="1"/>
  <c r="AJ545" i="3"/>
  <c r="AF617" i="3"/>
  <c r="AE618" i="3" s="1"/>
  <c r="AG617" i="3"/>
  <c r="AH617" i="3" s="1"/>
  <c r="U395" i="3"/>
  <c r="W394" i="3"/>
  <c r="X394" i="3" s="1"/>
  <c r="Y394" i="3"/>
  <c r="Z394" i="3"/>
  <c r="AK545" i="3" l="1"/>
  <c r="AN545" i="3"/>
  <c r="AF618" i="3"/>
  <c r="AE619" i="3" s="1"/>
  <c r="AG618" i="3"/>
  <c r="AH618" i="3" s="1"/>
  <c r="V395" i="3"/>
  <c r="Y395" i="3"/>
  <c r="Z395" i="3"/>
  <c r="AJ546" i="3" l="1"/>
  <c r="AL545" i="3"/>
  <c r="AM545" i="3" s="1"/>
  <c r="AO545" i="3"/>
  <c r="AF619" i="3"/>
  <c r="AE620" i="3" s="1"/>
  <c r="W395" i="3"/>
  <c r="X395" i="3" s="1"/>
  <c r="U396" i="3"/>
  <c r="AK546" i="3" l="1"/>
  <c r="AN546" i="3"/>
  <c r="AO546" i="3"/>
  <c r="AF620" i="3"/>
  <c r="AE621" i="3" s="1"/>
  <c r="AG620" i="3"/>
  <c r="AH620" i="3" s="1"/>
  <c r="AG619" i="3"/>
  <c r="AH619" i="3" s="1"/>
  <c r="V396" i="3"/>
  <c r="Z396" i="3"/>
  <c r="AL546" i="3" l="1"/>
  <c r="AM546" i="3" s="1"/>
  <c r="AJ547" i="3"/>
  <c r="AF621" i="3"/>
  <c r="AE622" i="3" s="1"/>
  <c r="AG621" i="3"/>
  <c r="AH621" i="3" s="1"/>
  <c r="U397" i="3"/>
  <c r="W396" i="3"/>
  <c r="X396" i="3" s="1"/>
  <c r="Y396" i="3"/>
  <c r="AK547" i="3" l="1"/>
  <c r="AN547" i="3"/>
  <c r="AO547" i="3"/>
  <c r="AF622" i="3"/>
  <c r="AE623" i="3" s="1"/>
  <c r="V397" i="3"/>
  <c r="Y397" i="3"/>
  <c r="Z397" i="3"/>
  <c r="AJ548" i="3" l="1"/>
  <c r="AL547" i="3"/>
  <c r="AM547" i="3" s="1"/>
  <c r="AF623" i="3"/>
  <c r="AE624" i="3" s="1"/>
  <c r="AG623" i="3"/>
  <c r="AH623" i="3" s="1"/>
  <c r="AG622" i="3"/>
  <c r="AH622" i="3" s="1"/>
  <c r="U398" i="3"/>
  <c r="W397" i="3"/>
  <c r="X397" i="3" s="1"/>
  <c r="AK548" i="3" l="1"/>
  <c r="AO548" i="3"/>
  <c r="AF624" i="3"/>
  <c r="AE625" i="3" s="1"/>
  <c r="V398" i="3"/>
  <c r="Y398" i="3"/>
  <c r="Z398" i="3"/>
  <c r="AL548" i="3" l="1"/>
  <c r="AM548" i="3" s="1"/>
  <c r="AJ549" i="3"/>
  <c r="AN548" i="3"/>
  <c r="AF625" i="3"/>
  <c r="AE626" i="3" s="1"/>
  <c r="AG624" i="3"/>
  <c r="AH624" i="3" s="1"/>
  <c r="W398" i="3"/>
  <c r="X398" i="3" s="1"/>
  <c r="U399" i="3"/>
  <c r="AK549" i="3" l="1"/>
  <c r="AN549" i="3"/>
  <c r="AO549" i="3"/>
  <c r="AF626" i="3"/>
  <c r="AE627" i="3" s="1"/>
  <c r="AG626" i="3"/>
  <c r="AH626" i="3" s="1"/>
  <c r="AG625" i="3"/>
  <c r="AH625" i="3" s="1"/>
  <c r="V399" i="3"/>
  <c r="Y399" i="3"/>
  <c r="AJ550" i="3" l="1"/>
  <c r="AL549" i="3"/>
  <c r="AM549" i="3" s="1"/>
  <c r="AF627" i="3"/>
  <c r="AE628" i="3" s="1"/>
  <c r="U400" i="3"/>
  <c r="W399" i="3"/>
  <c r="X399" i="3" s="1"/>
  <c r="Z399" i="3"/>
  <c r="AK550" i="3" l="1"/>
  <c r="AN550" i="3"/>
  <c r="AF628" i="3"/>
  <c r="AE629" i="3" s="1"/>
  <c r="AG628" i="3"/>
  <c r="AH628" i="3" s="1"/>
  <c r="AG627" i="3"/>
  <c r="AH627" i="3" s="1"/>
  <c r="V400" i="3"/>
  <c r="AL550" i="3" l="1"/>
  <c r="AM550" i="3" s="1"/>
  <c r="AJ551" i="3"/>
  <c r="AO550" i="3"/>
  <c r="AF629" i="3"/>
  <c r="AE630" i="3" s="1"/>
  <c r="AG629" i="3"/>
  <c r="AH629" i="3" s="1"/>
  <c r="U401" i="3"/>
  <c r="W400" i="3"/>
  <c r="X400" i="3" s="1"/>
  <c r="Z400" i="3"/>
  <c r="Y400" i="3"/>
  <c r="AN551" i="3" l="1"/>
  <c r="AO551" i="3"/>
  <c r="AK551" i="3"/>
  <c r="AF630" i="3"/>
  <c r="AE631" i="3" s="1"/>
  <c r="V401" i="3"/>
  <c r="Z401" i="3"/>
  <c r="AJ552" i="3" l="1"/>
  <c r="AL551" i="3"/>
  <c r="AM551" i="3" s="1"/>
  <c r="AF631" i="3"/>
  <c r="AE632" i="3" s="1"/>
  <c r="AG631" i="3"/>
  <c r="AH631" i="3" s="1"/>
  <c r="AG630" i="3"/>
  <c r="AH630" i="3" s="1"/>
  <c r="W401" i="3"/>
  <c r="X401" i="3" s="1"/>
  <c r="U402" i="3"/>
  <c r="Y401" i="3"/>
  <c r="AK552" i="3" l="1"/>
  <c r="AN552" i="3"/>
  <c r="AO552" i="3"/>
  <c r="AF632" i="3"/>
  <c r="AE633" i="3" s="1"/>
  <c r="V402" i="3"/>
  <c r="AJ553" i="3" l="1"/>
  <c r="AL552" i="3"/>
  <c r="AM552" i="3" s="1"/>
  <c r="AF633" i="3"/>
  <c r="AE634" i="3" s="1"/>
  <c r="AG632" i="3"/>
  <c r="AH632" i="3" s="1"/>
  <c r="U403" i="3"/>
  <c r="W402" i="3"/>
  <c r="X402" i="3" s="1"/>
  <c r="Z402" i="3"/>
  <c r="Y402" i="3"/>
  <c r="AK553" i="3" l="1"/>
  <c r="AF634" i="3"/>
  <c r="AE635" i="3" s="1"/>
  <c r="AG633" i="3"/>
  <c r="AH633" i="3" s="1"/>
  <c r="V403" i="3"/>
  <c r="Y403" i="3"/>
  <c r="Z403" i="3"/>
  <c r="AJ554" i="3" l="1"/>
  <c r="AL553" i="3"/>
  <c r="AM553" i="3" s="1"/>
  <c r="AN553" i="3"/>
  <c r="AO553" i="3"/>
  <c r="AG634" i="3"/>
  <c r="AH634" i="3" s="1"/>
  <c r="AF635" i="3"/>
  <c r="AE636" i="3" s="1"/>
  <c r="AG635" i="3"/>
  <c r="AH635" i="3" s="1"/>
  <c r="W403" i="3"/>
  <c r="X403" i="3" s="1"/>
  <c r="U404" i="3"/>
  <c r="AK554" i="3" l="1"/>
  <c r="AN554" i="3"/>
  <c r="AO554" i="3"/>
  <c r="AF636" i="3"/>
  <c r="AE637" i="3" s="1"/>
  <c r="V404" i="3"/>
  <c r="AL554" i="3" l="1"/>
  <c r="AM554" i="3" s="1"/>
  <c r="AJ555" i="3"/>
  <c r="AG636" i="3"/>
  <c r="AH636" i="3" s="1"/>
  <c r="AF637" i="3"/>
  <c r="AE638" i="3" s="1"/>
  <c r="AG637" i="3"/>
  <c r="AH637" i="3" s="1"/>
  <c r="U405" i="3"/>
  <c r="W404" i="3"/>
  <c r="X404" i="3" s="1"/>
  <c r="Y404" i="3"/>
  <c r="Z404" i="3"/>
  <c r="AK555" i="3" l="1"/>
  <c r="AF638" i="3"/>
  <c r="AE639" i="3" s="1"/>
  <c r="V405" i="3"/>
  <c r="AJ556" i="3" l="1"/>
  <c r="AL555" i="3"/>
  <c r="AM555" i="3" s="1"/>
  <c r="AN555" i="3"/>
  <c r="AO555" i="3"/>
  <c r="AF639" i="3"/>
  <c r="AE640" i="3" s="1"/>
  <c r="AG638" i="3"/>
  <c r="AH638" i="3" s="1"/>
  <c r="W405" i="3"/>
  <c r="X405" i="3" s="1"/>
  <c r="U406" i="3"/>
  <c r="Z405" i="3"/>
  <c r="Y405" i="3"/>
  <c r="AK556" i="3" l="1"/>
  <c r="AN556" i="3"/>
  <c r="AO556" i="3"/>
  <c r="AF640" i="3"/>
  <c r="AE641" i="3" s="1"/>
  <c r="AG640" i="3"/>
  <c r="AH640" i="3" s="1"/>
  <c r="AG639" i="3"/>
  <c r="AH639" i="3" s="1"/>
  <c r="V406" i="3"/>
  <c r="Z406" i="3"/>
  <c r="AL556" i="3" l="1"/>
  <c r="AM556" i="3" s="1"/>
  <c r="AJ557" i="3"/>
  <c r="AF641" i="3"/>
  <c r="AE642" i="3" s="1"/>
  <c r="AG641" i="3"/>
  <c r="AH641" i="3" s="1"/>
  <c r="W406" i="3"/>
  <c r="X406" i="3" s="1"/>
  <c r="U407" i="3"/>
  <c r="Y406" i="3"/>
  <c r="AK557" i="3" l="1"/>
  <c r="AF642" i="3"/>
  <c r="AE643" i="3" s="1"/>
  <c r="AG642" i="3"/>
  <c r="AH642" i="3" s="1"/>
  <c r="V407" i="3"/>
  <c r="Y407" i="3"/>
  <c r="AL557" i="3" l="1"/>
  <c r="AM557" i="3" s="1"/>
  <c r="AJ558" i="3"/>
  <c r="AO557" i="3"/>
  <c r="AN557" i="3"/>
  <c r="AF643" i="3"/>
  <c r="AE644" i="3" s="1"/>
  <c r="AG643" i="3"/>
  <c r="AH643" i="3" s="1"/>
  <c r="W407" i="3"/>
  <c r="X407" i="3" s="1"/>
  <c r="U408" i="3"/>
  <c r="Z407" i="3"/>
  <c r="AK558" i="3" l="1"/>
  <c r="AF644" i="3"/>
  <c r="AE645" i="3" s="1"/>
  <c r="AG644" i="3"/>
  <c r="AH644" i="3" s="1"/>
  <c r="V408" i="3"/>
  <c r="Y408" i="3"/>
  <c r="Z408" i="3"/>
  <c r="AL558" i="3" l="1"/>
  <c r="AM558" i="3" s="1"/>
  <c r="AJ559" i="3"/>
  <c r="AO558" i="3"/>
  <c r="AN558" i="3"/>
  <c r="AF645" i="3"/>
  <c r="AE646" i="3" s="1"/>
  <c r="W408" i="3"/>
  <c r="X408" i="3" s="1"/>
  <c r="U409" i="3"/>
  <c r="AK559" i="3" l="1"/>
  <c r="AN559" i="3"/>
  <c r="AO559" i="3"/>
  <c r="AF646" i="3"/>
  <c r="AE647" i="3" s="1"/>
  <c r="AG646" i="3"/>
  <c r="AH646" i="3" s="1"/>
  <c r="AG645" i="3"/>
  <c r="AH645" i="3" s="1"/>
  <c r="V409" i="3"/>
  <c r="AJ560" i="3" l="1"/>
  <c r="AL559" i="3"/>
  <c r="AM559" i="3" s="1"/>
  <c r="AF647" i="3"/>
  <c r="AE648" i="3" s="1"/>
  <c r="U410" i="3"/>
  <c r="W409" i="3"/>
  <c r="X409" i="3" s="1"/>
  <c r="Y409" i="3"/>
  <c r="Z409" i="3"/>
  <c r="AK560" i="3" l="1"/>
  <c r="AN560" i="3" s="1"/>
  <c r="AF648" i="3"/>
  <c r="AE649" i="3" s="1"/>
  <c r="AG648" i="3"/>
  <c r="AH648" i="3" s="1"/>
  <c r="AG647" i="3"/>
  <c r="AH647" i="3" s="1"/>
  <c r="V410" i="3"/>
  <c r="AJ561" i="3" l="1"/>
  <c r="AL560" i="3"/>
  <c r="AM560" i="3" s="1"/>
  <c r="AO560" i="3"/>
  <c r="AF649" i="3"/>
  <c r="AE650" i="3" s="1"/>
  <c r="AG649" i="3"/>
  <c r="AH649" i="3" s="1"/>
  <c r="U411" i="3"/>
  <c r="W410" i="3"/>
  <c r="X410" i="3" s="1"/>
  <c r="Z410" i="3"/>
  <c r="Y410" i="3"/>
  <c r="AK561" i="3" l="1"/>
  <c r="AN561" i="3" s="1"/>
  <c r="AF650" i="3"/>
  <c r="AE651" i="3" s="1"/>
  <c r="V411" i="3"/>
  <c r="AO561" i="3" l="1"/>
  <c r="AL561" i="3"/>
  <c r="AM561" i="3" s="1"/>
  <c r="AJ562" i="3"/>
  <c r="AF651" i="3"/>
  <c r="AE652" i="3" s="1"/>
  <c r="AG651" i="3"/>
  <c r="AH651" i="3" s="1"/>
  <c r="AG650" i="3"/>
  <c r="AH650" i="3" s="1"/>
  <c r="W411" i="3"/>
  <c r="X411" i="3" s="1"/>
  <c r="U412" i="3"/>
  <c r="Z411" i="3"/>
  <c r="Y411" i="3"/>
  <c r="AK562" i="3" l="1"/>
  <c r="AN562" i="3"/>
  <c r="AF652" i="3"/>
  <c r="AE653" i="3" s="1"/>
  <c r="V412" i="3"/>
  <c r="Z412" i="3"/>
  <c r="Y412" i="3"/>
  <c r="AJ563" i="3" l="1"/>
  <c r="AL562" i="3"/>
  <c r="AM562" i="3" s="1"/>
  <c r="AO562" i="3"/>
  <c r="AG652" i="3"/>
  <c r="AH652" i="3" s="1"/>
  <c r="AF653" i="3"/>
  <c r="AE654" i="3" s="1"/>
  <c r="AG653" i="3"/>
  <c r="AH653" i="3" s="1"/>
  <c r="U413" i="3"/>
  <c r="W412" i="3"/>
  <c r="X412" i="3" s="1"/>
  <c r="AK563" i="3" l="1"/>
  <c r="AN563" i="3"/>
  <c r="AO563" i="3"/>
  <c r="AF654" i="3"/>
  <c r="AE655" i="3" s="1"/>
  <c r="V413" i="3"/>
  <c r="Y413" i="3"/>
  <c r="Z413" i="3"/>
  <c r="AL563" i="3" l="1"/>
  <c r="AM563" i="3" s="1"/>
  <c r="AJ564" i="3"/>
  <c r="AF655" i="3"/>
  <c r="AE656" i="3" s="1"/>
  <c r="AG655" i="3"/>
  <c r="AH655" i="3" s="1"/>
  <c r="AG654" i="3"/>
  <c r="AH654" i="3" s="1"/>
  <c r="W413" i="3"/>
  <c r="X413" i="3" s="1"/>
  <c r="U414" i="3"/>
  <c r="AK564" i="3" l="1"/>
  <c r="AN564" i="3"/>
  <c r="AO564" i="3"/>
  <c r="AF656" i="3"/>
  <c r="AE657" i="3" s="1"/>
  <c r="AG656" i="3"/>
  <c r="AH656" i="3" s="1"/>
  <c r="V414" i="3"/>
  <c r="Y414" i="3"/>
  <c r="AJ565" i="3" l="1"/>
  <c r="AL564" i="3"/>
  <c r="AM564" i="3" s="1"/>
  <c r="AF657" i="3"/>
  <c r="AE658" i="3" s="1"/>
  <c r="U415" i="3"/>
  <c r="W414" i="3"/>
  <c r="X414" i="3" s="1"/>
  <c r="Z414" i="3"/>
  <c r="AK565" i="3" l="1"/>
  <c r="AN565" i="3"/>
  <c r="AF658" i="3"/>
  <c r="AE659" i="3" s="1"/>
  <c r="AG657" i="3"/>
  <c r="AH657" i="3" s="1"/>
  <c r="V415" i="3"/>
  <c r="AL565" i="3" l="1"/>
  <c r="AM565" i="3" s="1"/>
  <c r="AJ566" i="3"/>
  <c r="AO565" i="3"/>
  <c r="AF659" i="3"/>
  <c r="AE660" i="3" s="1"/>
  <c r="AG659" i="3"/>
  <c r="AH659" i="3" s="1"/>
  <c r="AG658" i="3"/>
  <c r="AH658" i="3" s="1"/>
  <c r="U416" i="3"/>
  <c r="W415" i="3"/>
  <c r="X415" i="3" s="1"/>
  <c r="Z415" i="3"/>
  <c r="Y415" i="3"/>
  <c r="AK566" i="3" l="1"/>
  <c r="AN566" i="3"/>
  <c r="AF660" i="3"/>
  <c r="AE661" i="3" s="1"/>
  <c r="AG660" i="3"/>
  <c r="AH660" i="3" s="1"/>
  <c r="V416" i="3"/>
  <c r="Z416" i="3"/>
  <c r="AJ567" i="3" l="1"/>
  <c r="AL566" i="3"/>
  <c r="AM566" i="3" s="1"/>
  <c r="AO566" i="3"/>
  <c r="AF661" i="3"/>
  <c r="AE662" i="3" s="1"/>
  <c r="AG661" i="3"/>
  <c r="AH661" i="3" s="1"/>
  <c r="W416" i="3"/>
  <c r="X416" i="3" s="1"/>
  <c r="U417" i="3"/>
  <c r="Y416" i="3"/>
  <c r="AK567" i="3" l="1"/>
  <c r="AF662" i="3"/>
  <c r="AE663" i="3" s="1"/>
  <c r="V417" i="3"/>
  <c r="AJ568" i="3" l="1"/>
  <c r="AL567" i="3"/>
  <c r="AM567" i="3" s="1"/>
  <c r="AO567" i="3"/>
  <c r="AN567" i="3"/>
  <c r="AF663" i="3"/>
  <c r="AE664" i="3" s="1"/>
  <c r="AG662" i="3"/>
  <c r="AH662" i="3" s="1"/>
  <c r="U418" i="3"/>
  <c r="W417" i="3"/>
  <c r="X417" i="3" s="1"/>
  <c r="Z417" i="3"/>
  <c r="Y417" i="3"/>
  <c r="AK568" i="3" l="1"/>
  <c r="AN568" i="3"/>
  <c r="AO568" i="3"/>
  <c r="AF664" i="3"/>
  <c r="AE665" i="3" s="1"/>
  <c r="AG664" i="3"/>
  <c r="AH664" i="3" s="1"/>
  <c r="AG663" i="3"/>
  <c r="AH663" i="3" s="1"/>
  <c r="V418" i="3"/>
  <c r="Y418" i="3"/>
  <c r="Z418" i="3"/>
  <c r="AJ569" i="3" l="1"/>
  <c r="AL568" i="3"/>
  <c r="AM568" i="3" s="1"/>
  <c r="AF665" i="3"/>
  <c r="AE666" i="3" s="1"/>
  <c r="AG665" i="3"/>
  <c r="AH665" i="3" s="1"/>
  <c r="U419" i="3"/>
  <c r="W418" i="3"/>
  <c r="X418" i="3" s="1"/>
  <c r="AK569" i="3" l="1"/>
  <c r="AN569" i="3" s="1"/>
  <c r="AF666" i="3"/>
  <c r="AE667" i="3" s="1"/>
  <c r="V419" i="3"/>
  <c r="AO569" i="3" l="1"/>
  <c r="AJ570" i="3"/>
  <c r="AL569" i="3"/>
  <c r="AM569" i="3" s="1"/>
  <c r="AF667" i="3"/>
  <c r="AE668" i="3" s="1"/>
  <c r="AG666" i="3"/>
  <c r="AH666" i="3" s="1"/>
  <c r="U420" i="3"/>
  <c r="W419" i="3"/>
  <c r="X419" i="3" s="1"/>
  <c r="Y419" i="3"/>
  <c r="Z419" i="3"/>
  <c r="AK570" i="3" l="1"/>
  <c r="AN570" i="3"/>
  <c r="AF668" i="3"/>
  <c r="AE669" i="3" s="1"/>
  <c r="AG667" i="3"/>
  <c r="AH667" i="3" s="1"/>
  <c r="V420" i="3"/>
  <c r="AJ571" i="3" l="1"/>
  <c r="AL570" i="3"/>
  <c r="AM570" i="3" s="1"/>
  <c r="AO570" i="3"/>
  <c r="AF669" i="3"/>
  <c r="AE670" i="3" s="1"/>
  <c r="AG669" i="3"/>
  <c r="AH669" i="3" s="1"/>
  <c r="AG668" i="3"/>
  <c r="AH668" i="3" s="1"/>
  <c r="U421" i="3"/>
  <c r="W420" i="3"/>
  <c r="X420" i="3" s="1"/>
  <c r="Z420" i="3"/>
  <c r="Y420" i="3"/>
  <c r="AK571" i="3" l="1"/>
  <c r="AF670" i="3"/>
  <c r="AE671" i="3" s="1"/>
  <c r="AG670" i="3"/>
  <c r="AH670" i="3" s="1"/>
  <c r="V421" i="3"/>
  <c r="Z421" i="3"/>
  <c r="AL571" i="3" l="1"/>
  <c r="AM571" i="3" s="1"/>
  <c r="AJ572" i="3"/>
  <c r="AO571" i="3"/>
  <c r="AN571" i="3"/>
  <c r="AF671" i="3"/>
  <c r="AE672" i="3" s="1"/>
  <c r="AG671" i="3"/>
  <c r="AH671" i="3" s="1"/>
  <c r="W421" i="3"/>
  <c r="X421" i="3" s="1"/>
  <c r="U422" i="3"/>
  <c r="Y421" i="3"/>
  <c r="AK572" i="3" l="1"/>
  <c r="AN572" i="3"/>
  <c r="AO572" i="3"/>
  <c r="AF672" i="3"/>
  <c r="AE673" i="3" s="1"/>
  <c r="AG672" i="3"/>
  <c r="AH672" i="3" s="1"/>
  <c r="V422" i="3"/>
  <c r="AL572" i="3" l="1"/>
  <c r="AM572" i="3" s="1"/>
  <c r="AJ573" i="3"/>
  <c r="AF673" i="3"/>
  <c r="AE674" i="3" s="1"/>
  <c r="U423" i="3"/>
  <c r="W422" i="3"/>
  <c r="X422" i="3" s="1"/>
  <c r="Y422" i="3"/>
  <c r="Z422" i="3"/>
  <c r="AK573" i="3" l="1"/>
  <c r="AN573" i="3"/>
  <c r="AO573" i="3"/>
  <c r="AF674" i="3"/>
  <c r="AE675" i="3" s="1"/>
  <c r="AG674" i="3"/>
  <c r="AH674" i="3" s="1"/>
  <c r="AG673" i="3"/>
  <c r="AH673" i="3" s="1"/>
  <c r="V423" i="3"/>
  <c r="Y423" i="3"/>
  <c r="Z423" i="3"/>
  <c r="AL573" i="3" l="1"/>
  <c r="AM573" i="3" s="1"/>
  <c r="AJ574" i="3"/>
  <c r="AF675" i="3"/>
  <c r="AE676" i="3" s="1"/>
  <c r="AG675" i="3"/>
  <c r="AH675" i="3" s="1"/>
  <c r="W423" i="3"/>
  <c r="X423" i="3" s="1"/>
  <c r="U424" i="3"/>
  <c r="AK574" i="3" l="1"/>
  <c r="AN574" i="3"/>
  <c r="AO574" i="3"/>
  <c r="AF676" i="3"/>
  <c r="AE677" i="3" s="1"/>
  <c r="V424" i="3"/>
  <c r="AJ575" i="3" l="1"/>
  <c r="AL574" i="3"/>
  <c r="AM574" i="3" s="1"/>
  <c r="AF677" i="3"/>
  <c r="AE678" i="3" s="1"/>
  <c r="AG676" i="3"/>
  <c r="AH676" i="3" s="1"/>
  <c r="W424" i="3"/>
  <c r="X424" i="3" s="1"/>
  <c r="U425" i="3"/>
  <c r="Y424" i="3"/>
  <c r="Z424" i="3"/>
  <c r="AK575" i="3" l="1"/>
  <c r="AN575" i="3"/>
  <c r="AF678" i="3"/>
  <c r="AE679" i="3" s="1"/>
  <c r="AG677" i="3"/>
  <c r="AH677" i="3" s="1"/>
  <c r="V425" i="3"/>
  <c r="Y425" i="3"/>
  <c r="Z425" i="3"/>
  <c r="AL575" i="3" l="1"/>
  <c r="AM575" i="3" s="1"/>
  <c r="AJ576" i="3"/>
  <c r="AO575" i="3"/>
  <c r="AF679" i="3"/>
  <c r="AE680" i="3" s="1"/>
  <c r="AG679" i="3"/>
  <c r="AH679" i="3" s="1"/>
  <c r="AG678" i="3"/>
  <c r="AH678" i="3" s="1"/>
  <c r="W425" i="3"/>
  <c r="X425" i="3" s="1"/>
  <c r="U426" i="3"/>
  <c r="AK576" i="3" l="1"/>
  <c r="AN576" i="3"/>
  <c r="AF680" i="3"/>
  <c r="AE681" i="3" s="1"/>
  <c r="AG680" i="3"/>
  <c r="AH680" i="3" s="1"/>
  <c r="V426" i="3"/>
  <c r="Z426" i="3"/>
  <c r="Y426" i="3"/>
  <c r="AJ577" i="3" l="1"/>
  <c r="AL576" i="3"/>
  <c r="AM576" i="3" s="1"/>
  <c r="AO576" i="3"/>
  <c r="AF681" i="3"/>
  <c r="AE682" i="3" s="1"/>
  <c r="U427" i="3"/>
  <c r="W426" i="3"/>
  <c r="X426" i="3" s="1"/>
  <c r="AK577" i="3" l="1"/>
  <c r="AO577" i="3"/>
  <c r="AN577" i="3"/>
  <c r="AF682" i="3"/>
  <c r="AE683" i="3" s="1"/>
  <c r="AG682" i="3"/>
  <c r="AH682" i="3" s="1"/>
  <c r="AG681" i="3"/>
  <c r="AH681" i="3" s="1"/>
  <c r="V427" i="3"/>
  <c r="Y427" i="3"/>
  <c r="Z427" i="3"/>
  <c r="AL577" i="3" l="1"/>
  <c r="AM577" i="3" s="1"/>
  <c r="AJ578" i="3"/>
  <c r="AF683" i="3"/>
  <c r="AE684" i="3" s="1"/>
  <c r="U428" i="3"/>
  <c r="W427" i="3"/>
  <c r="X427" i="3" s="1"/>
  <c r="AK578" i="3" l="1"/>
  <c r="AO578" i="3" s="1"/>
  <c r="AF684" i="3"/>
  <c r="AE685" i="3" s="1"/>
  <c r="AG684" i="3"/>
  <c r="AH684" i="3" s="1"/>
  <c r="AG683" i="3"/>
  <c r="AH683" i="3" s="1"/>
  <c r="V428" i="3"/>
  <c r="Z428" i="3"/>
  <c r="Y428" i="3"/>
  <c r="AJ579" i="3" l="1"/>
  <c r="AL578" i="3"/>
  <c r="AM578" i="3" s="1"/>
  <c r="AN578" i="3"/>
  <c r="AF685" i="3"/>
  <c r="AE686" i="3" s="1"/>
  <c r="U429" i="3"/>
  <c r="W428" i="3"/>
  <c r="X428" i="3" s="1"/>
  <c r="AK579" i="3" l="1"/>
  <c r="AO579" i="3"/>
  <c r="AN579" i="3"/>
  <c r="AF686" i="3"/>
  <c r="AE687" i="3" s="1"/>
  <c r="AG686" i="3"/>
  <c r="AH686" i="3" s="1"/>
  <c r="AG685" i="3"/>
  <c r="AH685" i="3" s="1"/>
  <c r="V429" i="3"/>
  <c r="Y429" i="3"/>
  <c r="AL579" i="3" l="1"/>
  <c r="AM579" i="3" s="1"/>
  <c r="AJ580" i="3"/>
  <c r="AF687" i="3"/>
  <c r="AE688" i="3" s="1"/>
  <c r="AG687" i="3"/>
  <c r="AH687" i="3" s="1"/>
  <c r="U430" i="3"/>
  <c r="W429" i="3"/>
  <c r="X429" i="3" s="1"/>
  <c r="Z429" i="3"/>
  <c r="AK580" i="3" l="1"/>
  <c r="AF688" i="3"/>
  <c r="AE689" i="3" s="1"/>
  <c r="V430" i="3"/>
  <c r="Z430" i="3"/>
  <c r="AJ581" i="3" l="1"/>
  <c r="AL580" i="3"/>
  <c r="AM580" i="3" s="1"/>
  <c r="AN580" i="3"/>
  <c r="AO580" i="3"/>
  <c r="AF689" i="3"/>
  <c r="AE690" i="3" s="1"/>
  <c r="AG689" i="3"/>
  <c r="AH689" i="3" s="1"/>
  <c r="AG688" i="3"/>
  <c r="AH688" i="3" s="1"/>
  <c r="W430" i="3"/>
  <c r="X430" i="3" s="1"/>
  <c r="U431" i="3"/>
  <c r="Y430" i="3"/>
  <c r="AK581" i="3" l="1"/>
  <c r="AN581" i="3"/>
  <c r="AO581" i="3"/>
  <c r="AF690" i="3"/>
  <c r="AE691" i="3" s="1"/>
  <c r="AG690" i="3"/>
  <c r="AH690" i="3" s="1"/>
  <c r="V431" i="3"/>
  <c r="Y431" i="3" s="1"/>
  <c r="AL581" i="3" l="1"/>
  <c r="AM581" i="3" s="1"/>
  <c r="AJ582" i="3"/>
  <c r="AF691" i="3"/>
  <c r="AE692" i="3" s="1"/>
  <c r="U432" i="3"/>
  <c r="W431" i="3"/>
  <c r="X431" i="3" s="1"/>
  <c r="Z431" i="3"/>
  <c r="AK582" i="3" l="1"/>
  <c r="AF692" i="3"/>
  <c r="AE693" i="3" s="1"/>
  <c r="AG691" i="3"/>
  <c r="AH691" i="3" s="1"/>
  <c r="V432" i="3"/>
  <c r="Y432" i="3"/>
  <c r="Z432" i="3"/>
  <c r="AL582" i="3" l="1"/>
  <c r="AM582" i="3" s="1"/>
  <c r="AJ583" i="3"/>
  <c r="AO582" i="3"/>
  <c r="AN582" i="3"/>
  <c r="AF693" i="3"/>
  <c r="AE694" i="3" s="1"/>
  <c r="AG692" i="3"/>
  <c r="AH692" i="3" s="1"/>
  <c r="W432" i="3"/>
  <c r="X432" i="3" s="1"/>
  <c r="U433" i="3"/>
  <c r="AK583" i="3" l="1"/>
  <c r="AF694" i="3"/>
  <c r="AE695" i="3" s="1"/>
  <c r="AG694" i="3"/>
  <c r="AH694" i="3" s="1"/>
  <c r="AG693" i="3"/>
  <c r="AH693" i="3" s="1"/>
  <c r="V433" i="3"/>
  <c r="Y433" i="3"/>
  <c r="AJ584" i="3" l="1"/>
  <c r="AL583" i="3"/>
  <c r="AM583" i="3" s="1"/>
  <c r="AN583" i="3"/>
  <c r="AO583" i="3"/>
  <c r="AF695" i="3"/>
  <c r="AE696" i="3" s="1"/>
  <c r="AG695" i="3"/>
  <c r="AH695" i="3" s="1"/>
  <c r="U434" i="3"/>
  <c r="W433" i="3"/>
  <c r="X433" i="3" s="1"/>
  <c r="Z433" i="3"/>
  <c r="AK584" i="3" l="1"/>
  <c r="AN584" i="3"/>
  <c r="AO584" i="3"/>
  <c r="AF696" i="3"/>
  <c r="AE697" i="3" s="1"/>
  <c r="AG696" i="3"/>
  <c r="AH696" i="3" s="1"/>
  <c r="V434" i="3"/>
  <c r="Z434" i="3"/>
  <c r="AL584" i="3" l="1"/>
  <c r="AM584" i="3" s="1"/>
  <c r="AJ585" i="3"/>
  <c r="AF697" i="3"/>
  <c r="AE698" i="3" s="1"/>
  <c r="AG697" i="3"/>
  <c r="AH697" i="3" s="1"/>
  <c r="W434" i="3"/>
  <c r="X434" i="3" s="1"/>
  <c r="U435" i="3"/>
  <c r="Y434" i="3"/>
  <c r="AK585" i="3" l="1"/>
  <c r="AN585" i="3"/>
  <c r="AF698" i="3"/>
  <c r="AE699" i="3" s="1"/>
  <c r="V435" i="3"/>
  <c r="Z435" i="3"/>
  <c r="AJ586" i="3" l="1"/>
  <c r="AL585" i="3"/>
  <c r="AM585" i="3" s="1"/>
  <c r="AO585" i="3"/>
  <c r="AF699" i="3"/>
  <c r="AE700" i="3" s="1"/>
  <c r="AG699" i="3"/>
  <c r="AH699" i="3" s="1"/>
  <c r="AG698" i="3"/>
  <c r="AH698" i="3" s="1"/>
  <c r="U436" i="3"/>
  <c r="W435" i="3"/>
  <c r="X435" i="3" s="1"/>
  <c r="Y435" i="3"/>
  <c r="AK586" i="3" l="1"/>
  <c r="AN586" i="3"/>
  <c r="AO586" i="3"/>
  <c r="AF700" i="3"/>
  <c r="AE701" i="3" s="1"/>
  <c r="AG700" i="3"/>
  <c r="AH700" i="3" s="1"/>
  <c r="V436" i="3"/>
  <c r="Y436" i="3"/>
  <c r="Z436" i="3"/>
  <c r="AL586" i="3" l="1"/>
  <c r="AM586" i="3" s="1"/>
  <c r="AJ587" i="3"/>
  <c r="AF701" i="3"/>
  <c r="AE702" i="3" s="1"/>
  <c r="AG701" i="3"/>
  <c r="AH701" i="3" s="1"/>
  <c r="W436" i="3"/>
  <c r="X436" i="3" s="1"/>
  <c r="U437" i="3"/>
  <c r="AK587" i="3" l="1"/>
  <c r="AN587" i="3"/>
  <c r="AO587" i="3"/>
  <c r="AF702" i="3"/>
  <c r="AE703" i="3" s="1"/>
  <c r="V437" i="3"/>
  <c r="Y437" i="3"/>
  <c r="Z437" i="3"/>
  <c r="AJ588" i="3" l="1"/>
  <c r="AL587" i="3"/>
  <c r="AM587" i="3" s="1"/>
  <c r="AF703" i="3"/>
  <c r="AE704" i="3" s="1"/>
  <c r="AG702" i="3"/>
  <c r="AH702" i="3" s="1"/>
  <c r="W437" i="3"/>
  <c r="X437" i="3" s="1"/>
  <c r="U438" i="3"/>
  <c r="AK588" i="3" l="1"/>
  <c r="AN588" i="3"/>
  <c r="AO588" i="3"/>
  <c r="AF704" i="3"/>
  <c r="AE705" i="3" s="1"/>
  <c r="AG704" i="3"/>
  <c r="AH704" i="3" s="1"/>
  <c r="AG703" i="3"/>
  <c r="AH703" i="3" s="1"/>
  <c r="V438" i="3"/>
  <c r="Y438" i="3"/>
  <c r="AL588" i="3" l="1"/>
  <c r="AM588" i="3" s="1"/>
  <c r="AJ589" i="3"/>
  <c r="AF705" i="3"/>
  <c r="AE706" i="3" s="1"/>
  <c r="AG705" i="3"/>
  <c r="AH705" i="3" s="1"/>
  <c r="U439" i="3"/>
  <c r="W438" i="3"/>
  <c r="X438" i="3" s="1"/>
  <c r="Z438" i="3"/>
  <c r="AK589" i="3" l="1"/>
  <c r="AO589" i="3"/>
  <c r="AN589" i="3"/>
  <c r="AF706" i="3"/>
  <c r="AE707" i="3" s="1"/>
  <c r="AG706" i="3"/>
  <c r="AH706" i="3" s="1"/>
  <c r="V439" i="3"/>
  <c r="Y439" i="3"/>
  <c r="Z439" i="3"/>
  <c r="AJ590" i="3" l="1"/>
  <c r="AL589" i="3"/>
  <c r="AM589" i="3" s="1"/>
  <c r="AF707" i="3"/>
  <c r="AE708" i="3" s="1"/>
  <c r="W439" i="3"/>
  <c r="X439" i="3" s="1"/>
  <c r="U440" i="3"/>
  <c r="AK590" i="3" l="1"/>
  <c r="AN590" i="3"/>
  <c r="AF708" i="3"/>
  <c r="AE709" i="3" s="1"/>
  <c r="AG707" i="3"/>
  <c r="AH707" i="3" s="1"/>
  <c r="V440" i="3"/>
  <c r="Z440" i="3"/>
  <c r="AL590" i="3" l="1"/>
  <c r="AM590" i="3" s="1"/>
  <c r="AJ591" i="3"/>
  <c r="AO590" i="3"/>
  <c r="AF709" i="3"/>
  <c r="AE710" i="3" s="1"/>
  <c r="AG709" i="3"/>
  <c r="AH709" i="3" s="1"/>
  <c r="AG708" i="3"/>
  <c r="AH708" i="3" s="1"/>
  <c r="W440" i="3"/>
  <c r="X440" i="3" s="1"/>
  <c r="U441" i="3"/>
  <c r="Y440" i="3"/>
  <c r="AK591" i="3" l="1"/>
  <c r="AF710" i="3"/>
  <c r="AE711" i="3" s="1"/>
  <c r="AG710" i="3"/>
  <c r="AH710" i="3" s="1"/>
  <c r="V441" i="3"/>
  <c r="Y441" i="3"/>
  <c r="Z441" i="3"/>
  <c r="AJ592" i="3" l="1"/>
  <c r="AL591" i="3"/>
  <c r="AM591" i="3" s="1"/>
  <c r="AO591" i="3"/>
  <c r="AN591" i="3"/>
  <c r="AF711" i="3"/>
  <c r="AE712" i="3" s="1"/>
  <c r="AG711" i="3"/>
  <c r="AH711" i="3" s="1"/>
  <c r="U442" i="3"/>
  <c r="W441" i="3"/>
  <c r="X441" i="3" s="1"/>
  <c r="AK592" i="3" l="1"/>
  <c r="AN592" i="3"/>
  <c r="AO592" i="3"/>
  <c r="AF712" i="3"/>
  <c r="AE713" i="3" s="1"/>
  <c r="AG712" i="3"/>
  <c r="AH712" i="3" s="1"/>
  <c r="V442" i="3"/>
  <c r="Z442" i="3" s="1"/>
  <c r="Y442" i="3"/>
  <c r="AJ593" i="3" l="1"/>
  <c r="AL592" i="3"/>
  <c r="AM592" i="3" s="1"/>
  <c r="AF713" i="3"/>
  <c r="AE714" i="3" s="1"/>
  <c r="W442" i="3"/>
  <c r="X442" i="3" s="1"/>
  <c r="U443" i="3"/>
  <c r="AK593" i="3" l="1"/>
  <c r="AF714" i="3"/>
  <c r="AE715" i="3" s="1"/>
  <c r="AG713" i="3"/>
  <c r="AH713" i="3" s="1"/>
  <c r="V443" i="3"/>
  <c r="Y443" i="3"/>
  <c r="AJ594" i="3" l="1"/>
  <c r="AL593" i="3"/>
  <c r="AM593" i="3" s="1"/>
  <c r="AO593" i="3"/>
  <c r="AN593" i="3"/>
  <c r="AF715" i="3"/>
  <c r="AE716" i="3" s="1"/>
  <c r="AG715" i="3"/>
  <c r="AH715" i="3" s="1"/>
  <c r="AG714" i="3"/>
  <c r="AH714" i="3" s="1"/>
  <c r="U444" i="3"/>
  <c r="W443" i="3"/>
  <c r="X443" i="3" s="1"/>
  <c r="Z443" i="3"/>
  <c r="AK594" i="3" l="1"/>
  <c r="AN594" i="3"/>
  <c r="AO594" i="3"/>
  <c r="AF716" i="3"/>
  <c r="AE717" i="3" s="1"/>
  <c r="V444" i="3"/>
  <c r="AL594" i="3" l="1"/>
  <c r="AM594" i="3" s="1"/>
  <c r="AJ595" i="3"/>
  <c r="AF717" i="3"/>
  <c r="AE718" i="3" s="1"/>
  <c r="AG717" i="3"/>
  <c r="AH717" i="3" s="1"/>
  <c r="AG716" i="3"/>
  <c r="AH716" i="3" s="1"/>
  <c r="U445" i="3"/>
  <c r="W444" i="3"/>
  <c r="X444" i="3" s="1"/>
  <c r="Z444" i="3"/>
  <c r="Y444" i="3"/>
  <c r="AK595" i="3" l="1"/>
  <c r="AF718" i="3"/>
  <c r="AE719" i="3" s="1"/>
  <c r="V445" i="3"/>
  <c r="Z445" i="3"/>
  <c r="AL595" i="3" l="1"/>
  <c r="AM595" i="3" s="1"/>
  <c r="AJ596" i="3"/>
  <c r="AN595" i="3"/>
  <c r="AO595" i="3"/>
  <c r="AF719" i="3"/>
  <c r="AE720" i="3" s="1"/>
  <c r="AG719" i="3"/>
  <c r="AH719" i="3" s="1"/>
  <c r="AG718" i="3"/>
  <c r="AH718" i="3" s="1"/>
  <c r="U446" i="3"/>
  <c r="W445" i="3"/>
  <c r="X445" i="3" s="1"/>
  <c r="Y445" i="3"/>
  <c r="AK596" i="3" l="1"/>
  <c r="AF720" i="3"/>
  <c r="AE721" i="3" s="1"/>
  <c r="AG720" i="3"/>
  <c r="AH720" i="3" s="1"/>
  <c r="V446" i="3"/>
  <c r="AJ597" i="3" l="1"/>
  <c r="AL596" i="3"/>
  <c r="AM596" i="3" s="1"/>
  <c r="AO596" i="3"/>
  <c r="AN596" i="3"/>
  <c r="AF721" i="3"/>
  <c r="AE722" i="3" s="1"/>
  <c r="U447" i="3"/>
  <c r="W446" i="3"/>
  <c r="X446" i="3" s="1"/>
  <c r="Z446" i="3"/>
  <c r="Y446" i="3"/>
  <c r="AK597" i="3" l="1"/>
  <c r="AN597" i="3"/>
  <c r="AO597" i="3"/>
  <c r="AF722" i="3"/>
  <c r="AE723" i="3" s="1"/>
  <c r="AG721" i="3"/>
  <c r="AH721" i="3" s="1"/>
  <c r="V447" i="3"/>
  <c r="Y447" i="3"/>
  <c r="Z447" i="3"/>
  <c r="AL597" i="3" l="1"/>
  <c r="AM597" i="3" s="1"/>
  <c r="AJ598" i="3"/>
  <c r="AG722" i="3"/>
  <c r="AH722" i="3" s="1"/>
  <c r="AF723" i="3"/>
  <c r="AE724" i="3" s="1"/>
  <c r="W447" i="3"/>
  <c r="X447" i="3" s="1"/>
  <c r="U448" i="3"/>
  <c r="AK598" i="3" l="1"/>
  <c r="AF724" i="3"/>
  <c r="AE725" i="3" s="1"/>
  <c r="AG723" i="3"/>
  <c r="AH723" i="3" s="1"/>
  <c r="V448" i="3"/>
  <c r="AJ599" i="3" l="1"/>
  <c r="AL598" i="3"/>
  <c r="AM598" i="3" s="1"/>
  <c r="AO598" i="3"/>
  <c r="AN598" i="3"/>
  <c r="AG724" i="3"/>
  <c r="AH724" i="3" s="1"/>
  <c r="AF725" i="3"/>
  <c r="AE726" i="3" s="1"/>
  <c r="AG725" i="3"/>
  <c r="AH725" i="3" s="1"/>
  <c r="U449" i="3"/>
  <c r="W448" i="3"/>
  <c r="X448" i="3" s="1"/>
  <c r="Y448" i="3"/>
  <c r="Z448" i="3"/>
  <c r="AK599" i="3" l="1"/>
  <c r="AN599" i="3"/>
  <c r="AO599" i="3"/>
  <c r="AF726" i="3"/>
  <c r="AE727" i="3" s="1"/>
  <c r="V449" i="3"/>
  <c r="Z449" i="3"/>
  <c r="Y449" i="3"/>
  <c r="AL599" i="3" l="1"/>
  <c r="AM599" i="3" s="1"/>
  <c r="AJ600" i="3"/>
  <c r="AF727" i="3"/>
  <c r="AE728" i="3" s="1"/>
  <c r="AG726" i="3"/>
  <c r="AH726" i="3" s="1"/>
  <c r="W449" i="3"/>
  <c r="X449" i="3" s="1"/>
  <c r="U450" i="3"/>
  <c r="AK600" i="3" l="1"/>
  <c r="AN600" i="3"/>
  <c r="AF728" i="3"/>
  <c r="AE729" i="3" s="1"/>
  <c r="AG727" i="3"/>
  <c r="AH727" i="3" s="1"/>
  <c r="V450" i="3"/>
  <c r="AJ601" i="3" l="1"/>
  <c r="AL600" i="3"/>
  <c r="AM600" i="3" s="1"/>
  <c r="AO600" i="3"/>
  <c r="AF729" i="3"/>
  <c r="AE730" i="3" s="1"/>
  <c r="AG728" i="3"/>
  <c r="AH728" i="3" s="1"/>
  <c r="U451" i="3"/>
  <c r="W450" i="3"/>
  <c r="X450" i="3" s="1"/>
  <c r="Z450" i="3"/>
  <c r="Y450" i="3"/>
  <c r="AK601" i="3" l="1"/>
  <c r="AN601" i="3"/>
  <c r="AO601" i="3"/>
  <c r="AG729" i="3"/>
  <c r="AH729" i="3" s="1"/>
  <c r="AF730" i="3"/>
  <c r="AE731" i="3" s="1"/>
  <c r="AG730" i="3"/>
  <c r="AH730" i="3" s="1"/>
  <c r="V451" i="3"/>
  <c r="Y451" i="3"/>
  <c r="Z451" i="3"/>
  <c r="AL601" i="3" l="1"/>
  <c r="AM601" i="3" s="1"/>
  <c r="AJ602" i="3"/>
  <c r="AF731" i="3"/>
  <c r="AE732" i="3" s="1"/>
  <c r="AG731" i="3"/>
  <c r="AH731" i="3" s="1"/>
  <c r="W451" i="3"/>
  <c r="X451" i="3" s="1"/>
  <c r="U452" i="3"/>
  <c r="AK602" i="3" l="1"/>
  <c r="AF732" i="3"/>
  <c r="AE733" i="3" s="1"/>
  <c r="AG732" i="3"/>
  <c r="AH732" i="3" s="1"/>
  <c r="V452" i="3"/>
  <c r="Z452" i="3"/>
  <c r="Y452" i="3"/>
  <c r="AJ603" i="3" l="1"/>
  <c r="AL602" i="3"/>
  <c r="AM602" i="3" s="1"/>
  <c r="AN602" i="3"/>
  <c r="AO602" i="3"/>
  <c r="AF733" i="3"/>
  <c r="AE734" i="3" s="1"/>
  <c r="W452" i="3"/>
  <c r="X452" i="3" s="1"/>
  <c r="U453" i="3"/>
  <c r="AK603" i="3" l="1"/>
  <c r="AN603" i="3"/>
  <c r="AO603" i="3"/>
  <c r="AF734" i="3"/>
  <c r="AE735" i="3" s="1"/>
  <c r="AG733" i="3"/>
  <c r="AH733" i="3" s="1"/>
  <c r="V453" i="3"/>
  <c r="Y453" i="3"/>
  <c r="AL603" i="3" l="1"/>
  <c r="AM603" i="3" s="1"/>
  <c r="AJ604" i="3"/>
  <c r="AF735" i="3"/>
  <c r="AE736" i="3" s="1"/>
  <c r="AG735" i="3"/>
  <c r="AH735" i="3" s="1"/>
  <c r="AG734" i="3"/>
  <c r="AH734" i="3" s="1"/>
  <c r="U454" i="3"/>
  <c r="W453" i="3"/>
  <c r="X453" i="3" s="1"/>
  <c r="Z453" i="3"/>
  <c r="AK604" i="3" l="1"/>
  <c r="AN604" i="3"/>
  <c r="AO604" i="3"/>
  <c r="AF736" i="3"/>
  <c r="AE737" i="3" s="1"/>
  <c r="AG736" i="3"/>
  <c r="AH736" i="3" s="1"/>
  <c r="V454" i="3"/>
  <c r="Y454" i="3"/>
  <c r="AJ605" i="3" l="1"/>
  <c r="AL604" i="3"/>
  <c r="AM604" i="3" s="1"/>
  <c r="AF737" i="3"/>
  <c r="AE738" i="3" s="1"/>
  <c r="AG737" i="3"/>
  <c r="AH737" i="3" s="1"/>
  <c r="U455" i="3"/>
  <c r="W454" i="3"/>
  <c r="X454" i="3" s="1"/>
  <c r="Z454" i="3"/>
  <c r="AK605" i="3" l="1"/>
  <c r="AN605" i="3"/>
  <c r="AF738" i="3"/>
  <c r="AE739" i="3" s="1"/>
  <c r="V455" i="3"/>
  <c r="Z455" i="3"/>
  <c r="AJ606" i="3" l="1"/>
  <c r="AL605" i="3"/>
  <c r="AM605" i="3" s="1"/>
  <c r="AO605" i="3"/>
  <c r="AF739" i="3"/>
  <c r="AE740" i="3" s="1"/>
  <c r="AG739" i="3"/>
  <c r="AH739" i="3" s="1"/>
  <c r="AG738" i="3"/>
  <c r="AH738" i="3" s="1"/>
  <c r="W455" i="3"/>
  <c r="X455" i="3" s="1"/>
  <c r="U456" i="3"/>
  <c r="Y455" i="3"/>
  <c r="AK606" i="3" l="1"/>
  <c r="AO606" i="3" s="1"/>
  <c r="AF740" i="3"/>
  <c r="AE741" i="3" s="1"/>
  <c r="AG740" i="3"/>
  <c r="AH740" i="3" s="1"/>
  <c r="V456" i="3"/>
  <c r="AJ607" i="3" l="1"/>
  <c r="AL606" i="3"/>
  <c r="AM606" i="3" s="1"/>
  <c r="AN606" i="3"/>
  <c r="AF741" i="3"/>
  <c r="AE742" i="3" s="1"/>
  <c r="U457" i="3"/>
  <c r="W456" i="3"/>
  <c r="X456" i="3" s="1"/>
  <c r="Y456" i="3"/>
  <c r="Z456" i="3"/>
  <c r="AK607" i="3" l="1"/>
  <c r="AO607" i="3"/>
  <c r="AN607" i="3"/>
  <c r="AF742" i="3"/>
  <c r="AE743" i="3" s="1"/>
  <c r="AG741" i="3"/>
  <c r="AH741" i="3" s="1"/>
  <c r="V457" i="3"/>
  <c r="Y457" i="3"/>
  <c r="Z457" i="3"/>
  <c r="AJ608" i="3" l="1"/>
  <c r="AL607" i="3"/>
  <c r="AM607" i="3" s="1"/>
  <c r="AF743" i="3"/>
  <c r="AE744" i="3" s="1"/>
  <c r="AG742" i="3"/>
  <c r="AH742" i="3" s="1"/>
  <c r="W457" i="3"/>
  <c r="X457" i="3" s="1"/>
  <c r="U458" i="3"/>
  <c r="AK608" i="3" l="1"/>
  <c r="AF744" i="3"/>
  <c r="AE745" i="3" s="1"/>
  <c r="AG744" i="3"/>
  <c r="AH744" i="3" s="1"/>
  <c r="AG743" i="3"/>
  <c r="AH743" i="3" s="1"/>
  <c r="V458" i="3"/>
  <c r="Y458" i="3"/>
  <c r="AL608" i="3" l="1"/>
  <c r="AM608" i="3" s="1"/>
  <c r="AJ609" i="3"/>
  <c r="AO608" i="3"/>
  <c r="AN608" i="3"/>
  <c r="AF745" i="3"/>
  <c r="AE746" i="3" s="1"/>
  <c r="AG745" i="3"/>
  <c r="AH745" i="3" s="1"/>
  <c r="U459" i="3"/>
  <c r="W458" i="3"/>
  <c r="X458" i="3" s="1"/>
  <c r="Z458" i="3"/>
  <c r="AK609" i="3" l="1"/>
  <c r="AN609" i="3"/>
  <c r="AO609" i="3"/>
  <c r="AF746" i="3"/>
  <c r="AE747" i="3" s="1"/>
  <c r="AG746" i="3"/>
  <c r="AH746" i="3" s="1"/>
  <c r="V459" i="3"/>
  <c r="Y459" i="3"/>
  <c r="Z459" i="3"/>
  <c r="AL609" i="3" l="1"/>
  <c r="AM609" i="3" s="1"/>
  <c r="AJ610" i="3"/>
  <c r="AF747" i="3"/>
  <c r="AE748" i="3" s="1"/>
  <c r="AG747" i="3"/>
  <c r="AH747" i="3" s="1"/>
  <c r="W459" i="3"/>
  <c r="X459" i="3" s="1"/>
  <c r="U460" i="3"/>
  <c r="AK610" i="3" l="1"/>
  <c r="AN610" i="3"/>
  <c r="AF748" i="3"/>
  <c r="AE749" i="3" s="1"/>
  <c r="V460" i="3"/>
  <c r="AL610" i="3" l="1"/>
  <c r="AM610" i="3" s="1"/>
  <c r="AJ611" i="3"/>
  <c r="AO610" i="3"/>
  <c r="AF749" i="3"/>
  <c r="AE750" i="3" s="1"/>
  <c r="AG749" i="3"/>
  <c r="AH749" i="3" s="1"/>
  <c r="AG748" i="3"/>
  <c r="AH748" i="3" s="1"/>
  <c r="U461" i="3"/>
  <c r="W460" i="3"/>
  <c r="X460" i="3" s="1"/>
  <c r="Z460" i="3"/>
  <c r="Y460" i="3"/>
  <c r="AK611" i="3" l="1"/>
  <c r="AF750" i="3"/>
  <c r="AE751" i="3" s="1"/>
  <c r="AG750" i="3"/>
  <c r="AH750" i="3" s="1"/>
  <c r="V461" i="3"/>
  <c r="Y461" i="3"/>
  <c r="Z461" i="3"/>
  <c r="AJ612" i="3" l="1"/>
  <c r="AL611" i="3"/>
  <c r="AM611" i="3" s="1"/>
  <c r="AO611" i="3"/>
  <c r="AN611" i="3"/>
  <c r="AF751" i="3"/>
  <c r="AE752" i="3" s="1"/>
  <c r="AG751" i="3"/>
  <c r="AH751" i="3" s="1"/>
  <c r="W461" i="3"/>
  <c r="X461" i="3" s="1"/>
  <c r="U462" i="3"/>
  <c r="AK612" i="3" l="1"/>
  <c r="AN612" i="3"/>
  <c r="AO612" i="3"/>
  <c r="AF752" i="3"/>
  <c r="AE753" i="3" s="1"/>
  <c r="V462" i="3"/>
  <c r="Y462" i="3" s="1"/>
  <c r="AL612" i="3" l="1"/>
  <c r="AM612" i="3" s="1"/>
  <c r="AJ613" i="3"/>
  <c r="AG753" i="3"/>
  <c r="AH753" i="3" s="1"/>
  <c r="AF753" i="3"/>
  <c r="AE754" i="3" s="1"/>
  <c r="AG752" i="3"/>
  <c r="AH752" i="3" s="1"/>
  <c r="Z462" i="3"/>
  <c r="W462" i="3"/>
  <c r="X462" i="3" s="1"/>
  <c r="U463" i="3"/>
  <c r="AK613" i="3" l="1"/>
  <c r="AN613" i="3" s="1"/>
  <c r="AF754" i="3"/>
  <c r="AE755" i="3" s="1"/>
  <c r="V463" i="3"/>
  <c r="Y463" i="3"/>
  <c r="AJ614" i="3" l="1"/>
  <c r="AL613" i="3"/>
  <c r="AM613" i="3" s="1"/>
  <c r="AO613" i="3"/>
  <c r="AF755" i="3"/>
  <c r="AE756" i="3" s="1"/>
  <c r="AG755" i="3"/>
  <c r="AH755" i="3" s="1"/>
  <c r="AG754" i="3"/>
  <c r="AH754" i="3" s="1"/>
  <c r="U464" i="3"/>
  <c r="W463" i="3"/>
  <c r="X463" i="3" s="1"/>
  <c r="Z463" i="3"/>
  <c r="AK614" i="3" l="1"/>
  <c r="AN614" i="3"/>
  <c r="AO614" i="3"/>
  <c r="AF756" i="3"/>
  <c r="AE757" i="3" s="1"/>
  <c r="V464" i="3"/>
  <c r="Z464" i="3"/>
  <c r="Y464" i="3"/>
  <c r="AL614" i="3" l="1"/>
  <c r="AM614" i="3" s="1"/>
  <c r="AJ615" i="3"/>
  <c r="AF757" i="3"/>
  <c r="AE758" i="3" s="1"/>
  <c r="AG757" i="3"/>
  <c r="AH757" i="3" s="1"/>
  <c r="AG756" i="3"/>
  <c r="AH756" i="3" s="1"/>
  <c r="U465" i="3"/>
  <c r="W464" i="3"/>
  <c r="X464" i="3" s="1"/>
  <c r="AK615" i="3" l="1"/>
  <c r="AF758" i="3"/>
  <c r="AE759" i="3" s="1"/>
  <c r="V465" i="3"/>
  <c r="Z465" i="3"/>
  <c r="AJ616" i="3" l="1"/>
  <c r="AL615" i="3"/>
  <c r="AM615" i="3" s="1"/>
  <c r="AO615" i="3"/>
  <c r="AN615" i="3"/>
  <c r="AF759" i="3"/>
  <c r="AE760" i="3" s="1"/>
  <c r="AG759" i="3"/>
  <c r="AH759" i="3" s="1"/>
  <c r="AG758" i="3"/>
  <c r="AH758" i="3" s="1"/>
  <c r="W465" i="3"/>
  <c r="X465" i="3" s="1"/>
  <c r="U466" i="3"/>
  <c r="Y465" i="3"/>
  <c r="AK616" i="3" l="1"/>
  <c r="AN616" i="3"/>
  <c r="AO616" i="3"/>
  <c r="AF760" i="3"/>
  <c r="AE761" i="3" s="1"/>
  <c r="AG760" i="3"/>
  <c r="AH760" i="3" s="1"/>
  <c r="V466" i="3"/>
  <c r="Y466" i="3"/>
  <c r="Z466" i="3"/>
  <c r="AL616" i="3" l="1"/>
  <c r="AM616" i="3" s="1"/>
  <c r="AJ617" i="3"/>
  <c r="AF761" i="3"/>
  <c r="AE762" i="3" s="1"/>
  <c r="AG761" i="3"/>
  <c r="AH761" i="3" s="1"/>
  <c r="W466" i="3"/>
  <c r="X466" i="3" s="1"/>
  <c r="U467" i="3"/>
  <c r="AK617" i="3" l="1"/>
  <c r="AF762" i="3"/>
  <c r="AE763" i="3" s="1"/>
  <c r="AG762" i="3"/>
  <c r="AH762" i="3" s="1"/>
  <c r="V467" i="3"/>
  <c r="Y467" i="3"/>
  <c r="Z467" i="3"/>
  <c r="AL617" i="3" l="1"/>
  <c r="AM617" i="3" s="1"/>
  <c r="AJ618" i="3"/>
  <c r="AO617" i="3"/>
  <c r="AN617" i="3"/>
  <c r="AF763" i="3"/>
  <c r="AE764" i="3" s="1"/>
  <c r="W467" i="3"/>
  <c r="X467" i="3" s="1"/>
  <c r="U468" i="3"/>
  <c r="AK618" i="3" l="1"/>
  <c r="AN618" i="3"/>
  <c r="AO618" i="3"/>
  <c r="AF764" i="3"/>
  <c r="AE765" i="3" s="1"/>
  <c r="AG764" i="3"/>
  <c r="AH764" i="3" s="1"/>
  <c r="AG763" i="3"/>
  <c r="AH763" i="3" s="1"/>
  <c r="V468" i="3"/>
  <c r="Y468" i="3"/>
  <c r="AJ619" i="3" l="1"/>
  <c r="AL618" i="3"/>
  <c r="AM618" i="3" s="1"/>
  <c r="AF765" i="3"/>
  <c r="AE766" i="3" s="1"/>
  <c r="U469" i="3"/>
  <c r="W468" i="3"/>
  <c r="X468" i="3" s="1"/>
  <c r="Z468" i="3"/>
  <c r="AK619" i="3" l="1"/>
  <c r="AN619" i="3"/>
  <c r="AO619" i="3"/>
  <c r="AG765" i="3"/>
  <c r="AH765" i="3" s="1"/>
  <c r="AF766" i="3"/>
  <c r="AE767" i="3" s="1"/>
  <c r="V469" i="3"/>
  <c r="Z469" i="3"/>
  <c r="AL619" i="3" l="1"/>
  <c r="AM619" i="3" s="1"/>
  <c r="AJ620" i="3"/>
  <c r="AF767" i="3"/>
  <c r="AE768" i="3" s="1"/>
  <c r="AG766" i="3"/>
  <c r="AH766" i="3" s="1"/>
  <c r="U470" i="3"/>
  <c r="W469" i="3"/>
  <c r="X469" i="3" s="1"/>
  <c r="Y469" i="3"/>
  <c r="AK620" i="3" l="1"/>
  <c r="AG767" i="3"/>
  <c r="AH767" i="3" s="1"/>
  <c r="AF768" i="3"/>
  <c r="AE769" i="3" s="1"/>
  <c r="V470" i="3"/>
  <c r="Z470" i="3"/>
  <c r="AJ621" i="3" l="1"/>
  <c r="AL620" i="3"/>
  <c r="AM620" i="3" s="1"/>
  <c r="AO620" i="3"/>
  <c r="AN620" i="3"/>
  <c r="AF769" i="3"/>
  <c r="AE770" i="3" s="1"/>
  <c r="AG768" i="3"/>
  <c r="AH768" i="3" s="1"/>
  <c r="U471" i="3"/>
  <c r="W470" i="3"/>
  <c r="X470" i="3" s="1"/>
  <c r="Y470" i="3"/>
  <c r="AK621" i="3" l="1"/>
  <c r="AN621" i="3"/>
  <c r="AO621" i="3"/>
  <c r="AG769" i="3"/>
  <c r="AH769" i="3" s="1"/>
  <c r="AF770" i="3"/>
  <c r="AE771" i="3" s="1"/>
  <c r="AG770" i="3"/>
  <c r="AH770" i="3" s="1"/>
  <c r="V471" i="3"/>
  <c r="AL621" i="3" l="1"/>
  <c r="AM621" i="3" s="1"/>
  <c r="AJ622" i="3"/>
  <c r="AF771" i="3"/>
  <c r="AE772" i="3" s="1"/>
  <c r="AG771" i="3"/>
  <c r="AH771" i="3" s="1"/>
  <c r="U472" i="3"/>
  <c r="W471" i="3"/>
  <c r="X471" i="3" s="1"/>
  <c r="Z471" i="3"/>
  <c r="Y471" i="3"/>
  <c r="AK622" i="3" l="1"/>
  <c r="AF772" i="3"/>
  <c r="AE773" i="3" s="1"/>
  <c r="AG772" i="3"/>
  <c r="AH772" i="3" s="1"/>
  <c r="V472" i="3"/>
  <c r="Y472" i="3"/>
  <c r="Z472" i="3"/>
  <c r="AL622" i="3" l="1"/>
  <c r="AM622" i="3" s="1"/>
  <c r="AJ623" i="3"/>
  <c r="AN622" i="3"/>
  <c r="AO622" i="3"/>
  <c r="AF773" i="3"/>
  <c r="AE774" i="3" s="1"/>
  <c r="W472" i="3"/>
  <c r="X472" i="3" s="1"/>
  <c r="U473" i="3"/>
  <c r="AK623" i="3" l="1"/>
  <c r="AO623" i="3" s="1"/>
  <c r="AN623" i="3"/>
  <c r="AF774" i="3"/>
  <c r="AE775" i="3" s="1"/>
  <c r="AG774" i="3"/>
  <c r="AH774" i="3" s="1"/>
  <c r="AG773" i="3"/>
  <c r="AH773" i="3" s="1"/>
  <c r="V473" i="3"/>
  <c r="AJ624" i="3" l="1"/>
  <c r="AL623" i="3"/>
  <c r="AM623" i="3" s="1"/>
  <c r="AF775" i="3"/>
  <c r="AE776" i="3" s="1"/>
  <c r="AG775" i="3"/>
  <c r="AH775" i="3" s="1"/>
  <c r="U474" i="3"/>
  <c r="W473" i="3"/>
  <c r="X473" i="3" s="1"/>
  <c r="Y473" i="3"/>
  <c r="Z473" i="3"/>
  <c r="AK624" i="3" l="1"/>
  <c r="AN624" i="3"/>
  <c r="AO624" i="3"/>
  <c r="AF776" i="3"/>
  <c r="AE777" i="3" s="1"/>
  <c r="AG776" i="3"/>
  <c r="AH776" i="3" s="1"/>
  <c r="V474" i="3"/>
  <c r="Y474" i="3"/>
  <c r="AL624" i="3" l="1"/>
  <c r="AM624" i="3" s="1"/>
  <c r="AJ625" i="3"/>
  <c r="AF777" i="3"/>
  <c r="AE778" i="3" s="1"/>
  <c r="W474" i="3"/>
  <c r="X474" i="3" s="1"/>
  <c r="U475" i="3"/>
  <c r="Z474" i="3"/>
  <c r="AK625" i="3" l="1"/>
  <c r="AF778" i="3"/>
  <c r="AE779" i="3" s="1"/>
  <c r="AG777" i="3"/>
  <c r="AH777" i="3" s="1"/>
  <c r="V475" i="3"/>
  <c r="Z475" i="3" s="1"/>
  <c r="AL625" i="3" l="1"/>
  <c r="AM625" i="3" s="1"/>
  <c r="AJ626" i="3"/>
  <c r="AO625" i="3"/>
  <c r="AN625" i="3"/>
  <c r="AF779" i="3"/>
  <c r="AE780" i="3" s="1"/>
  <c r="AG779" i="3"/>
  <c r="AH779" i="3" s="1"/>
  <c r="AG778" i="3"/>
  <c r="AH778" i="3" s="1"/>
  <c r="U476" i="3"/>
  <c r="W475" i="3"/>
  <c r="X475" i="3" s="1"/>
  <c r="Y475" i="3"/>
  <c r="AK626" i="3" l="1"/>
  <c r="AF780" i="3"/>
  <c r="AE781" i="3" s="1"/>
  <c r="AG780" i="3"/>
  <c r="AH780" i="3" s="1"/>
  <c r="V476" i="3"/>
  <c r="Y476" i="3"/>
  <c r="Z476" i="3"/>
  <c r="AJ627" i="3" l="1"/>
  <c r="AL626" i="3"/>
  <c r="AM626" i="3" s="1"/>
  <c r="AO626" i="3"/>
  <c r="AN626" i="3"/>
  <c r="AF781" i="3"/>
  <c r="AE782" i="3" s="1"/>
  <c r="AG781" i="3"/>
  <c r="AH781" i="3" s="1"/>
  <c r="W476" i="3"/>
  <c r="X476" i="3" s="1"/>
  <c r="U477" i="3"/>
  <c r="AK627" i="3" l="1"/>
  <c r="AN627" i="3" s="1"/>
  <c r="AO627" i="3"/>
  <c r="AF782" i="3"/>
  <c r="AE783" i="3" s="1"/>
  <c r="AG782" i="3"/>
  <c r="AH782" i="3" s="1"/>
  <c r="V477" i="3"/>
  <c r="Z477" i="3"/>
  <c r="Y477" i="3"/>
  <c r="AL627" i="3" l="1"/>
  <c r="AM627" i="3" s="1"/>
  <c r="AJ628" i="3"/>
  <c r="AF783" i="3"/>
  <c r="AE784" i="3" s="1"/>
  <c r="W477" i="3"/>
  <c r="X477" i="3" s="1"/>
  <c r="U478" i="3"/>
  <c r="AK628" i="3" l="1"/>
  <c r="AF784" i="3"/>
  <c r="AE785" i="3" s="1"/>
  <c r="AG784" i="3"/>
  <c r="AH784" i="3" s="1"/>
  <c r="AG783" i="3"/>
  <c r="AH783" i="3" s="1"/>
  <c r="V478" i="3"/>
  <c r="Y478" i="3"/>
  <c r="AJ629" i="3" l="1"/>
  <c r="AL628" i="3"/>
  <c r="AM628" i="3" s="1"/>
  <c r="AO628" i="3"/>
  <c r="AN628" i="3"/>
  <c r="AF785" i="3"/>
  <c r="AE786" i="3" s="1"/>
  <c r="AG785" i="3"/>
  <c r="AH785" i="3" s="1"/>
  <c r="U479" i="3"/>
  <c r="W478" i="3"/>
  <c r="X478" i="3" s="1"/>
  <c r="Z478" i="3"/>
  <c r="AK629" i="3" l="1"/>
  <c r="AN629" i="3"/>
  <c r="AO629" i="3"/>
  <c r="AF786" i="3"/>
  <c r="AE787" i="3" s="1"/>
  <c r="AG786" i="3"/>
  <c r="AH786" i="3" s="1"/>
  <c r="V479" i="3"/>
  <c r="AJ630" i="3" l="1"/>
  <c r="AL629" i="3"/>
  <c r="AM629" i="3" s="1"/>
  <c r="AF787" i="3"/>
  <c r="AE788" i="3" s="1"/>
  <c r="U480" i="3"/>
  <c r="W479" i="3"/>
  <c r="X479" i="3" s="1"/>
  <c r="Y479" i="3"/>
  <c r="Z479" i="3"/>
  <c r="AK630" i="3" l="1"/>
  <c r="AF788" i="3"/>
  <c r="AE789" i="3" s="1"/>
  <c r="AG787" i="3"/>
  <c r="AH787" i="3" s="1"/>
  <c r="V480" i="3"/>
  <c r="AL630" i="3" l="1"/>
  <c r="AM630" i="3" s="1"/>
  <c r="AJ631" i="3"/>
  <c r="AO630" i="3"/>
  <c r="AN630" i="3"/>
  <c r="AF789" i="3"/>
  <c r="AE790" i="3" s="1"/>
  <c r="AG788" i="3"/>
  <c r="AH788" i="3" s="1"/>
  <c r="W480" i="3"/>
  <c r="X480" i="3" s="1"/>
  <c r="U481" i="3"/>
  <c r="Z480" i="3"/>
  <c r="Y480" i="3"/>
  <c r="AK631" i="3" l="1"/>
  <c r="AF790" i="3"/>
  <c r="AE791" i="3" s="1"/>
  <c r="AG790" i="3"/>
  <c r="AH790" i="3" s="1"/>
  <c r="AG789" i="3"/>
  <c r="AH789" i="3" s="1"/>
  <c r="V481" i="3"/>
  <c r="Y481" i="3"/>
  <c r="AJ632" i="3" l="1"/>
  <c r="AL631" i="3"/>
  <c r="AM631" i="3" s="1"/>
  <c r="AO631" i="3"/>
  <c r="AN631" i="3"/>
  <c r="AF791" i="3"/>
  <c r="AE792" i="3" s="1"/>
  <c r="U482" i="3"/>
  <c r="W481" i="3"/>
  <c r="X481" i="3" s="1"/>
  <c r="Z481" i="3"/>
  <c r="AK632" i="3" l="1"/>
  <c r="AN632" i="3"/>
  <c r="AO632" i="3"/>
  <c r="AF792" i="3"/>
  <c r="AE793" i="3" s="1"/>
  <c r="AG792" i="3"/>
  <c r="AH792" i="3" s="1"/>
  <c r="AG791" i="3"/>
  <c r="AH791" i="3" s="1"/>
  <c r="V482" i="3"/>
  <c r="Y482" i="3"/>
  <c r="Z482" i="3"/>
  <c r="AL632" i="3" l="1"/>
  <c r="AM632" i="3" s="1"/>
  <c r="AJ633" i="3"/>
  <c r="AF793" i="3"/>
  <c r="AE794" i="3" s="1"/>
  <c r="W482" i="3"/>
  <c r="X482" i="3" s="1"/>
  <c r="U483" i="3"/>
  <c r="AK633" i="3" l="1"/>
  <c r="AF794" i="3"/>
  <c r="AE795" i="3" s="1"/>
  <c r="AG794" i="3"/>
  <c r="AH794" i="3" s="1"/>
  <c r="AG793" i="3"/>
  <c r="AH793" i="3" s="1"/>
  <c r="V483" i="3"/>
  <c r="Y483" i="3"/>
  <c r="AJ634" i="3" l="1"/>
  <c r="AL633" i="3"/>
  <c r="AM633" i="3" s="1"/>
  <c r="AO633" i="3"/>
  <c r="AN633" i="3"/>
  <c r="AF795" i="3"/>
  <c r="AE796" i="3" s="1"/>
  <c r="AG795" i="3"/>
  <c r="AH795" i="3" s="1"/>
  <c r="U484" i="3"/>
  <c r="W483" i="3"/>
  <c r="X483" i="3" s="1"/>
  <c r="Z483" i="3"/>
  <c r="AK634" i="3" l="1"/>
  <c r="AN634" i="3"/>
  <c r="AO634" i="3"/>
  <c r="AF796" i="3"/>
  <c r="AE797" i="3" s="1"/>
  <c r="AG796" i="3"/>
  <c r="AH796" i="3" s="1"/>
  <c r="V484" i="3"/>
  <c r="Z484" i="3"/>
  <c r="Y484" i="3"/>
  <c r="AL634" i="3" l="1"/>
  <c r="AM634" i="3" s="1"/>
  <c r="AJ635" i="3"/>
  <c r="AF797" i="3"/>
  <c r="AE798" i="3" s="1"/>
  <c r="AG797" i="3"/>
  <c r="AH797" i="3" s="1"/>
  <c r="W484" i="3"/>
  <c r="X484" i="3" s="1"/>
  <c r="U485" i="3"/>
  <c r="AK635" i="3" l="1"/>
  <c r="AF798" i="3"/>
  <c r="AE799" i="3" s="1"/>
  <c r="V485" i="3"/>
  <c r="AJ636" i="3" l="1"/>
  <c r="AL635" i="3"/>
  <c r="AM635" i="3" s="1"/>
  <c r="AO635" i="3"/>
  <c r="AN635" i="3"/>
  <c r="AF799" i="3"/>
  <c r="AE800" i="3" s="1"/>
  <c r="AG799" i="3"/>
  <c r="AH799" i="3" s="1"/>
  <c r="AG798" i="3"/>
  <c r="AH798" i="3" s="1"/>
  <c r="W485" i="3"/>
  <c r="X485" i="3" s="1"/>
  <c r="U486" i="3"/>
  <c r="Z485" i="3"/>
  <c r="Y485" i="3"/>
  <c r="AK636" i="3" l="1"/>
  <c r="AO636" i="3"/>
  <c r="AN636" i="3"/>
  <c r="AF800" i="3"/>
  <c r="AE801" i="3" s="1"/>
  <c r="AG800" i="3"/>
  <c r="AH800" i="3" s="1"/>
  <c r="V486" i="3"/>
  <c r="Y486" i="3"/>
  <c r="Z486" i="3"/>
  <c r="AL636" i="3" l="1"/>
  <c r="AM636" i="3" s="1"/>
  <c r="AJ637" i="3"/>
  <c r="AF801" i="3"/>
  <c r="AE802" i="3" s="1"/>
  <c r="W486" i="3"/>
  <c r="X486" i="3" s="1"/>
  <c r="U487" i="3"/>
  <c r="AK637" i="3" l="1"/>
  <c r="AN637" i="3"/>
  <c r="AF802" i="3"/>
  <c r="AE803" i="3" s="1"/>
  <c r="AG801" i="3"/>
  <c r="AH801" i="3" s="1"/>
  <c r="V487" i="3"/>
  <c r="Y487" i="3"/>
  <c r="Z487" i="3"/>
  <c r="AL637" i="3" l="1"/>
  <c r="AM637" i="3" s="1"/>
  <c r="AJ638" i="3"/>
  <c r="AO637" i="3"/>
  <c r="AF803" i="3"/>
  <c r="AE804" i="3" s="1"/>
  <c r="AG802" i="3"/>
  <c r="AH802" i="3" s="1"/>
  <c r="W487" i="3"/>
  <c r="X487" i="3" s="1"/>
  <c r="U488" i="3"/>
  <c r="AK638" i="3" l="1"/>
  <c r="AN638" i="3"/>
  <c r="AO638" i="3"/>
  <c r="AF804" i="3"/>
  <c r="AE805" i="3" s="1"/>
  <c r="AG804" i="3"/>
  <c r="AH804" i="3" s="1"/>
  <c r="AG803" i="3"/>
  <c r="AH803" i="3" s="1"/>
  <c r="V488" i="3"/>
  <c r="Y488" i="3"/>
  <c r="AJ639" i="3" l="1"/>
  <c r="AL638" i="3"/>
  <c r="AM638" i="3" s="1"/>
  <c r="AF805" i="3"/>
  <c r="AE806" i="3" s="1"/>
  <c r="AG805" i="3"/>
  <c r="AH805" i="3" s="1"/>
  <c r="U489" i="3"/>
  <c r="W488" i="3"/>
  <c r="X488" i="3" s="1"/>
  <c r="Z488" i="3"/>
  <c r="AK639" i="3" l="1"/>
  <c r="AO639" i="3"/>
  <c r="AN639" i="3"/>
  <c r="AF806" i="3"/>
  <c r="AE807" i="3" s="1"/>
  <c r="AG806" i="3"/>
  <c r="AH806" i="3" s="1"/>
  <c r="V489" i="3"/>
  <c r="Y489" i="3"/>
  <c r="Z489" i="3"/>
  <c r="AJ640" i="3" l="1"/>
  <c r="AL639" i="3"/>
  <c r="AM639" i="3" s="1"/>
  <c r="AF807" i="3"/>
  <c r="AE808" i="3" s="1"/>
  <c r="AG807" i="3"/>
  <c r="AH807" i="3" s="1"/>
  <c r="W489" i="3"/>
  <c r="X489" i="3" s="1"/>
  <c r="U490" i="3"/>
  <c r="AK640" i="3" l="1"/>
  <c r="AF808" i="3"/>
  <c r="AE809" i="3" s="1"/>
  <c r="V490" i="3"/>
  <c r="Z490" i="3"/>
  <c r="AL640" i="3" l="1"/>
  <c r="AM640" i="3" s="1"/>
  <c r="AJ641" i="3"/>
  <c r="AO640" i="3"/>
  <c r="AN640" i="3"/>
  <c r="AF809" i="3"/>
  <c r="AE810" i="3" s="1"/>
  <c r="AG809" i="3"/>
  <c r="AH809" i="3" s="1"/>
  <c r="AG808" i="3"/>
  <c r="AH808" i="3" s="1"/>
  <c r="W490" i="3"/>
  <c r="X490" i="3" s="1"/>
  <c r="U491" i="3"/>
  <c r="Y490" i="3"/>
  <c r="AK641" i="3" l="1"/>
  <c r="AN641" i="3"/>
  <c r="AF810" i="3"/>
  <c r="AE811" i="3" s="1"/>
  <c r="AG810" i="3"/>
  <c r="AH810" i="3" s="1"/>
  <c r="V491" i="3"/>
  <c r="Y491" i="3"/>
  <c r="Z491" i="3"/>
  <c r="AJ642" i="3" l="1"/>
  <c r="AL641" i="3"/>
  <c r="AM641" i="3" s="1"/>
  <c r="AO641" i="3"/>
  <c r="AF811" i="3"/>
  <c r="AE812" i="3" s="1"/>
  <c r="AG811" i="3"/>
  <c r="AH811" i="3" s="1"/>
  <c r="W491" i="3"/>
  <c r="X491" i="3" s="1"/>
  <c r="U492" i="3"/>
  <c r="AK642" i="3" l="1"/>
  <c r="AN642" i="3"/>
  <c r="AO642" i="3"/>
  <c r="AF812" i="3"/>
  <c r="AE813" i="3" s="1"/>
  <c r="AG812" i="3"/>
  <c r="AH812" i="3" s="1"/>
  <c r="V492" i="3"/>
  <c r="Y492" i="3"/>
  <c r="Z492" i="3"/>
  <c r="AL642" i="3" l="1"/>
  <c r="AM642" i="3" s="1"/>
  <c r="AJ643" i="3"/>
  <c r="AF813" i="3"/>
  <c r="AE814" i="3" s="1"/>
  <c r="W492" i="3"/>
  <c r="X492" i="3" s="1"/>
  <c r="U493" i="3"/>
  <c r="AK643" i="3" l="1"/>
  <c r="AF814" i="3"/>
  <c r="AE815" i="3" s="1"/>
  <c r="AG814" i="3"/>
  <c r="AH814" i="3" s="1"/>
  <c r="AG813" i="3"/>
  <c r="AH813" i="3" s="1"/>
  <c r="V493" i="3"/>
  <c r="AJ644" i="3" l="1"/>
  <c r="AL643" i="3"/>
  <c r="AM643" i="3" s="1"/>
  <c r="AN643" i="3"/>
  <c r="AO643" i="3"/>
  <c r="AF815" i="3"/>
  <c r="AE816" i="3" s="1"/>
  <c r="AG815" i="3"/>
  <c r="AH815" i="3" s="1"/>
  <c r="U494" i="3"/>
  <c r="W493" i="3"/>
  <c r="X493" i="3" s="1"/>
  <c r="Y493" i="3"/>
  <c r="Z493" i="3"/>
  <c r="AK644" i="3" l="1"/>
  <c r="AN644" i="3"/>
  <c r="AO644" i="3"/>
  <c r="AF816" i="3"/>
  <c r="AE817" i="3" s="1"/>
  <c r="V494" i="3"/>
  <c r="Z494" i="3"/>
  <c r="AL644" i="3" l="1"/>
  <c r="AM644" i="3" s="1"/>
  <c r="AJ645" i="3"/>
  <c r="AF817" i="3"/>
  <c r="AE818" i="3" s="1"/>
  <c r="AG817" i="3"/>
  <c r="AH817" i="3" s="1"/>
  <c r="AG816" i="3"/>
  <c r="AH816" i="3" s="1"/>
  <c r="W494" i="3"/>
  <c r="X494" i="3" s="1"/>
  <c r="U495" i="3"/>
  <c r="Y494" i="3"/>
  <c r="AK645" i="3" l="1"/>
  <c r="AF818" i="3"/>
  <c r="AE819" i="3" s="1"/>
  <c r="V495" i="3"/>
  <c r="Z495" i="3"/>
  <c r="AL645" i="3" l="1"/>
  <c r="AM645" i="3" s="1"/>
  <c r="AJ646" i="3"/>
  <c r="AO645" i="3"/>
  <c r="AN645" i="3"/>
  <c r="AF819" i="3"/>
  <c r="AE820" i="3" s="1"/>
  <c r="AG819" i="3"/>
  <c r="AH819" i="3" s="1"/>
  <c r="AG818" i="3"/>
  <c r="AH818" i="3" s="1"/>
  <c r="U496" i="3"/>
  <c r="W495" i="3"/>
  <c r="X495" i="3" s="1"/>
  <c r="Y495" i="3"/>
  <c r="AK646" i="3" l="1"/>
  <c r="AN646" i="3"/>
  <c r="AO646" i="3"/>
  <c r="AF820" i="3"/>
  <c r="AE821" i="3" s="1"/>
  <c r="AG820" i="3"/>
  <c r="AH820" i="3" s="1"/>
  <c r="V496" i="3"/>
  <c r="AL646" i="3" l="1"/>
  <c r="AM646" i="3" s="1"/>
  <c r="AJ647" i="3"/>
  <c r="AF821" i="3"/>
  <c r="AE822" i="3" s="1"/>
  <c r="AG821" i="3"/>
  <c r="AH821" i="3" s="1"/>
  <c r="W496" i="3"/>
  <c r="X496" i="3" s="1"/>
  <c r="U497" i="3"/>
  <c r="Z496" i="3"/>
  <c r="Y496" i="3"/>
  <c r="AK647" i="3" l="1"/>
  <c r="AN647" i="3"/>
  <c r="AO647" i="3"/>
  <c r="AF822" i="3"/>
  <c r="AE823" i="3" s="1"/>
  <c r="AG822" i="3"/>
  <c r="AH822" i="3" s="1"/>
  <c r="V497" i="3"/>
  <c r="Y497" i="3"/>
  <c r="Z497" i="3"/>
  <c r="AL647" i="3" l="1"/>
  <c r="AM647" i="3" s="1"/>
  <c r="AJ648" i="3"/>
  <c r="AF823" i="3"/>
  <c r="AE824" i="3" s="1"/>
  <c r="W497" i="3"/>
  <c r="X497" i="3" s="1"/>
  <c r="U498" i="3"/>
  <c r="AK648" i="3" l="1"/>
  <c r="AN648" i="3"/>
  <c r="AO648" i="3"/>
  <c r="AF824" i="3"/>
  <c r="AE825" i="3" s="1"/>
  <c r="AG824" i="3"/>
  <c r="AH824" i="3" s="1"/>
  <c r="AG823" i="3"/>
  <c r="AH823" i="3" s="1"/>
  <c r="V498" i="3"/>
  <c r="AJ649" i="3" l="1"/>
  <c r="AL648" i="3"/>
  <c r="AM648" i="3" s="1"/>
  <c r="AF825" i="3"/>
  <c r="AE826" i="3" s="1"/>
  <c r="AG825" i="3"/>
  <c r="AH825" i="3" s="1"/>
  <c r="U499" i="3"/>
  <c r="W498" i="3"/>
  <c r="X498" i="3" s="1"/>
  <c r="Y498" i="3"/>
  <c r="Z498" i="3"/>
  <c r="AK649" i="3" l="1"/>
  <c r="AN649" i="3"/>
  <c r="AO649" i="3"/>
  <c r="AF826" i="3"/>
  <c r="AE827" i="3" s="1"/>
  <c r="AG826" i="3"/>
  <c r="AH826" i="3" s="1"/>
  <c r="V499" i="3"/>
  <c r="Y499" i="3"/>
  <c r="Z499" i="3"/>
  <c r="AJ650" i="3" l="1"/>
  <c r="AL649" i="3"/>
  <c r="AM649" i="3" s="1"/>
  <c r="AF827" i="3"/>
  <c r="AE828" i="3" s="1"/>
  <c r="W499" i="3"/>
  <c r="X499" i="3" s="1"/>
  <c r="U500" i="3"/>
  <c r="AK650" i="3" l="1"/>
  <c r="AF828" i="3"/>
  <c r="AE829" i="3" s="1"/>
  <c r="AG827" i="3"/>
  <c r="AH827" i="3" s="1"/>
  <c r="V500" i="3"/>
  <c r="AL650" i="3" l="1"/>
  <c r="AM650" i="3" s="1"/>
  <c r="AJ651" i="3"/>
  <c r="AO650" i="3"/>
  <c r="AN650" i="3"/>
  <c r="AF829" i="3"/>
  <c r="AE830" i="3" s="1"/>
  <c r="AG829" i="3"/>
  <c r="AH829" i="3" s="1"/>
  <c r="AG828" i="3"/>
  <c r="AH828" i="3" s="1"/>
  <c r="U501" i="3"/>
  <c r="W500" i="3"/>
  <c r="X500" i="3" s="1"/>
  <c r="Z500" i="3"/>
  <c r="Y500" i="3"/>
  <c r="AK651" i="3" l="1"/>
  <c r="AN651" i="3"/>
  <c r="AO651" i="3"/>
  <c r="AF830" i="3"/>
  <c r="AE831" i="3" s="1"/>
  <c r="AG830" i="3"/>
  <c r="AH830" i="3" s="1"/>
  <c r="V501" i="3"/>
  <c r="Z501" i="3" s="1"/>
  <c r="AL651" i="3" l="1"/>
  <c r="AM651" i="3" s="1"/>
  <c r="AJ652" i="3"/>
  <c r="AF831" i="3"/>
  <c r="AE832" i="3" s="1"/>
  <c r="AG831" i="3"/>
  <c r="AH831" i="3" s="1"/>
  <c r="W501" i="3"/>
  <c r="X501" i="3" s="1"/>
  <c r="U502" i="3"/>
  <c r="Y501" i="3"/>
  <c r="AK652" i="3" l="1"/>
  <c r="AN652" i="3"/>
  <c r="AO652" i="3"/>
  <c r="AF832" i="3"/>
  <c r="AE833" i="3" s="1"/>
  <c r="V502" i="3"/>
  <c r="Z502" i="3"/>
  <c r="Y502" i="3"/>
  <c r="AL652" i="3" l="1"/>
  <c r="AM652" i="3" s="1"/>
  <c r="AJ653" i="3"/>
  <c r="AF833" i="3"/>
  <c r="AE834" i="3" s="1"/>
  <c r="AG833" i="3"/>
  <c r="AH833" i="3" s="1"/>
  <c r="AG832" i="3"/>
  <c r="AH832" i="3" s="1"/>
  <c r="W502" i="3"/>
  <c r="X502" i="3" s="1"/>
  <c r="U503" i="3"/>
  <c r="AK653" i="3" l="1"/>
  <c r="AF834" i="3"/>
  <c r="AE835" i="3" s="1"/>
  <c r="AG834" i="3"/>
  <c r="AH834" i="3" s="1"/>
  <c r="V503" i="3"/>
  <c r="AJ654" i="3" l="1"/>
  <c r="AL653" i="3"/>
  <c r="AM653" i="3" s="1"/>
  <c r="AN653" i="3"/>
  <c r="AO653" i="3"/>
  <c r="AF835" i="3"/>
  <c r="AE836" i="3" s="1"/>
  <c r="U504" i="3"/>
  <c r="W503" i="3"/>
  <c r="X503" i="3" s="1"/>
  <c r="Y503" i="3"/>
  <c r="Z503" i="3"/>
  <c r="AK654" i="3" l="1"/>
  <c r="AN654" i="3"/>
  <c r="AO654" i="3"/>
  <c r="AF836" i="3"/>
  <c r="AE837" i="3" s="1"/>
  <c r="AG836" i="3"/>
  <c r="AH836" i="3" s="1"/>
  <c r="AG835" i="3"/>
  <c r="AH835" i="3" s="1"/>
  <c r="V504" i="3"/>
  <c r="Y504" i="3"/>
  <c r="AJ655" i="3" l="1"/>
  <c r="AL654" i="3"/>
  <c r="AM654" i="3" s="1"/>
  <c r="AF837" i="3"/>
  <c r="AE838" i="3" s="1"/>
  <c r="U505" i="3"/>
  <c r="W504" i="3"/>
  <c r="X504" i="3" s="1"/>
  <c r="Z504" i="3"/>
  <c r="AK655" i="3" l="1"/>
  <c r="AO655" i="3" s="1"/>
  <c r="AF838" i="3"/>
  <c r="AE839" i="3" s="1"/>
  <c r="AG838" i="3"/>
  <c r="AH838" i="3" s="1"/>
  <c r="AG837" i="3"/>
  <c r="AH837" i="3" s="1"/>
  <c r="V505" i="3"/>
  <c r="AL655" i="3" l="1"/>
  <c r="AM655" i="3" s="1"/>
  <c r="AJ656" i="3"/>
  <c r="AN655" i="3"/>
  <c r="AF839" i="3"/>
  <c r="AE840" i="3" s="1"/>
  <c r="U506" i="3"/>
  <c r="W505" i="3"/>
  <c r="X505" i="3" s="1"/>
  <c r="Z505" i="3"/>
  <c r="Y505" i="3"/>
  <c r="AK656" i="3" l="1"/>
  <c r="AG839" i="3"/>
  <c r="AH839" i="3" s="1"/>
  <c r="AF840" i="3"/>
  <c r="AE841" i="3" s="1"/>
  <c r="V506" i="3"/>
  <c r="AJ657" i="3" l="1"/>
  <c r="AL656" i="3"/>
  <c r="AM656" i="3" s="1"/>
  <c r="AO656" i="3"/>
  <c r="AN656" i="3"/>
  <c r="AF841" i="3"/>
  <c r="AE842" i="3" s="1"/>
  <c r="AG840" i="3"/>
  <c r="AH840" i="3" s="1"/>
  <c r="U507" i="3"/>
  <c r="W506" i="3"/>
  <c r="X506" i="3" s="1"/>
  <c r="Y506" i="3"/>
  <c r="Z506" i="3"/>
  <c r="AK657" i="3" l="1"/>
  <c r="AG841" i="3"/>
  <c r="AH841" i="3" s="1"/>
  <c r="AF842" i="3"/>
  <c r="AE843" i="3" s="1"/>
  <c r="AG842" i="3"/>
  <c r="AH842" i="3" s="1"/>
  <c r="V507" i="3"/>
  <c r="Y507" i="3"/>
  <c r="Z507" i="3"/>
  <c r="AL657" i="3" l="1"/>
  <c r="AM657" i="3" s="1"/>
  <c r="AJ658" i="3"/>
  <c r="AN657" i="3"/>
  <c r="AO657" i="3"/>
  <c r="AF843" i="3"/>
  <c r="AE844" i="3" s="1"/>
  <c r="AG843" i="3"/>
  <c r="AH843" i="3" s="1"/>
  <c r="W507" i="3"/>
  <c r="X507" i="3" s="1"/>
  <c r="U508" i="3"/>
  <c r="AK658" i="3" l="1"/>
  <c r="AF844" i="3"/>
  <c r="AE845" i="3" s="1"/>
  <c r="AG844" i="3"/>
  <c r="AH844" i="3" s="1"/>
  <c r="V508" i="3"/>
  <c r="AJ659" i="3" l="1"/>
  <c r="AL658" i="3"/>
  <c r="AM658" i="3" s="1"/>
  <c r="AO658" i="3"/>
  <c r="AN658" i="3"/>
  <c r="AF845" i="3"/>
  <c r="AE846" i="3" s="1"/>
  <c r="U509" i="3"/>
  <c r="W508" i="3"/>
  <c r="X508" i="3" s="1"/>
  <c r="Y508" i="3"/>
  <c r="Z508" i="3"/>
  <c r="AK659" i="3" l="1"/>
  <c r="AN659" i="3"/>
  <c r="AO659" i="3"/>
  <c r="AF846" i="3"/>
  <c r="AE847" i="3" s="1"/>
  <c r="AG845" i="3"/>
  <c r="AH845" i="3" s="1"/>
  <c r="V509" i="3"/>
  <c r="Y509" i="3"/>
  <c r="Z509" i="3"/>
  <c r="AL659" i="3" l="1"/>
  <c r="AM659" i="3" s="1"/>
  <c r="AJ660" i="3"/>
  <c r="AF847" i="3"/>
  <c r="AE848" i="3" s="1"/>
  <c r="AG847" i="3"/>
  <c r="AH847" i="3" s="1"/>
  <c r="AG846" i="3"/>
  <c r="AH846" i="3" s="1"/>
  <c r="W509" i="3"/>
  <c r="X509" i="3" s="1"/>
  <c r="U510" i="3"/>
  <c r="AK660" i="3" l="1"/>
  <c r="AF848" i="3"/>
  <c r="AE849" i="3" s="1"/>
  <c r="AG848" i="3"/>
  <c r="AH848" i="3" s="1"/>
  <c r="V510" i="3"/>
  <c r="AJ661" i="3" l="1"/>
  <c r="AL660" i="3"/>
  <c r="AM660" i="3" s="1"/>
  <c r="AO660" i="3"/>
  <c r="AN660" i="3"/>
  <c r="AF849" i="3"/>
  <c r="AE850" i="3" s="1"/>
  <c r="AG849" i="3"/>
  <c r="AH849" i="3" s="1"/>
  <c r="U511" i="3"/>
  <c r="W510" i="3"/>
  <c r="X510" i="3" s="1"/>
  <c r="Z510" i="3"/>
  <c r="Y510" i="3"/>
  <c r="AK661" i="3" l="1"/>
  <c r="AN661" i="3"/>
  <c r="AO661" i="3"/>
  <c r="AF850" i="3"/>
  <c r="AE851" i="3" s="1"/>
  <c r="V511" i="3"/>
  <c r="Y511" i="3"/>
  <c r="Z511" i="3"/>
  <c r="AL661" i="3" l="1"/>
  <c r="AM661" i="3" s="1"/>
  <c r="AJ662" i="3"/>
  <c r="AF851" i="3"/>
  <c r="AE852" i="3" s="1"/>
  <c r="AG850" i="3"/>
  <c r="AH850" i="3" s="1"/>
  <c r="W511" i="3"/>
  <c r="X511" i="3" s="1"/>
  <c r="U512" i="3"/>
  <c r="AK662" i="3" l="1"/>
  <c r="AF852" i="3"/>
  <c r="AE853" i="3" s="1"/>
  <c r="AG852" i="3"/>
  <c r="AH852" i="3" s="1"/>
  <c r="AG851" i="3"/>
  <c r="AH851" i="3" s="1"/>
  <c r="V512" i="3"/>
  <c r="Y512" i="3"/>
  <c r="Z512" i="3"/>
  <c r="AL662" i="3" l="1"/>
  <c r="AM662" i="3" s="1"/>
  <c r="AJ663" i="3"/>
  <c r="AN662" i="3"/>
  <c r="AO662" i="3"/>
  <c r="AF853" i="3"/>
  <c r="AE854" i="3" s="1"/>
  <c r="AG853" i="3"/>
  <c r="AH853" i="3" s="1"/>
  <c r="W512" i="3"/>
  <c r="X512" i="3" s="1"/>
  <c r="U513" i="3"/>
  <c r="AK663" i="3" l="1"/>
  <c r="AN663" i="3"/>
  <c r="AO663" i="3"/>
  <c r="AF854" i="3"/>
  <c r="AE855" i="3" s="1"/>
  <c r="V513" i="3"/>
  <c r="Y513" i="3"/>
  <c r="AJ664" i="3" l="1"/>
  <c r="AL663" i="3"/>
  <c r="AM663" i="3" s="1"/>
  <c r="AF855" i="3"/>
  <c r="AE856" i="3" s="1"/>
  <c r="AG854" i="3"/>
  <c r="AH854" i="3" s="1"/>
  <c r="U514" i="3"/>
  <c r="W513" i="3"/>
  <c r="X513" i="3" s="1"/>
  <c r="Z513" i="3"/>
  <c r="AK664" i="3" l="1"/>
  <c r="AO664" i="3"/>
  <c r="AN664" i="3"/>
  <c r="AF856" i="3"/>
  <c r="AE857" i="3" s="1"/>
  <c r="AG856" i="3"/>
  <c r="AH856" i="3" s="1"/>
  <c r="AG855" i="3"/>
  <c r="AH855" i="3" s="1"/>
  <c r="V514" i="3"/>
  <c r="AJ665" i="3" l="1"/>
  <c r="AL664" i="3"/>
  <c r="AM664" i="3" s="1"/>
  <c r="AF857" i="3"/>
  <c r="AE858" i="3" s="1"/>
  <c r="AG857" i="3"/>
  <c r="AH857" i="3" s="1"/>
  <c r="W514" i="3"/>
  <c r="X514" i="3" s="1"/>
  <c r="U515" i="3"/>
  <c r="Z514" i="3"/>
  <c r="Y514" i="3"/>
  <c r="AK665" i="3" l="1"/>
  <c r="AF858" i="3"/>
  <c r="AE859" i="3" s="1"/>
  <c r="AG858" i="3"/>
  <c r="AH858" i="3" s="1"/>
  <c r="V515" i="3"/>
  <c r="Z515" i="3"/>
  <c r="AL665" i="3" l="1"/>
  <c r="AM665" i="3" s="1"/>
  <c r="AJ666" i="3"/>
  <c r="AO665" i="3"/>
  <c r="AN665" i="3"/>
  <c r="AF859" i="3"/>
  <c r="AE860" i="3" s="1"/>
  <c r="W515" i="3"/>
  <c r="X515" i="3" s="1"/>
  <c r="U516" i="3"/>
  <c r="Y515" i="3"/>
  <c r="AK666" i="3" l="1"/>
  <c r="AN666" i="3"/>
  <c r="AF860" i="3"/>
  <c r="AE861" i="3" s="1"/>
  <c r="AG859" i="3"/>
  <c r="AH859" i="3" s="1"/>
  <c r="V516" i="3"/>
  <c r="AJ667" i="3" l="1"/>
  <c r="AL666" i="3"/>
  <c r="AM666" i="3" s="1"/>
  <c r="AO666" i="3"/>
  <c r="AF861" i="3"/>
  <c r="AE862" i="3" s="1"/>
  <c r="AG861" i="3"/>
  <c r="AH861" i="3" s="1"/>
  <c r="AG860" i="3"/>
  <c r="AH860" i="3" s="1"/>
  <c r="U517" i="3"/>
  <c r="W516" i="3"/>
  <c r="X516" i="3" s="1"/>
  <c r="Z516" i="3"/>
  <c r="Y516" i="3"/>
  <c r="AK667" i="3" l="1"/>
  <c r="AN667" i="3"/>
  <c r="AO667" i="3"/>
  <c r="AF862" i="3"/>
  <c r="AE863" i="3" s="1"/>
  <c r="AG862" i="3"/>
  <c r="AH862" i="3" s="1"/>
  <c r="V517" i="3"/>
  <c r="Y517" i="3"/>
  <c r="Z517" i="3"/>
  <c r="AL667" i="3" l="1"/>
  <c r="AM667" i="3" s="1"/>
  <c r="AJ668" i="3"/>
  <c r="AF863" i="3"/>
  <c r="AE864" i="3" s="1"/>
  <c r="AG863" i="3"/>
  <c r="AH863" i="3" s="1"/>
  <c r="W517" i="3"/>
  <c r="X517" i="3" s="1"/>
  <c r="U518" i="3"/>
  <c r="AK668" i="3" l="1"/>
  <c r="AN668" i="3"/>
  <c r="AF864" i="3"/>
  <c r="AE865" i="3" s="1"/>
  <c r="AG864" i="3"/>
  <c r="AH864" i="3" s="1"/>
  <c r="Z518" i="3"/>
  <c r="Y518" i="3"/>
  <c r="V518" i="3"/>
  <c r="AJ669" i="3" l="1"/>
  <c r="AL668" i="3"/>
  <c r="AM668" i="3" s="1"/>
  <c r="AO668" i="3"/>
  <c r="AF865" i="3"/>
  <c r="AE866" i="3" s="1"/>
  <c r="U519" i="3"/>
  <c r="W518" i="3"/>
  <c r="X518" i="3" s="1"/>
  <c r="AK669" i="3" l="1"/>
  <c r="AN669" i="3"/>
  <c r="AO669" i="3"/>
  <c r="AF866" i="3"/>
  <c r="AE867" i="3" s="1"/>
  <c r="AG866" i="3"/>
  <c r="AH866" i="3" s="1"/>
  <c r="AG865" i="3"/>
  <c r="AH865" i="3" s="1"/>
  <c r="V519" i="3"/>
  <c r="Z519" i="3" s="1"/>
  <c r="AL669" i="3" l="1"/>
  <c r="AM669" i="3" s="1"/>
  <c r="AJ670" i="3"/>
  <c r="AF867" i="3"/>
  <c r="AE868" i="3" s="1"/>
  <c r="W519" i="3"/>
  <c r="X519" i="3" s="1"/>
  <c r="U520" i="3"/>
  <c r="Y519" i="3"/>
  <c r="AK670" i="3" l="1"/>
  <c r="AF868" i="3"/>
  <c r="AE869" i="3" s="1"/>
  <c r="AG867" i="3"/>
  <c r="AH867" i="3" s="1"/>
  <c r="V520" i="3"/>
  <c r="Y520" i="3"/>
  <c r="Z520" i="3"/>
  <c r="AJ671" i="3" l="1"/>
  <c r="AL670" i="3"/>
  <c r="AM670" i="3" s="1"/>
  <c r="AO670" i="3"/>
  <c r="AN670" i="3"/>
  <c r="AF869" i="3"/>
  <c r="AE870" i="3" s="1"/>
  <c r="AG869" i="3"/>
  <c r="AH869" i="3" s="1"/>
  <c r="AG868" i="3"/>
  <c r="AH868" i="3" s="1"/>
  <c r="W520" i="3"/>
  <c r="X520" i="3" s="1"/>
  <c r="U521" i="3"/>
  <c r="AK671" i="3" l="1"/>
  <c r="AN671" i="3"/>
  <c r="AO671" i="3"/>
  <c r="AF870" i="3"/>
  <c r="AE871" i="3" s="1"/>
  <c r="V521" i="3"/>
  <c r="Y521" i="3"/>
  <c r="AL671" i="3" l="1"/>
  <c r="AM671" i="3" s="1"/>
  <c r="AJ672" i="3"/>
  <c r="AF871" i="3"/>
  <c r="AE872" i="3" s="1"/>
  <c r="AG871" i="3"/>
  <c r="AH871" i="3" s="1"/>
  <c r="AG870" i="3"/>
  <c r="AH870" i="3" s="1"/>
  <c r="W521" i="3"/>
  <c r="X521" i="3" s="1"/>
  <c r="U522" i="3"/>
  <c r="Z521" i="3"/>
  <c r="AK672" i="3" l="1"/>
  <c r="AN672" i="3"/>
  <c r="AO672" i="3"/>
  <c r="AF872" i="3"/>
  <c r="AE873" i="3" s="1"/>
  <c r="AG872" i="3"/>
  <c r="AH872" i="3" s="1"/>
  <c r="V522" i="3"/>
  <c r="Y522" i="3"/>
  <c r="Z522" i="3"/>
  <c r="AL672" i="3" l="1"/>
  <c r="AM672" i="3" s="1"/>
  <c r="AJ673" i="3"/>
  <c r="AF873" i="3"/>
  <c r="AE874" i="3" s="1"/>
  <c r="AG873" i="3"/>
  <c r="AH873" i="3" s="1"/>
  <c r="W522" i="3"/>
  <c r="X522" i="3" s="1"/>
  <c r="U523" i="3"/>
  <c r="AK673" i="3" l="1"/>
  <c r="AN673" i="3"/>
  <c r="AO673" i="3"/>
  <c r="AF874" i="3"/>
  <c r="AE875" i="3" s="1"/>
  <c r="AG874" i="3"/>
  <c r="AH874" i="3" s="1"/>
  <c r="V523" i="3"/>
  <c r="Y523" i="3"/>
  <c r="AJ674" i="3" l="1"/>
  <c r="AL673" i="3"/>
  <c r="AM673" i="3" s="1"/>
  <c r="AF875" i="3"/>
  <c r="AE876" i="3" s="1"/>
  <c r="W523" i="3"/>
  <c r="X523" i="3" s="1"/>
  <c r="U524" i="3"/>
  <c r="Z523" i="3"/>
  <c r="AK674" i="3" l="1"/>
  <c r="AO674" i="3"/>
  <c r="AN674" i="3"/>
  <c r="AF876" i="3"/>
  <c r="AE877" i="3" s="1"/>
  <c r="AG876" i="3"/>
  <c r="AH876" i="3" s="1"/>
  <c r="AG875" i="3"/>
  <c r="AH875" i="3" s="1"/>
  <c r="V524" i="3"/>
  <c r="Y524" i="3"/>
  <c r="Z524" i="3"/>
  <c r="AJ675" i="3" l="1"/>
  <c r="AL674" i="3"/>
  <c r="AM674" i="3" s="1"/>
  <c r="AF877" i="3"/>
  <c r="AE878" i="3" s="1"/>
  <c r="U525" i="3"/>
  <c r="W524" i="3"/>
  <c r="X524" i="3" s="1"/>
  <c r="AK675" i="3" l="1"/>
  <c r="AF878" i="3"/>
  <c r="AE879" i="3" s="1"/>
  <c r="AG878" i="3"/>
  <c r="AH878" i="3" s="1"/>
  <c r="AG877" i="3"/>
  <c r="AH877" i="3" s="1"/>
  <c r="V525" i="3"/>
  <c r="Y525" i="3"/>
  <c r="Z525" i="3"/>
  <c r="AL675" i="3" l="1"/>
  <c r="AM675" i="3" s="1"/>
  <c r="AJ676" i="3"/>
  <c r="AO675" i="3"/>
  <c r="AN675" i="3"/>
  <c r="AF879" i="3"/>
  <c r="AE880" i="3" s="1"/>
  <c r="U526" i="3"/>
  <c r="W525" i="3"/>
  <c r="X525" i="3" s="1"/>
  <c r="AK676" i="3" l="1"/>
  <c r="AO676" i="3"/>
  <c r="AN676" i="3"/>
  <c r="AF880" i="3"/>
  <c r="AE881" i="3" s="1"/>
  <c r="AG879" i="3"/>
  <c r="AH879" i="3" s="1"/>
  <c r="V526" i="3"/>
  <c r="AL676" i="3" l="1"/>
  <c r="AM676" i="3" s="1"/>
  <c r="AJ677" i="3"/>
  <c r="AF881" i="3"/>
  <c r="AE882" i="3" s="1"/>
  <c r="AG880" i="3"/>
  <c r="AH880" i="3" s="1"/>
  <c r="U527" i="3"/>
  <c r="W526" i="3"/>
  <c r="X526" i="3" s="1"/>
  <c r="Y526" i="3"/>
  <c r="Z526" i="3"/>
  <c r="AK677" i="3" l="1"/>
  <c r="AN677" i="3"/>
  <c r="AO677" i="3"/>
  <c r="AF882" i="3"/>
  <c r="AE883" i="3" s="1"/>
  <c r="AG882" i="3"/>
  <c r="AH882" i="3" s="1"/>
  <c r="AG881" i="3"/>
  <c r="AH881" i="3" s="1"/>
  <c r="V527" i="3"/>
  <c r="Y527" i="3"/>
  <c r="Z527" i="3"/>
  <c r="AL677" i="3" l="1"/>
  <c r="AM677" i="3" s="1"/>
  <c r="AJ678" i="3"/>
  <c r="AF883" i="3"/>
  <c r="AE884" i="3" s="1"/>
  <c r="AG883" i="3"/>
  <c r="AH883" i="3" s="1"/>
  <c r="W527" i="3"/>
  <c r="X527" i="3" s="1"/>
  <c r="U528" i="3"/>
  <c r="AK678" i="3" l="1"/>
  <c r="AF884" i="3"/>
  <c r="AE885" i="3" s="1"/>
  <c r="AG884" i="3"/>
  <c r="AH884" i="3" s="1"/>
  <c r="V528" i="3"/>
  <c r="AJ679" i="3" l="1"/>
  <c r="AL678" i="3"/>
  <c r="AM678" i="3" s="1"/>
  <c r="AO678" i="3"/>
  <c r="AN678" i="3"/>
  <c r="AF885" i="3"/>
  <c r="AE886" i="3" s="1"/>
  <c r="U529" i="3"/>
  <c r="W528" i="3"/>
  <c r="X528" i="3" s="1"/>
  <c r="Y528" i="3"/>
  <c r="Z528" i="3"/>
  <c r="AK679" i="3" l="1"/>
  <c r="AN679" i="3"/>
  <c r="AO679" i="3"/>
  <c r="AF886" i="3"/>
  <c r="AE887" i="3" s="1"/>
  <c r="AG886" i="3"/>
  <c r="AH886" i="3" s="1"/>
  <c r="AG885" i="3"/>
  <c r="AH885" i="3" s="1"/>
  <c r="V529" i="3"/>
  <c r="Y529" i="3"/>
  <c r="Z529" i="3"/>
  <c r="AJ680" i="3" l="1"/>
  <c r="AL679" i="3"/>
  <c r="AM679" i="3" s="1"/>
  <c r="AF887" i="3"/>
  <c r="AE888" i="3" s="1"/>
  <c r="W529" i="3"/>
  <c r="X529" i="3" s="1"/>
  <c r="U530" i="3"/>
  <c r="AK680" i="3" l="1"/>
  <c r="AF888" i="3"/>
  <c r="AE889" i="3" s="1"/>
  <c r="AG888" i="3"/>
  <c r="AH888" i="3" s="1"/>
  <c r="AG887" i="3"/>
  <c r="AH887" i="3" s="1"/>
  <c r="V530" i="3"/>
  <c r="AL680" i="3" l="1"/>
  <c r="AM680" i="3" s="1"/>
  <c r="AJ681" i="3"/>
  <c r="AO680" i="3"/>
  <c r="AN680" i="3"/>
  <c r="AF889" i="3"/>
  <c r="AE890" i="3" s="1"/>
  <c r="AG889" i="3"/>
  <c r="AH889" i="3" s="1"/>
  <c r="W530" i="3"/>
  <c r="X530" i="3" s="1"/>
  <c r="U531" i="3"/>
  <c r="Z530" i="3"/>
  <c r="Y530" i="3"/>
  <c r="AK681" i="3" l="1"/>
  <c r="AO681" i="3" s="1"/>
  <c r="AF890" i="3"/>
  <c r="AE891" i="3" s="1"/>
  <c r="V531" i="3"/>
  <c r="Y531" i="3"/>
  <c r="Z531" i="3"/>
  <c r="AJ682" i="3" l="1"/>
  <c r="AL681" i="3"/>
  <c r="AM681" i="3" s="1"/>
  <c r="AN681" i="3"/>
  <c r="AF891" i="3"/>
  <c r="AE892" i="3" s="1"/>
  <c r="AG890" i="3"/>
  <c r="AH890" i="3" s="1"/>
  <c r="W531" i="3"/>
  <c r="X531" i="3" s="1"/>
  <c r="U532" i="3"/>
  <c r="AK682" i="3" l="1"/>
  <c r="AN682" i="3"/>
  <c r="AO682" i="3"/>
  <c r="AF892" i="3"/>
  <c r="AE893" i="3" s="1"/>
  <c r="AG892" i="3"/>
  <c r="AH892" i="3" s="1"/>
  <c r="AG891" i="3"/>
  <c r="AH891" i="3" s="1"/>
  <c r="V532" i="3"/>
  <c r="Y532" i="3" s="1"/>
  <c r="Z532" i="3"/>
  <c r="AL682" i="3" l="1"/>
  <c r="AM682" i="3" s="1"/>
  <c r="AJ683" i="3"/>
  <c r="AF893" i="3"/>
  <c r="AE894" i="3" s="1"/>
  <c r="W532" i="3"/>
  <c r="X532" i="3" s="1"/>
  <c r="U533" i="3"/>
  <c r="AK683" i="3" l="1"/>
  <c r="AF894" i="3"/>
  <c r="AE895" i="3" s="1"/>
  <c r="AG894" i="3"/>
  <c r="AH894" i="3" s="1"/>
  <c r="AG893" i="3"/>
  <c r="AH893" i="3" s="1"/>
  <c r="V533" i="3"/>
  <c r="AJ684" i="3" l="1"/>
  <c r="AL683" i="3"/>
  <c r="AM683" i="3" s="1"/>
  <c r="AO683" i="3"/>
  <c r="AN683" i="3"/>
  <c r="AF895" i="3"/>
  <c r="AE896" i="3" s="1"/>
  <c r="W533" i="3"/>
  <c r="X533" i="3" s="1"/>
  <c r="U534" i="3"/>
  <c r="Y533" i="3"/>
  <c r="Z533" i="3"/>
  <c r="AK684" i="3" l="1"/>
  <c r="AN684" i="3"/>
  <c r="AO684" i="3"/>
  <c r="AF896" i="3"/>
  <c r="AE897" i="3" s="1"/>
  <c r="AG896" i="3"/>
  <c r="AH896" i="3" s="1"/>
  <c r="AG895" i="3"/>
  <c r="AH895" i="3" s="1"/>
  <c r="V534" i="3"/>
  <c r="Y534" i="3"/>
  <c r="Z534" i="3"/>
  <c r="AL684" i="3" l="1"/>
  <c r="AM684" i="3" s="1"/>
  <c r="AJ685" i="3"/>
  <c r="AF897" i="3"/>
  <c r="AE898" i="3" s="1"/>
  <c r="W534" i="3"/>
  <c r="X534" i="3" s="1"/>
  <c r="U535" i="3"/>
  <c r="AK685" i="3" l="1"/>
  <c r="AF898" i="3"/>
  <c r="AE899" i="3" s="1"/>
  <c r="AG898" i="3"/>
  <c r="AH898" i="3" s="1"/>
  <c r="AG897" i="3"/>
  <c r="AH897" i="3" s="1"/>
  <c r="V535" i="3"/>
  <c r="AJ686" i="3" l="1"/>
  <c r="AL685" i="3"/>
  <c r="AM685" i="3" s="1"/>
  <c r="AO685" i="3"/>
  <c r="AN685" i="3"/>
  <c r="AF899" i="3"/>
  <c r="AE900" i="3" s="1"/>
  <c r="AG899" i="3"/>
  <c r="AH899" i="3" s="1"/>
  <c r="U536" i="3"/>
  <c r="W535" i="3"/>
  <c r="X535" i="3" s="1"/>
  <c r="Z535" i="3"/>
  <c r="Y535" i="3"/>
  <c r="AK686" i="3" l="1"/>
  <c r="AN686" i="3"/>
  <c r="AO686" i="3"/>
  <c r="AF900" i="3"/>
  <c r="AE901" i="3" s="1"/>
  <c r="V536" i="3"/>
  <c r="Y536" i="3"/>
  <c r="Z536" i="3"/>
  <c r="AL686" i="3" l="1"/>
  <c r="AM686" i="3" s="1"/>
  <c r="AJ687" i="3"/>
  <c r="AF901" i="3"/>
  <c r="AE902" i="3" s="1"/>
  <c r="AG901" i="3"/>
  <c r="AH901" i="3" s="1"/>
  <c r="AG900" i="3"/>
  <c r="AH900" i="3" s="1"/>
  <c r="W536" i="3"/>
  <c r="X536" i="3" s="1"/>
  <c r="U537" i="3"/>
  <c r="AK687" i="3" l="1"/>
  <c r="AN687" i="3" s="1"/>
  <c r="AF902" i="3"/>
  <c r="AE903" i="3" s="1"/>
  <c r="V537" i="3"/>
  <c r="Z537" i="3" s="1"/>
  <c r="AL687" i="3" l="1"/>
  <c r="AM687" i="3" s="1"/>
  <c r="AJ688" i="3"/>
  <c r="AO687" i="3"/>
  <c r="AF903" i="3"/>
  <c r="AE904" i="3" s="1"/>
  <c r="AG903" i="3"/>
  <c r="AH903" i="3" s="1"/>
  <c r="AG902" i="3"/>
  <c r="AH902" i="3" s="1"/>
  <c r="Y537" i="3"/>
  <c r="U538" i="3"/>
  <c r="W537" i="3"/>
  <c r="X537" i="3" s="1"/>
  <c r="AK688" i="3" l="1"/>
  <c r="AO688" i="3"/>
  <c r="AN688" i="3"/>
  <c r="AF904" i="3"/>
  <c r="AE905" i="3" s="1"/>
  <c r="V538" i="3"/>
  <c r="Y538" i="3"/>
  <c r="AJ689" i="3" l="1"/>
  <c r="AL688" i="3"/>
  <c r="AM688" i="3" s="1"/>
  <c r="AF905" i="3"/>
  <c r="AE906" i="3" s="1"/>
  <c r="AG904" i="3"/>
  <c r="AH904" i="3" s="1"/>
  <c r="W538" i="3"/>
  <c r="X538" i="3" s="1"/>
  <c r="U539" i="3"/>
  <c r="Z538" i="3"/>
  <c r="AK689" i="3" l="1"/>
  <c r="AO689" i="3"/>
  <c r="AN689" i="3"/>
  <c r="AF906" i="3"/>
  <c r="AE907" i="3" s="1"/>
  <c r="AG906" i="3"/>
  <c r="AH906" i="3" s="1"/>
  <c r="AG905" i="3"/>
  <c r="AH905" i="3" s="1"/>
  <c r="V539" i="3"/>
  <c r="AJ690" i="3" l="1"/>
  <c r="AL689" i="3"/>
  <c r="AM689" i="3" s="1"/>
  <c r="AF907" i="3"/>
  <c r="AE908" i="3" s="1"/>
  <c r="AG907" i="3"/>
  <c r="AH907" i="3" s="1"/>
  <c r="U540" i="3"/>
  <c r="W539" i="3"/>
  <c r="X539" i="3" s="1"/>
  <c r="Y539" i="3"/>
  <c r="Z539" i="3"/>
  <c r="AK690" i="3" l="1"/>
  <c r="AF908" i="3"/>
  <c r="AE909" i="3" s="1"/>
  <c r="AG908" i="3"/>
  <c r="AH908" i="3" s="1"/>
  <c r="V540" i="3"/>
  <c r="AL690" i="3" l="1"/>
  <c r="AM690" i="3" s="1"/>
  <c r="AJ691" i="3"/>
  <c r="AO690" i="3"/>
  <c r="AN690" i="3"/>
  <c r="AF909" i="3"/>
  <c r="AE910" i="3" s="1"/>
  <c r="AG909" i="3"/>
  <c r="AH909" i="3" s="1"/>
  <c r="W540" i="3"/>
  <c r="X540" i="3" s="1"/>
  <c r="U541" i="3"/>
  <c r="Z540" i="3"/>
  <c r="Y540" i="3"/>
  <c r="AK691" i="3" l="1"/>
  <c r="AF910" i="3"/>
  <c r="AE911" i="3" s="1"/>
  <c r="V541" i="3"/>
  <c r="AJ692" i="3" l="1"/>
  <c r="AL691" i="3"/>
  <c r="AM691" i="3" s="1"/>
  <c r="AN691" i="3"/>
  <c r="AO691" i="3"/>
  <c r="AF911" i="3"/>
  <c r="AE912" i="3" s="1"/>
  <c r="AG911" i="3"/>
  <c r="AH911" i="3" s="1"/>
  <c r="AG910" i="3"/>
  <c r="AH910" i="3" s="1"/>
  <c r="W541" i="3"/>
  <c r="X541" i="3" s="1"/>
  <c r="U542" i="3"/>
  <c r="Z541" i="3"/>
  <c r="Y541" i="3"/>
  <c r="AK692" i="3" l="1"/>
  <c r="AN692" i="3"/>
  <c r="AO692" i="3"/>
  <c r="AF912" i="3"/>
  <c r="AE913" i="3" s="1"/>
  <c r="V542" i="3"/>
  <c r="Y542" i="3"/>
  <c r="Z542" i="3"/>
  <c r="AL692" i="3" l="1"/>
  <c r="AM692" i="3" s="1"/>
  <c r="AJ693" i="3"/>
  <c r="AF913" i="3"/>
  <c r="AE914" i="3" s="1"/>
  <c r="AG913" i="3"/>
  <c r="AH913" i="3" s="1"/>
  <c r="AG912" i="3"/>
  <c r="AH912" i="3" s="1"/>
  <c r="U543" i="3"/>
  <c r="W542" i="3"/>
  <c r="X542" i="3" s="1"/>
  <c r="AK693" i="3" l="1"/>
  <c r="AN693" i="3"/>
  <c r="AF914" i="3"/>
  <c r="AE915" i="3" s="1"/>
  <c r="AG914" i="3"/>
  <c r="AH914" i="3" s="1"/>
  <c r="V543" i="3"/>
  <c r="AJ694" i="3" l="1"/>
  <c r="AL693" i="3"/>
  <c r="AM693" i="3" s="1"/>
  <c r="AO693" i="3"/>
  <c r="AF915" i="3"/>
  <c r="AE916" i="3" s="1"/>
  <c r="AG915" i="3"/>
  <c r="AH915" i="3" s="1"/>
  <c r="W543" i="3"/>
  <c r="X543" i="3" s="1"/>
  <c r="U544" i="3"/>
  <c r="Y543" i="3"/>
  <c r="Z543" i="3"/>
  <c r="AK694" i="3" l="1"/>
  <c r="AN694" i="3"/>
  <c r="AO694" i="3"/>
  <c r="AF916" i="3"/>
  <c r="AE917" i="3" s="1"/>
  <c r="AG916" i="3"/>
  <c r="AH916" i="3" s="1"/>
  <c r="V544" i="3"/>
  <c r="AL694" i="3" l="1"/>
  <c r="AM694" i="3" s="1"/>
  <c r="AJ695" i="3"/>
  <c r="AF917" i="3"/>
  <c r="AE918" i="3" s="1"/>
  <c r="AG917" i="3"/>
  <c r="AH917" i="3" s="1"/>
  <c r="U545" i="3"/>
  <c r="W544" i="3"/>
  <c r="X544" i="3" s="1"/>
  <c r="Y544" i="3"/>
  <c r="Z544" i="3"/>
  <c r="AK695" i="3" l="1"/>
  <c r="AF918" i="3"/>
  <c r="AE919" i="3" s="1"/>
  <c r="AG918" i="3"/>
  <c r="AH918" i="3" s="1"/>
  <c r="V545" i="3"/>
  <c r="Z545" i="3"/>
  <c r="AJ696" i="3" l="1"/>
  <c r="AL695" i="3"/>
  <c r="AM695" i="3" s="1"/>
  <c r="AO695" i="3"/>
  <c r="AN695" i="3"/>
  <c r="AF919" i="3"/>
  <c r="AE920" i="3" s="1"/>
  <c r="AG919" i="3"/>
  <c r="AH919" i="3" s="1"/>
  <c r="W545" i="3"/>
  <c r="X545" i="3" s="1"/>
  <c r="U546" i="3"/>
  <c r="Y545" i="3"/>
  <c r="AK696" i="3" l="1"/>
  <c r="AN696" i="3"/>
  <c r="AO696" i="3"/>
  <c r="AF920" i="3"/>
  <c r="AE921" i="3" s="1"/>
  <c r="V546" i="3"/>
  <c r="Y546" i="3"/>
  <c r="Z546" i="3"/>
  <c r="AL696" i="3" l="1"/>
  <c r="AM696" i="3" s="1"/>
  <c r="AJ697" i="3"/>
  <c r="AG920" i="3"/>
  <c r="AH920" i="3" s="1"/>
  <c r="AF921" i="3"/>
  <c r="AE922" i="3" s="1"/>
  <c r="U547" i="3"/>
  <c r="W546" i="3"/>
  <c r="X546" i="3" s="1"/>
  <c r="AK697" i="3" l="1"/>
  <c r="AN697" i="3"/>
  <c r="AF922" i="3"/>
  <c r="AE923" i="3" s="1"/>
  <c r="AG922" i="3"/>
  <c r="AH922" i="3" s="1"/>
  <c r="AG921" i="3"/>
  <c r="AH921" i="3" s="1"/>
  <c r="V547" i="3"/>
  <c r="Y547" i="3"/>
  <c r="Z547" i="3"/>
  <c r="AL697" i="3" l="1"/>
  <c r="AM697" i="3" s="1"/>
  <c r="AJ698" i="3"/>
  <c r="AO697" i="3"/>
  <c r="AF923" i="3"/>
  <c r="AE924" i="3" s="1"/>
  <c r="W547" i="3"/>
  <c r="X547" i="3" s="1"/>
  <c r="U548" i="3"/>
  <c r="AK698" i="3" l="1"/>
  <c r="AO698" i="3"/>
  <c r="AF924" i="3"/>
  <c r="AE925" i="3" s="1"/>
  <c r="AG924" i="3"/>
  <c r="AH924" i="3" s="1"/>
  <c r="AG923" i="3"/>
  <c r="AH923" i="3" s="1"/>
  <c r="V548" i="3"/>
  <c r="Y548" i="3"/>
  <c r="AJ699" i="3" l="1"/>
  <c r="AL698" i="3"/>
  <c r="AM698" i="3" s="1"/>
  <c r="AF925" i="3"/>
  <c r="AE926" i="3" s="1"/>
  <c r="AG925" i="3"/>
  <c r="AH925" i="3" s="1"/>
  <c r="U549" i="3"/>
  <c r="W548" i="3"/>
  <c r="X548" i="3" s="1"/>
  <c r="Z548" i="3"/>
  <c r="AK699" i="3" l="1"/>
  <c r="AN699" i="3"/>
  <c r="AO699" i="3"/>
  <c r="AF926" i="3"/>
  <c r="AE927" i="3" s="1"/>
  <c r="V549" i="3"/>
  <c r="Y549" i="3"/>
  <c r="Z549" i="3"/>
  <c r="AJ700" i="3" l="1"/>
  <c r="AL699" i="3"/>
  <c r="AM699" i="3" s="1"/>
  <c r="AF927" i="3"/>
  <c r="AE928" i="3" s="1"/>
  <c r="AG927" i="3"/>
  <c r="AH927" i="3" s="1"/>
  <c r="AG926" i="3"/>
  <c r="AH926" i="3" s="1"/>
  <c r="W549" i="3"/>
  <c r="X549" i="3" s="1"/>
  <c r="U550" i="3"/>
  <c r="AK700" i="3" l="1"/>
  <c r="AF928" i="3"/>
  <c r="AE929" i="3" s="1"/>
  <c r="AG928" i="3"/>
  <c r="AH928" i="3" s="1"/>
  <c r="V550" i="3"/>
  <c r="Y550" i="3"/>
  <c r="Z550" i="3"/>
  <c r="AL700" i="3" l="1"/>
  <c r="AM700" i="3" s="1"/>
  <c r="AJ701" i="3"/>
  <c r="AO700" i="3"/>
  <c r="AN700" i="3"/>
  <c r="AF929" i="3"/>
  <c r="AE930" i="3" s="1"/>
  <c r="U551" i="3"/>
  <c r="W550" i="3"/>
  <c r="X550" i="3" s="1"/>
  <c r="AK701" i="3" l="1"/>
  <c r="AN701" i="3"/>
  <c r="AF930" i="3"/>
  <c r="AE931" i="3" s="1"/>
  <c r="AG930" i="3"/>
  <c r="AH930" i="3" s="1"/>
  <c r="AG929" i="3"/>
  <c r="AH929" i="3" s="1"/>
  <c r="V551" i="3"/>
  <c r="Z551" i="3"/>
  <c r="Y551" i="3"/>
  <c r="AJ702" i="3" l="1"/>
  <c r="AL701" i="3"/>
  <c r="AM701" i="3" s="1"/>
  <c r="AO701" i="3"/>
  <c r="AF931" i="3"/>
  <c r="AE932" i="3" s="1"/>
  <c r="AG931" i="3"/>
  <c r="AH931" i="3" s="1"/>
  <c r="U552" i="3"/>
  <c r="W551" i="3"/>
  <c r="X551" i="3" s="1"/>
  <c r="AK702" i="3" l="1"/>
  <c r="AN702" i="3"/>
  <c r="AO702" i="3"/>
  <c r="AF932" i="3"/>
  <c r="AE933" i="3" s="1"/>
  <c r="V552" i="3"/>
  <c r="Z552" i="3"/>
  <c r="Y552" i="3"/>
  <c r="AL702" i="3" l="1"/>
  <c r="AM702" i="3" s="1"/>
  <c r="AJ703" i="3"/>
  <c r="AF933" i="3"/>
  <c r="AE934" i="3" s="1"/>
  <c r="AG932" i="3"/>
  <c r="AH932" i="3" s="1"/>
  <c r="U553" i="3"/>
  <c r="W552" i="3"/>
  <c r="X552" i="3" s="1"/>
  <c r="AK703" i="3" l="1"/>
  <c r="AO703" i="3"/>
  <c r="AN703" i="3"/>
  <c r="AF934" i="3"/>
  <c r="AE935" i="3" s="1"/>
  <c r="AG933" i="3"/>
  <c r="AH933" i="3" s="1"/>
  <c r="V553" i="3"/>
  <c r="AJ704" i="3" l="1"/>
  <c r="AL703" i="3"/>
  <c r="AM703" i="3" s="1"/>
  <c r="AF935" i="3"/>
  <c r="AE936" i="3" s="1"/>
  <c r="AG935" i="3"/>
  <c r="AH935" i="3" s="1"/>
  <c r="AG934" i="3"/>
  <c r="AH934" i="3" s="1"/>
  <c r="U554" i="3"/>
  <c r="W553" i="3"/>
  <c r="X553" i="3" s="1"/>
  <c r="Y553" i="3"/>
  <c r="Z553" i="3"/>
  <c r="AK704" i="3" l="1"/>
  <c r="AN704" i="3"/>
  <c r="AO704" i="3"/>
  <c r="AF936" i="3"/>
  <c r="AE937" i="3" s="1"/>
  <c r="AG936" i="3"/>
  <c r="AH936" i="3" s="1"/>
  <c r="V554" i="3"/>
  <c r="AJ705" i="3" l="1"/>
  <c r="AL704" i="3"/>
  <c r="AM704" i="3" s="1"/>
  <c r="AF937" i="3"/>
  <c r="AE938" i="3" s="1"/>
  <c r="W554" i="3"/>
  <c r="X554" i="3" s="1"/>
  <c r="U555" i="3"/>
  <c r="Z554" i="3"/>
  <c r="Y554" i="3"/>
  <c r="AK705" i="3" l="1"/>
  <c r="AF938" i="3"/>
  <c r="AE939" i="3" s="1"/>
  <c r="AG938" i="3"/>
  <c r="AH938" i="3" s="1"/>
  <c r="AG937" i="3"/>
  <c r="AH937" i="3" s="1"/>
  <c r="V555" i="3"/>
  <c r="Z555" i="3"/>
  <c r="Y555" i="3"/>
  <c r="AL705" i="3" l="1"/>
  <c r="AM705" i="3" s="1"/>
  <c r="AJ706" i="3"/>
  <c r="AO705" i="3"/>
  <c r="AN705" i="3"/>
  <c r="AF939" i="3"/>
  <c r="AE940" i="3" s="1"/>
  <c r="AG939" i="3"/>
  <c r="AH939" i="3" s="1"/>
  <c r="W555" i="3"/>
  <c r="X555" i="3" s="1"/>
  <c r="U556" i="3"/>
  <c r="AK706" i="3" l="1"/>
  <c r="AO706" i="3"/>
  <c r="AF940" i="3"/>
  <c r="AE941" i="3" s="1"/>
  <c r="AG940" i="3"/>
  <c r="AH940" i="3" s="1"/>
  <c r="V556" i="3"/>
  <c r="Y556" i="3"/>
  <c r="Z556" i="3"/>
  <c r="AJ707" i="3" l="1"/>
  <c r="AL706" i="3"/>
  <c r="AM706" i="3" s="1"/>
  <c r="AN706" i="3"/>
  <c r="AF941" i="3"/>
  <c r="AE942" i="3" s="1"/>
  <c r="AG941" i="3"/>
  <c r="AH941" i="3" s="1"/>
  <c r="W556" i="3"/>
  <c r="X556" i="3" s="1"/>
  <c r="U557" i="3"/>
  <c r="AK707" i="3" l="1"/>
  <c r="AN707" i="3"/>
  <c r="AO707" i="3"/>
  <c r="AF942" i="3"/>
  <c r="AE943" i="3" s="1"/>
  <c r="V557" i="3"/>
  <c r="Y557" i="3"/>
  <c r="Z557" i="3"/>
  <c r="AL707" i="3" l="1"/>
  <c r="AM707" i="3" s="1"/>
  <c r="AJ708" i="3"/>
  <c r="AF943" i="3"/>
  <c r="AE944" i="3" s="1"/>
  <c r="AG943" i="3"/>
  <c r="AH943" i="3" s="1"/>
  <c r="AG942" i="3"/>
  <c r="AH942" i="3" s="1"/>
  <c r="U558" i="3"/>
  <c r="W557" i="3"/>
  <c r="X557" i="3" s="1"/>
  <c r="AK708" i="3" l="1"/>
  <c r="AO708" i="3"/>
  <c r="AG944" i="3"/>
  <c r="AH944" i="3" s="1"/>
  <c r="AF944" i="3"/>
  <c r="AE945" i="3" s="1"/>
  <c r="V558" i="3"/>
  <c r="Y558" i="3"/>
  <c r="Z558" i="3"/>
  <c r="AJ709" i="3" l="1"/>
  <c r="AL708" i="3"/>
  <c r="AM708" i="3" s="1"/>
  <c r="AN708" i="3"/>
  <c r="AF945" i="3"/>
  <c r="AE946" i="3" s="1"/>
  <c r="AG945" i="3"/>
  <c r="AH945" i="3" s="1"/>
  <c r="U559" i="3"/>
  <c r="W558" i="3"/>
  <c r="X558" i="3" s="1"/>
  <c r="AK709" i="3" l="1"/>
  <c r="AN709" i="3"/>
  <c r="AO709" i="3"/>
  <c r="AF946" i="3"/>
  <c r="AE947" i="3" s="1"/>
  <c r="V559" i="3"/>
  <c r="AL709" i="3" l="1"/>
  <c r="AM709" i="3" s="1"/>
  <c r="AJ710" i="3"/>
  <c r="AF947" i="3"/>
  <c r="AE948" i="3" s="1"/>
  <c r="AG947" i="3"/>
  <c r="AH947" i="3" s="1"/>
  <c r="AG946" i="3"/>
  <c r="AH946" i="3" s="1"/>
  <c r="W559" i="3"/>
  <c r="X559" i="3" s="1"/>
  <c r="U560" i="3"/>
  <c r="Z559" i="3"/>
  <c r="Y559" i="3"/>
  <c r="AK710" i="3" l="1"/>
  <c r="AF948" i="3"/>
  <c r="AE949" i="3" s="1"/>
  <c r="AG948" i="3"/>
  <c r="AH948" i="3" s="1"/>
  <c r="V560" i="3"/>
  <c r="AJ711" i="3" l="1"/>
  <c r="AL710" i="3"/>
  <c r="AM710" i="3" s="1"/>
  <c r="AO710" i="3"/>
  <c r="AN710" i="3"/>
  <c r="AF949" i="3"/>
  <c r="AE950" i="3" s="1"/>
  <c r="AG949" i="3"/>
  <c r="AH949" i="3" s="1"/>
  <c r="U561" i="3"/>
  <c r="W560" i="3"/>
  <c r="X560" i="3" s="1"/>
  <c r="Z560" i="3"/>
  <c r="Y560" i="3"/>
  <c r="AK711" i="3" l="1"/>
  <c r="AF950" i="3"/>
  <c r="AE951" i="3" s="1"/>
  <c r="AG950" i="3"/>
  <c r="AH950" i="3" s="1"/>
  <c r="V561" i="3"/>
  <c r="Y561" i="3"/>
  <c r="Z561" i="3"/>
  <c r="AL711" i="3" l="1"/>
  <c r="AM711" i="3" s="1"/>
  <c r="AJ712" i="3"/>
  <c r="AO711" i="3"/>
  <c r="AN711" i="3"/>
  <c r="AF951" i="3"/>
  <c r="AE952" i="3" s="1"/>
  <c r="AG951" i="3"/>
  <c r="AH951" i="3" s="1"/>
  <c r="W561" i="3"/>
  <c r="X561" i="3" s="1"/>
  <c r="U562" i="3"/>
  <c r="AK712" i="3" l="1"/>
  <c r="AN712" i="3"/>
  <c r="AF952" i="3"/>
  <c r="AE953" i="3" s="1"/>
  <c r="AG952" i="3"/>
  <c r="AH952" i="3" s="1"/>
  <c r="V562" i="3"/>
  <c r="Z562" i="3" s="1"/>
  <c r="AL712" i="3" l="1"/>
  <c r="AM712" i="3" s="1"/>
  <c r="AJ713" i="3"/>
  <c r="AO712" i="3"/>
  <c r="AF953" i="3"/>
  <c r="AE954" i="3" s="1"/>
  <c r="U563" i="3"/>
  <c r="W562" i="3"/>
  <c r="X562" i="3" s="1"/>
  <c r="Y562" i="3"/>
  <c r="AK713" i="3" l="1"/>
  <c r="AN713" i="3"/>
  <c r="AF954" i="3"/>
  <c r="AE955" i="3" s="1"/>
  <c r="AG954" i="3"/>
  <c r="AH954" i="3" s="1"/>
  <c r="AG953" i="3"/>
  <c r="AH953" i="3" s="1"/>
  <c r="V563" i="3"/>
  <c r="Y563" i="3"/>
  <c r="Z563" i="3"/>
  <c r="AJ714" i="3" l="1"/>
  <c r="AL713" i="3"/>
  <c r="AM713" i="3" s="1"/>
  <c r="AO713" i="3"/>
  <c r="AF955" i="3"/>
  <c r="AE956" i="3" s="1"/>
  <c r="AG955" i="3"/>
  <c r="AH955" i="3" s="1"/>
  <c r="W563" i="3"/>
  <c r="X563" i="3" s="1"/>
  <c r="U564" i="3"/>
  <c r="AK714" i="3" l="1"/>
  <c r="AO714" i="3" s="1"/>
  <c r="AF956" i="3"/>
  <c r="AE957" i="3" s="1"/>
  <c r="V564" i="3"/>
  <c r="AN714" i="3" l="1"/>
  <c r="AJ715" i="3"/>
  <c r="AL714" i="3"/>
  <c r="AM714" i="3" s="1"/>
  <c r="AF957" i="3"/>
  <c r="AE958" i="3" s="1"/>
  <c r="AG956" i="3"/>
  <c r="AH956" i="3" s="1"/>
  <c r="U565" i="3"/>
  <c r="W564" i="3"/>
  <c r="X564" i="3" s="1"/>
  <c r="Z564" i="3"/>
  <c r="Y564" i="3"/>
  <c r="AK715" i="3" l="1"/>
  <c r="AF958" i="3"/>
  <c r="AE959" i="3" s="1"/>
  <c r="AG957" i="3"/>
  <c r="AH957" i="3" s="1"/>
  <c r="V565" i="3"/>
  <c r="Y565" i="3"/>
  <c r="Z565" i="3"/>
  <c r="AJ716" i="3" l="1"/>
  <c r="AL715" i="3"/>
  <c r="AM715" i="3" s="1"/>
  <c r="AO715" i="3"/>
  <c r="AN715" i="3"/>
  <c r="AF959" i="3"/>
  <c r="AE960" i="3" s="1"/>
  <c r="AG959" i="3"/>
  <c r="AH959" i="3" s="1"/>
  <c r="AG958" i="3"/>
  <c r="AH958" i="3" s="1"/>
  <c r="W565" i="3"/>
  <c r="X565" i="3" s="1"/>
  <c r="U566" i="3"/>
  <c r="AK716" i="3" l="1"/>
  <c r="AF960" i="3"/>
  <c r="AE961" i="3" s="1"/>
  <c r="AG960" i="3"/>
  <c r="AH960" i="3" s="1"/>
  <c r="V566" i="3"/>
  <c r="AJ717" i="3" l="1"/>
  <c r="AL716" i="3"/>
  <c r="AM716" i="3" s="1"/>
  <c r="AN716" i="3"/>
  <c r="AO716" i="3"/>
  <c r="AF961" i="3"/>
  <c r="AE962" i="3" s="1"/>
  <c r="AG961" i="3"/>
  <c r="AH961" i="3" s="1"/>
  <c r="W566" i="3"/>
  <c r="X566" i="3" s="1"/>
  <c r="U567" i="3"/>
  <c r="Y566" i="3"/>
  <c r="Z566" i="3"/>
  <c r="AK717" i="3" l="1"/>
  <c r="AN717" i="3"/>
  <c r="AO717" i="3"/>
  <c r="AF962" i="3"/>
  <c r="AE963" i="3" s="1"/>
  <c r="AG962" i="3"/>
  <c r="AH962" i="3" s="1"/>
  <c r="V567" i="3"/>
  <c r="Y567" i="3"/>
  <c r="Z567" i="3"/>
  <c r="AL717" i="3" l="1"/>
  <c r="AM717" i="3" s="1"/>
  <c r="AJ718" i="3"/>
  <c r="AF963" i="3"/>
  <c r="AE964" i="3" s="1"/>
  <c r="AG963" i="3"/>
  <c r="AH963" i="3" s="1"/>
  <c r="U568" i="3"/>
  <c r="W567" i="3"/>
  <c r="X567" i="3" s="1"/>
  <c r="AK718" i="3" l="1"/>
  <c r="AN718" i="3"/>
  <c r="AF964" i="3"/>
  <c r="AE965" i="3" s="1"/>
  <c r="V568" i="3"/>
  <c r="Z568" i="3"/>
  <c r="Y568" i="3"/>
  <c r="AJ719" i="3" l="1"/>
  <c r="AL718" i="3"/>
  <c r="AM718" i="3" s="1"/>
  <c r="AO718" i="3"/>
  <c r="AF965" i="3"/>
  <c r="AE966" i="3" s="1"/>
  <c r="AG965" i="3"/>
  <c r="AH965" i="3" s="1"/>
  <c r="AG964" i="3"/>
  <c r="AH964" i="3" s="1"/>
  <c r="U569" i="3"/>
  <c r="W568" i="3"/>
  <c r="X568" i="3" s="1"/>
  <c r="AK719" i="3" l="1"/>
  <c r="AN719" i="3"/>
  <c r="AO719" i="3"/>
  <c r="AF966" i="3"/>
  <c r="AE967" i="3" s="1"/>
  <c r="AG966" i="3"/>
  <c r="AH966" i="3" s="1"/>
  <c r="V569" i="3"/>
  <c r="AJ720" i="3" l="1"/>
  <c r="AL719" i="3"/>
  <c r="AM719" i="3" s="1"/>
  <c r="AF967" i="3"/>
  <c r="AE968" i="3" s="1"/>
  <c r="AG967" i="3"/>
  <c r="AH967" i="3" s="1"/>
  <c r="W569" i="3"/>
  <c r="X569" i="3" s="1"/>
  <c r="U570" i="3"/>
  <c r="Z569" i="3"/>
  <c r="Y569" i="3"/>
  <c r="AK720" i="3" l="1"/>
  <c r="AF968" i="3"/>
  <c r="AE969" i="3" s="1"/>
  <c r="V570" i="3"/>
  <c r="Y570" i="3"/>
  <c r="AJ721" i="3" l="1"/>
  <c r="AL720" i="3"/>
  <c r="AM720" i="3" s="1"/>
  <c r="AO720" i="3"/>
  <c r="AN720" i="3"/>
  <c r="AF969" i="3"/>
  <c r="AE970" i="3" s="1"/>
  <c r="AG968" i="3"/>
  <c r="AH968" i="3" s="1"/>
  <c r="U571" i="3"/>
  <c r="W570" i="3"/>
  <c r="X570" i="3" s="1"/>
  <c r="Z570" i="3"/>
  <c r="AK721" i="3" l="1"/>
  <c r="AO721" i="3" s="1"/>
  <c r="AF970" i="3"/>
  <c r="AE971" i="3" s="1"/>
  <c r="AG969" i="3"/>
  <c r="AH969" i="3" s="1"/>
  <c r="V571" i="3"/>
  <c r="AJ722" i="3" l="1"/>
  <c r="AL721" i="3"/>
  <c r="AM721" i="3" s="1"/>
  <c r="AN721" i="3"/>
  <c r="AG970" i="3"/>
  <c r="AH970" i="3" s="1"/>
  <c r="AF971" i="3"/>
  <c r="AE972" i="3" s="1"/>
  <c r="W571" i="3"/>
  <c r="X571" i="3" s="1"/>
  <c r="U572" i="3"/>
  <c r="Z571" i="3"/>
  <c r="Y571" i="3"/>
  <c r="AK722" i="3" l="1"/>
  <c r="AF972" i="3"/>
  <c r="AE973" i="3" s="1"/>
  <c r="AG972" i="3"/>
  <c r="AH972" i="3" s="1"/>
  <c r="AG971" i="3"/>
  <c r="AH971" i="3" s="1"/>
  <c r="V572" i="3"/>
  <c r="Y572" i="3" s="1"/>
  <c r="AL722" i="3" l="1"/>
  <c r="AM722" i="3" s="1"/>
  <c r="AJ723" i="3"/>
  <c r="AO722" i="3"/>
  <c r="AN722" i="3"/>
  <c r="AF973" i="3"/>
  <c r="AE974" i="3" s="1"/>
  <c r="U573" i="3"/>
  <c r="W572" i="3"/>
  <c r="X572" i="3" s="1"/>
  <c r="Z572" i="3"/>
  <c r="AK723" i="3" l="1"/>
  <c r="AF974" i="3"/>
  <c r="AE975" i="3" s="1"/>
  <c r="AG974" i="3"/>
  <c r="AH974" i="3" s="1"/>
  <c r="AG973" i="3"/>
  <c r="AH973" i="3" s="1"/>
  <c r="V573" i="3"/>
  <c r="Y573" i="3"/>
  <c r="Z573" i="3"/>
  <c r="AJ724" i="3" l="1"/>
  <c r="AL723" i="3"/>
  <c r="AM723" i="3" s="1"/>
  <c r="AN723" i="3"/>
  <c r="AO723" i="3"/>
  <c r="AF975" i="3"/>
  <c r="AE976" i="3" s="1"/>
  <c r="W573" i="3"/>
  <c r="X573" i="3" s="1"/>
  <c r="U574" i="3"/>
  <c r="AK724" i="3" l="1"/>
  <c r="AO724" i="3"/>
  <c r="AG975" i="3"/>
  <c r="AH975" i="3" s="1"/>
  <c r="AF976" i="3"/>
  <c r="AE977" i="3" s="1"/>
  <c r="V574" i="3"/>
  <c r="AL724" i="3" l="1"/>
  <c r="AM724" i="3" s="1"/>
  <c r="AJ725" i="3"/>
  <c r="AN724" i="3"/>
  <c r="AF977" i="3"/>
  <c r="AE978" i="3" s="1"/>
  <c r="AG977" i="3"/>
  <c r="AH977" i="3" s="1"/>
  <c r="AG976" i="3"/>
  <c r="AH976" i="3" s="1"/>
  <c r="W574" i="3"/>
  <c r="X574" i="3" s="1"/>
  <c r="U575" i="3"/>
  <c r="Z574" i="3"/>
  <c r="Y574" i="3"/>
  <c r="AK725" i="3" l="1"/>
  <c r="AF978" i="3"/>
  <c r="AE979" i="3" s="1"/>
  <c r="AG978" i="3"/>
  <c r="AH978" i="3" s="1"/>
  <c r="V575" i="3"/>
  <c r="Y575" i="3"/>
  <c r="Z575" i="3"/>
  <c r="AJ726" i="3" l="1"/>
  <c r="AL725" i="3"/>
  <c r="AM725" i="3" s="1"/>
  <c r="AO725" i="3"/>
  <c r="AN725" i="3"/>
  <c r="AF979" i="3"/>
  <c r="AE980" i="3" s="1"/>
  <c r="W575" i="3"/>
  <c r="X575" i="3" s="1"/>
  <c r="U576" i="3"/>
  <c r="AK726" i="3" l="1"/>
  <c r="AN726" i="3"/>
  <c r="AO726" i="3"/>
  <c r="AF980" i="3"/>
  <c r="AE981" i="3" s="1"/>
  <c r="AG980" i="3"/>
  <c r="AH980" i="3" s="1"/>
  <c r="AG979" i="3"/>
  <c r="AH979" i="3" s="1"/>
  <c r="V576" i="3"/>
  <c r="AL726" i="3" l="1"/>
  <c r="AM726" i="3" s="1"/>
  <c r="AJ727" i="3"/>
  <c r="AF981" i="3"/>
  <c r="AE982" i="3" s="1"/>
  <c r="AG981" i="3"/>
  <c r="AH981" i="3" s="1"/>
  <c r="W576" i="3"/>
  <c r="X576" i="3" s="1"/>
  <c r="U577" i="3"/>
  <c r="Z576" i="3"/>
  <c r="Y576" i="3"/>
  <c r="AK727" i="3" l="1"/>
  <c r="AN727" i="3"/>
  <c r="AO727" i="3"/>
  <c r="AF982" i="3"/>
  <c r="AE983" i="3" s="1"/>
  <c r="V577" i="3"/>
  <c r="Y577" i="3"/>
  <c r="Z577" i="3"/>
  <c r="AL727" i="3" l="1"/>
  <c r="AM727" i="3" s="1"/>
  <c r="AJ728" i="3"/>
  <c r="AF983" i="3"/>
  <c r="AE984" i="3" s="1"/>
  <c r="AG982" i="3"/>
  <c r="AH982" i="3" s="1"/>
  <c r="U578" i="3"/>
  <c r="W577" i="3"/>
  <c r="X577" i="3" s="1"/>
  <c r="AK728" i="3" l="1"/>
  <c r="AN728" i="3"/>
  <c r="AO728" i="3"/>
  <c r="AF984" i="3"/>
  <c r="AE985" i="3" s="1"/>
  <c r="AG984" i="3"/>
  <c r="AH984" i="3" s="1"/>
  <c r="AG983" i="3"/>
  <c r="AH983" i="3" s="1"/>
  <c r="V578" i="3"/>
  <c r="Y578" i="3"/>
  <c r="Z578" i="3"/>
  <c r="AJ729" i="3" l="1"/>
  <c r="AL728" i="3"/>
  <c r="AM728" i="3" s="1"/>
  <c r="AF985" i="3"/>
  <c r="AE986" i="3" s="1"/>
  <c r="AG985" i="3"/>
  <c r="AH985" i="3" s="1"/>
  <c r="W578" i="3"/>
  <c r="X578" i="3" s="1"/>
  <c r="U579" i="3"/>
  <c r="AK729" i="3" l="1"/>
  <c r="AO729" i="3"/>
  <c r="AN729" i="3"/>
  <c r="AF986" i="3"/>
  <c r="AE987" i="3" s="1"/>
  <c r="AG986" i="3"/>
  <c r="AH986" i="3" s="1"/>
  <c r="V579" i="3"/>
  <c r="AJ730" i="3" l="1"/>
  <c r="AL729" i="3"/>
  <c r="AM729" i="3" s="1"/>
  <c r="AF987" i="3"/>
  <c r="AE988" i="3" s="1"/>
  <c r="W579" i="3"/>
  <c r="X579" i="3" s="1"/>
  <c r="U580" i="3"/>
  <c r="Z579" i="3"/>
  <c r="Y579" i="3"/>
  <c r="AK730" i="3" l="1"/>
  <c r="AO730" i="3"/>
  <c r="AF988" i="3"/>
  <c r="AE989" i="3" s="1"/>
  <c r="AG988" i="3"/>
  <c r="AH988" i="3" s="1"/>
  <c r="AG987" i="3"/>
  <c r="AH987" i="3" s="1"/>
  <c r="V580" i="3"/>
  <c r="Z580" i="3" s="1"/>
  <c r="Y580" i="3"/>
  <c r="AJ731" i="3" l="1"/>
  <c r="AL730" i="3"/>
  <c r="AM730" i="3" s="1"/>
  <c r="AN730" i="3"/>
  <c r="AF989" i="3"/>
  <c r="AE990" i="3" s="1"/>
  <c r="W580" i="3"/>
  <c r="X580" i="3" s="1"/>
  <c r="U581" i="3"/>
  <c r="AK731" i="3" l="1"/>
  <c r="AF990" i="3"/>
  <c r="AE991" i="3" s="1"/>
  <c r="AG990" i="3"/>
  <c r="AH990" i="3" s="1"/>
  <c r="AG989" i="3"/>
  <c r="AH989" i="3" s="1"/>
  <c r="V581" i="3"/>
  <c r="Y581" i="3"/>
  <c r="Z581" i="3"/>
  <c r="AJ732" i="3" l="1"/>
  <c r="AL731" i="3"/>
  <c r="AM731" i="3" s="1"/>
  <c r="AN731" i="3"/>
  <c r="AO731" i="3"/>
  <c r="AF991" i="3"/>
  <c r="AE992" i="3" s="1"/>
  <c r="AG991" i="3"/>
  <c r="AH991" i="3" s="1"/>
  <c r="W581" i="3"/>
  <c r="X581" i="3" s="1"/>
  <c r="U582" i="3"/>
  <c r="AK732" i="3" l="1"/>
  <c r="AN732" i="3" s="1"/>
  <c r="AO732" i="3"/>
  <c r="AF992" i="3"/>
  <c r="AE993" i="3" s="1"/>
  <c r="AG992" i="3"/>
  <c r="AH992" i="3" s="1"/>
  <c r="V582" i="3"/>
  <c r="Y582" i="3"/>
  <c r="Z582" i="3"/>
  <c r="AL732" i="3" l="1"/>
  <c r="AM732" i="3" s="1"/>
  <c r="AJ733" i="3"/>
  <c r="AF993" i="3"/>
  <c r="AE994" i="3" s="1"/>
  <c r="U583" i="3"/>
  <c r="W582" i="3"/>
  <c r="X582" i="3" s="1"/>
  <c r="AK733" i="3" l="1"/>
  <c r="AO733" i="3" s="1"/>
  <c r="AF994" i="3"/>
  <c r="AE995" i="3" s="1"/>
  <c r="AG993" i="3"/>
  <c r="AH993" i="3" s="1"/>
  <c r="V583" i="3"/>
  <c r="Y583" i="3"/>
  <c r="Z583" i="3"/>
  <c r="AJ734" i="3" l="1"/>
  <c r="AL733" i="3"/>
  <c r="AM733" i="3" s="1"/>
  <c r="AN733" i="3"/>
  <c r="AF995" i="3"/>
  <c r="AE996" i="3" s="1"/>
  <c r="AG995" i="3"/>
  <c r="AH995" i="3" s="1"/>
  <c r="AG994" i="3"/>
  <c r="AH994" i="3" s="1"/>
  <c r="U584" i="3"/>
  <c r="W583" i="3"/>
  <c r="X583" i="3" s="1"/>
  <c r="AK734" i="3" l="1"/>
  <c r="AN734" i="3"/>
  <c r="AO734" i="3"/>
  <c r="AF996" i="3"/>
  <c r="AE997" i="3" s="1"/>
  <c r="AG996" i="3"/>
  <c r="AH996" i="3" s="1"/>
  <c r="V584" i="3"/>
  <c r="AJ735" i="3" l="1"/>
  <c r="AL734" i="3"/>
  <c r="AM734" i="3" s="1"/>
  <c r="AF997" i="3"/>
  <c r="AE998" i="3" s="1"/>
  <c r="AG997" i="3"/>
  <c r="AH997" i="3" s="1"/>
  <c r="W584" i="3"/>
  <c r="X584" i="3" s="1"/>
  <c r="U585" i="3"/>
  <c r="Z584" i="3"/>
  <c r="Y584" i="3"/>
  <c r="AK735" i="3" l="1"/>
  <c r="AF998" i="3"/>
  <c r="AE999" i="3" s="1"/>
  <c r="V585" i="3"/>
  <c r="Z585" i="3"/>
  <c r="AL735" i="3" l="1"/>
  <c r="AM735" i="3" s="1"/>
  <c r="AJ736" i="3"/>
  <c r="AO735" i="3"/>
  <c r="AN735" i="3"/>
  <c r="AF999" i="3"/>
  <c r="AE1000" i="3" s="1"/>
  <c r="AG999" i="3"/>
  <c r="AH999" i="3" s="1"/>
  <c r="AG998" i="3"/>
  <c r="AH998" i="3" s="1"/>
  <c r="U586" i="3"/>
  <c r="W585" i="3"/>
  <c r="X585" i="3" s="1"/>
  <c r="Y585" i="3"/>
  <c r="AK736" i="3" l="1"/>
  <c r="AN736" i="3"/>
  <c r="AO736" i="3"/>
  <c r="AF1000" i="3"/>
  <c r="AG1000" i="3"/>
  <c r="AH1000" i="3" s="1"/>
  <c r="R2" i="10" s="1" a="1"/>
  <c r="R2" i="10" s="1"/>
  <c r="V586" i="3"/>
  <c r="Y586" i="3"/>
  <c r="Z586" i="3"/>
  <c r="AL736" i="3" l="1"/>
  <c r="AM736" i="3" s="1"/>
  <c r="AJ737" i="3"/>
  <c r="BV9" i="3" a="1"/>
  <c r="BV9" i="3" s="1"/>
  <c r="P2" i="10" a="1"/>
  <c r="P2" i="10" s="1"/>
  <c r="BV8" i="3" a="1"/>
  <c r="BV8" i="3" s="1"/>
  <c r="O2" i="10" a="1"/>
  <c r="O2" i="10" s="1"/>
  <c r="W586" i="3"/>
  <c r="X586" i="3" s="1"/>
  <c r="U587" i="3"/>
  <c r="AK737" i="3" l="1"/>
  <c r="BS8" i="3" a="1"/>
  <c r="BS8" i="3" s="1"/>
  <c r="BS9" i="3" a="1"/>
  <c r="BS9" i="3" s="1"/>
  <c r="BT9" i="3" a="1"/>
  <c r="BT9" i="3" s="1"/>
  <c r="BX9" i="3" s="1"/>
  <c r="BT8" i="3" a="1"/>
  <c r="BT8" i="3" s="1"/>
  <c r="V587" i="3"/>
  <c r="AL737" i="3" l="1"/>
  <c r="AM737" i="3" s="1"/>
  <c r="AJ738" i="3"/>
  <c r="AO737" i="3"/>
  <c r="AN737" i="3"/>
  <c r="BX8" i="3"/>
  <c r="U588" i="3"/>
  <c r="W587" i="3"/>
  <c r="X587" i="3" s="1"/>
  <c r="Z587" i="3"/>
  <c r="Y587" i="3"/>
  <c r="AK738" i="3" l="1"/>
  <c r="AN738" i="3"/>
  <c r="AO738" i="3"/>
  <c r="V588" i="3"/>
  <c r="Y588" i="3"/>
  <c r="Z588" i="3"/>
  <c r="AJ739" i="3" l="1"/>
  <c r="AL738" i="3"/>
  <c r="AM738" i="3" s="1"/>
  <c r="W588" i="3"/>
  <c r="X588" i="3" s="1"/>
  <c r="U589" i="3"/>
  <c r="AK739" i="3" l="1"/>
  <c r="AN739" i="3"/>
  <c r="AO739" i="3"/>
  <c r="V589" i="3"/>
  <c r="AL739" i="3" l="1"/>
  <c r="AM739" i="3" s="1"/>
  <c r="AJ740" i="3"/>
  <c r="U590" i="3"/>
  <c r="W589" i="3"/>
  <c r="X589" i="3" s="1"/>
  <c r="Z589" i="3"/>
  <c r="Y589" i="3"/>
  <c r="AK740" i="3" l="1"/>
  <c r="AO740" i="3"/>
  <c r="V590" i="3"/>
  <c r="AL740" i="3" l="1"/>
  <c r="AM740" i="3" s="1"/>
  <c r="AJ741" i="3"/>
  <c r="AN740" i="3"/>
  <c r="W590" i="3"/>
  <c r="X590" i="3" s="1"/>
  <c r="U591" i="3"/>
  <c r="Z590" i="3"/>
  <c r="Y590" i="3"/>
  <c r="AK741" i="3" l="1"/>
  <c r="AN741" i="3"/>
  <c r="AO741" i="3"/>
  <c r="V591" i="3"/>
  <c r="Y591" i="3"/>
  <c r="AL741" i="3" l="1"/>
  <c r="AM741" i="3" s="1"/>
  <c r="AJ742" i="3"/>
  <c r="W591" i="3"/>
  <c r="X591" i="3" s="1"/>
  <c r="U592" i="3"/>
  <c r="Z591" i="3"/>
  <c r="AK742" i="3" l="1"/>
  <c r="V592" i="3"/>
  <c r="AL742" i="3" l="1"/>
  <c r="AM742" i="3" s="1"/>
  <c r="AJ743" i="3"/>
  <c r="AO742" i="3"/>
  <c r="AN742" i="3"/>
  <c r="U593" i="3"/>
  <c r="W592" i="3"/>
  <c r="X592" i="3" s="1"/>
  <c r="Y592" i="3"/>
  <c r="Z592" i="3"/>
  <c r="AK743" i="3" l="1"/>
  <c r="AO743" i="3"/>
  <c r="AN743" i="3"/>
  <c r="V593" i="3"/>
  <c r="Z593" i="3"/>
  <c r="Y593" i="3"/>
  <c r="AJ744" i="3" l="1"/>
  <c r="AL743" i="3"/>
  <c r="AM743" i="3" s="1"/>
  <c r="U594" i="3"/>
  <c r="W593" i="3"/>
  <c r="X593" i="3" s="1"/>
  <c r="AK744" i="3" l="1"/>
  <c r="V594" i="3"/>
  <c r="AJ745" i="3" l="1"/>
  <c r="AL744" i="3"/>
  <c r="AM744" i="3" s="1"/>
  <c r="AN744" i="3"/>
  <c r="AO744" i="3"/>
  <c r="U595" i="3"/>
  <c r="W594" i="3"/>
  <c r="X594" i="3" s="1"/>
  <c r="Z594" i="3"/>
  <c r="Y594" i="3"/>
  <c r="AK745" i="3" l="1"/>
  <c r="AO745" i="3"/>
  <c r="V595" i="3"/>
  <c r="AL745" i="3" l="1"/>
  <c r="AM745" i="3" s="1"/>
  <c r="AJ746" i="3"/>
  <c r="AN745" i="3"/>
  <c r="U596" i="3"/>
  <c r="W595" i="3"/>
  <c r="X595" i="3" s="1"/>
  <c r="Y595" i="3"/>
  <c r="Z595" i="3"/>
  <c r="AK746" i="3" l="1"/>
  <c r="V596" i="3"/>
  <c r="Y596" i="3"/>
  <c r="Z596" i="3"/>
  <c r="AJ747" i="3" l="1"/>
  <c r="AL746" i="3"/>
  <c r="AM746" i="3" s="1"/>
  <c r="AO746" i="3"/>
  <c r="AN746" i="3"/>
  <c r="W596" i="3"/>
  <c r="X596" i="3" s="1"/>
  <c r="U597" i="3"/>
  <c r="AK747" i="3" l="1"/>
  <c r="AN747" i="3"/>
  <c r="AO747" i="3"/>
  <c r="V597" i="3"/>
  <c r="Y597" i="3"/>
  <c r="AL747" i="3" l="1"/>
  <c r="AM747" i="3" s="1"/>
  <c r="AJ748" i="3"/>
  <c r="U598" i="3"/>
  <c r="W597" i="3"/>
  <c r="X597" i="3" s="1"/>
  <c r="Z597" i="3"/>
  <c r="AK748" i="3" l="1"/>
  <c r="AN748" i="3"/>
  <c r="AO748" i="3"/>
  <c r="V598" i="3"/>
  <c r="Y598" i="3"/>
  <c r="Z598" i="3"/>
  <c r="AL748" i="3" l="1"/>
  <c r="AM748" i="3" s="1"/>
  <c r="AJ749" i="3"/>
  <c r="W598" i="3"/>
  <c r="X598" i="3" s="1"/>
  <c r="U599" i="3"/>
  <c r="AK749" i="3" l="1"/>
  <c r="AN749" i="3"/>
  <c r="AO749" i="3"/>
  <c r="V599" i="3"/>
  <c r="AJ750" i="3" l="1"/>
  <c r="AL749" i="3"/>
  <c r="AM749" i="3" s="1"/>
  <c r="W599" i="3"/>
  <c r="X599" i="3" s="1"/>
  <c r="U600" i="3"/>
  <c r="Z599" i="3"/>
  <c r="Y599" i="3"/>
  <c r="AK750" i="3" l="1"/>
  <c r="AN750" i="3"/>
  <c r="AO750" i="3"/>
  <c r="V600" i="3"/>
  <c r="Z600" i="3"/>
  <c r="Y600" i="3"/>
  <c r="AJ751" i="3" l="1"/>
  <c r="AL750" i="3"/>
  <c r="AM750" i="3" s="1"/>
  <c r="W600" i="3"/>
  <c r="X600" i="3" s="1"/>
  <c r="U601" i="3"/>
  <c r="AK751" i="3" l="1"/>
  <c r="V601" i="3"/>
  <c r="Y601" i="3"/>
  <c r="Z601" i="3"/>
  <c r="AL751" i="3" l="1"/>
  <c r="AM751" i="3" s="1"/>
  <c r="AJ752" i="3"/>
  <c r="AO751" i="3"/>
  <c r="AN751" i="3"/>
  <c r="W601" i="3"/>
  <c r="X601" i="3" s="1"/>
  <c r="U602" i="3"/>
  <c r="AK752" i="3" l="1"/>
  <c r="V602" i="3"/>
  <c r="Z602" i="3"/>
  <c r="Y602" i="3"/>
  <c r="AJ753" i="3" l="1"/>
  <c r="AL752" i="3"/>
  <c r="AM752" i="3" s="1"/>
  <c r="AO752" i="3"/>
  <c r="AN752" i="3"/>
  <c r="U603" i="3"/>
  <c r="W602" i="3"/>
  <c r="X602" i="3" s="1"/>
  <c r="AK753" i="3" l="1"/>
  <c r="AN753" i="3"/>
  <c r="AO753" i="3"/>
  <c r="V603" i="3"/>
  <c r="Y603" i="3"/>
  <c r="Z603" i="3"/>
  <c r="AL753" i="3" l="1"/>
  <c r="AM753" i="3" s="1"/>
  <c r="AJ754" i="3"/>
  <c r="U604" i="3"/>
  <c r="W603" i="3"/>
  <c r="X603" i="3" s="1"/>
  <c r="AK754" i="3" l="1"/>
  <c r="AN754" i="3"/>
  <c r="AO754" i="3"/>
  <c r="V604" i="3"/>
  <c r="AJ755" i="3" l="1"/>
  <c r="AL754" i="3"/>
  <c r="AM754" i="3" s="1"/>
  <c r="W604" i="3"/>
  <c r="X604" i="3" s="1"/>
  <c r="U605" i="3"/>
  <c r="Z604" i="3"/>
  <c r="Y604" i="3"/>
  <c r="AK755" i="3" l="1"/>
  <c r="AN755" i="3"/>
  <c r="AO755" i="3"/>
  <c r="V605" i="3"/>
  <c r="AJ756" i="3" l="1"/>
  <c r="AL755" i="3"/>
  <c r="AM755" i="3" s="1"/>
  <c r="U606" i="3"/>
  <c r="W605" i="3"/>
  <c r="X605" i="3" s="1"/>
  <c r="Y605" i="3"/>
  <c r="Z605" i="3"/>
  <c r="AK756" i="3" l="1"/>
  <c r="V606" i="3"/>
  <c r="Y606" i="3" s="1"/>
  <c r="Z606" i="3"/>
  <c r="AJ757" i="3" l="1"/>
  <c r="AL756" i="3"/>
  <c r="AM756" i="3" s="1"/>
  <c r="AO756" i="3"/>
  <c r="AN756" i="3"/>
  <c r="W606" i="3"/>
  <c r="X606" i="3" s="1"/>
  <c r="U607" i="3"/>
  <c r="AK757" i="3" l="1"/>
  <c r="V607" i="3"/>
  <c r="AJ758" i="3" l="1"/>
  <c r="AL757" i="3"/>
  <c r="AM757" i="3" s="1"/>
  <c r="AO757" i="3"/>
  <c r="AN757" i="3"/>
  <c r="U608" i="3"/>
  <c r="W607" i="3"/>
  <c r="X607" i="3" s="1"/>
  <c r="Z607" i="3"/>
  <c r="Y607" i="3"/>
  <c r="AK758" i="3" l="1"/>
  <c r="AN758" i="3"/>
  <c r="AO758" i="3"/>
  <c r="V608" i="3"/>
  <c r="Y608" i="3"/>
  <c r="Z608" i="3"/>
  <c r="AL758" i="3" l="1"/>
  <c r="AM758" i="3" s="1"/>
  <c r="AJ759" i="3"/>
  <c r="W608" i="3"/>
  <c r="X608" i="3" s="1"/>
  <c r="U609" i="3"/>
  <c r="AK759" i="3" l="1"/>
  <c r="V609" i="3"/>
  <c r="Z609" i="3"/>
  <c r="AJ760" i="3" l="1"/>
  <c r="AL759" i="3"/>
  <c r="AM759" i="3" s="1"/>
  <c r="AO759" i="3"/>
  <c r="AN759" i="3"/>
  <c r="U610" i="3"/>
  <c r="W609" i="3"/>
  <c r="X609" i="3" s="1"/>
  <c r="Y609" i="3"/>
  <c r="AK760" i="3" l="1"/>
  <c r="AO760" i="3"/>
  <c r="AN760" i="3"/>
  <c r="V610" i="3"/>
  <c r="Y610" i="3"/>
  <c r="Z610" i="3"/>
  <c r="AL760" i="3" l="1"/>
  <c r="AM760" i="3" s="1"/>
  <c r="AJ761" i="3"/>
  <c r="U611" i="3"/>
  <c r="W610" i="3"/>
  <c r="X610" i="3" s="1"/>
  <c r="AK761" i="3" l="1"/>
  <c r="V611" i="3"/>
  <c r="AJ762" i="3" l="1"/>
  <c r="AL761" i="3"/>
  <c r="AM761" i="3" s="1"/>
  <c r="AO761" i="3"/>
  <c r="AN761" i="3"/>
  <c r="W611" i="3"/>
  <c r="X611" i="3" s="1"/>
  <c r="U612" i="3"/>
  <c r="Z611" i="3"/>
  <c r="Y611" i="3"/>
  <c r="AK762" i="3" l="1"/>
  <c r="AN762" i="3"/>
  <c r="AO762" i="3"/>
  <c r="V612" i="3"/>
  <c r="AL762" i="3" l="1"/>
  <c r="AM762" i="3" s="1"/>
  <c r="AJ763" i="3"/>
  <c r="U613" i="3"/>
  <c r="W612" i="3"/>
  <c r="X612" i="3" s="1"/>
  <c r="Z612" i="3"/>
  <c r="Y612" i="3"/>
  <c r="AK763" i="3" l="1"/>
  <c r="V613" i="3"/>
  <c r="Y613" i="3"/>
  <c r="Z613" i="3"/>
  <c r="AL763" i="3" l="1"/>
  <c r="AM763" i="3" s="1"/>
  <c r="AJ764" i="3"/>
  <c r="AN763" i="3"/>
  <c r="AO763" i="3"/>
  <c r="W613" i="3"/>
  <c r="X613" i="3" s="1"/>
  <c r="U614" i="3"/>
  <c r="AK764" i="3" l="1"/>
  <c r="AO764" i="3"/>
  <c r="AN764" i="3"/>
  <c r="V614" i="3"/>
  <c r="AJ765" i="3" l="1"/>
  <c r="AL764" i="3"/>
  <c r="AM764" i="3" s="1"/>
  <c r="U615" i="3"/>
  <c r="W614" i="3"/>
  <c r="X614" i="3" s="1"/>
  <c r="Z614" i="3"/>
  <c r="Y614" i="3"/>
  <c r="AK765" i="3" l="1"/>
  <c r="AO765" i="3"/>
  <c r="AN765" i="3"/>
  <c r="V615" i="3"/>
  <c r="Y615" i="3" s="1"/>
  <c r="AJ766" i="3" l="1"/>
  <c r="AL765" i="3"/>
  <c r="AM765" i="3" s="1"/>
  <c r="Z615" i="3"/>
  <c r="W615" i="3"/>
  <c r="X615" i="3" s="1"/>
  <c r="U616" i="3"/>
  <c r="AN766" i="3" l="1"/>
  <c r="AO766" i="3"/>
  <c r="AK766" i="3"/>
  <c r="V616" i="3"/>
  <c r="AL766" i="3" l="1"/>
  <c r="AM766" i="3" s="1"/>
  <c r="AJ767" i="3"/>
  <c r="U617" i="3"/>
  <c r="W616" i="3"/>
  <c r="X616" i="3" s="1"/>
  <c r="Z616" i="3"/>
  <c r="Y616" i="3"/>
  <c r="AK767" i="3" l="1"/>
  <c r="AN767" i="3" s="1"/>
  <c r="V617" i="3"/>
  <c r="Y617" i="3"/>
  <c r="Z617" i="3"/>
  <c r="AJ768" i="3" l="1"/>
  <c r="AL767" i="3"/>
  <c r="AM767" i="3" s="1"/>
  <c r="AO767" i="3"/>
  <c r="W617" i="3"/>
  <c r="X617" i="3" s="1"/>
  <c r="U618" i="3"/>
  <c r="AK768" i="3" l="1"/>
  <c r="AN768" i="3"/>
  <c r="AO768" i="3"/>
  <c r="V618" i="3"/>
  <c r="Z618" i="3"/>
  <c r="AL768" i="3" l="1"/>
  <c r="AM768" i="3" s="1"/>
  <c r="AJ769" i="3"/>
  <c r="W618" i="3"/>
  <c r="X618" i="3" s="1"/>
  <c r="U619" i="3"/>
  <c r="Y618" i="3"/>
  <c r="AK769" i="3" l="1"/>
  <c r="V619" i="3"/>
  <c r="Y619" i="3"/>
  <c r="Z619" i="3"/>
  <c r="AJ770" i="3" l="1"/>
  <c r="AL769" i="3"/>
  <c r="AM769" i="3" s="1"/>
  <c r="AN769" i="3"/>
  <c r="AO769" i="3"/>
  <c r="U620" i="3"/>
  <c r="W619" i="3"/>
  <c r="X619" i="3" s="1"/>
  <c r="AK770" i="3" l="1"/>
  <c r="AN770" i="3"/>
  <c r="AO770" i="3"/>
  <c r="V620" i="3"/>
  <c r="Z620" i="3"/>
  <c r="Y620" i="3"/>
  <c r="AL770" i="3" l="1"/>
  <c r="AM770" i="3" s="1"/>
  <c r="AJ771" i="3"/>
  <c r="U621" i="3"/>
  <c r="W620" i="3"/>
  <c r="X620" i="3" s="1"/>
  <c r="AN771" i="3" l="1"/>
  <c r="AO771" i="3"/>
  <c r="AK771" i="3"/>
  <c r="V621" i="3"/>
  <c r="AJ772" i="3" l="1"/>
  <c r="AL771" i="3"/>
  <c r="AM771" i="3" s="1"/>
  <c r="U622" i="3"/>
  <c r="W621" i="3"/>
  <c r="X621" i="3" s="1"/>
  <c r="Z621" i="3"/>
  <c r="Y621" i="3"/>
  <c r="AK772" i="3" l="1"/>
  <c r="AN772" i="3" s="1"/>
  <c r="AO772" i="3"/>
  <c r="V622" i="3"/>
  <c r="Z622" i="3" s="1"/>
  <c r="Y622" i="3"/>
  <c r="AL772" i="3" l="1"/>
  <c r="AM772" i="3" s="1"/>
  <c r="AJ773" i="3"/>
  <c r="U623" i="3"/>
  <c r="W622" i="3"/>
  <c r="X622" i="3" s="1"/>
  <c r="AK773" i="3" l="1"/>
  <c r="AN773" i="3"/>
  <c r="AO773" i="3"/>
  <c r="V623" i="3"/>
  <c r="Z623" i="3"/>
  <c r="Y623" i="3"/>
  <c r="AL773" i="3" l="1"/>
  <c r="AM773" i="3" s="1"/>
  <c r="AJ774" i="3"/>
  <c r="W623" i="3"/>
  <c r="X623" i="3" s="1"/>
  <c r="U624" i="3"/>
  <c r="AK774" i="3" l="1"/>
  <c r="AN774" i="3"/>
  <c r="AO774" i="3"/>
  <c r="V624" i="3"/>
  <c r="Y624" i="3"/>
  <c r="AJ775" i="3" l="1"/>
  <c r="AL774" i="3"/>
  <c r="AM774" i="3" s="1"/>
  <c r="U625" i="3"/>
  <c r="W624" i="3"/>
  <c r="X624" i="3" s="1"/>
  <c r="Z624" i="3"/>
  <c r="AK775" i="3" l="1"/>
  <c r="AN775" i="3"/>
  <c r="AO775" i="3"/>
  <c r="V625" i="3"/>
  <c r="Z625" i="3"/>
  <c r="Y625" i="3"/>
  <c r="AJ776" i="3" l="1"/>
  <c r="AL775" i="3"/>
  <c r="AM775" i="3" s="1"/>
  <c r="W625" i="3"/>
  <c r="X625" i="3" s="1"/>
  <c r="U626" i="3"/>
  <c r="AK776" i="3" l="1"/>
  <c r="AO776" i="3" s="1"/>
  <c r="V626" i="3"/>
  <c r="AL776" i="3" l="1"/>
  <c r="AM776" i="3" s="1"/>
  <c r="AJ777" i="3"/>
  <c r="AN776" i="3"/>
  <c r="W626" i="3"/>
  <c r="X626" i="3" s="1"/>
  <c r="U627" i="3"/>
  <c r="Z626" i="3"/>
  <c r="Y626" i="3"/>
  <c r="AK777" i="3" l="1"/>
  <c r="V627" i="3"/>
  <c r="Y627" i="3"/>
  <c r="AJ778" i="3" l="1"/>
  <c r="AL777" i="3"/>
  <c r="AM777" i="3" s="1"/>
  <c r="AO777" i="3"/>
  <c r="AN777" i="3"/>
  <c r="W627" i="3"/>
  <c r="X627" i="3" s="1"/>
  <c r="U628" i="3"/>
  <c r="Z627" i="3"/>
  <c r="AK778" i="3" l="1"/>
  <c r="AO778" i="3"/>
  <c r="AN778" i="3"/>
  <c r="V628" i="3"/>
  <c r="Y628" i="3"/>
  <c r="AL778" i="3" l="1"/>
  <c r="AM778" i="3" s="1"/>
  <c r="AJ779" i="3"/>
  <c r="W628" i="3"/>
  <c r="X628" i="3" s="1"/>
  <c r="U629" i="3"/>
  <c r="Z628" i="3"/>
  <c r="AK779" i="3" l="1"/>
  <c r="AN779" i="3"/>
  <c r="AO779" i="3"/>
  <c r="V629" i="3"/>
  <c r="Y629" i="3"/>
  <c r="AJ780" i="3" l="1"/>
  <c r="AL779" i="3"/>
  <c r="AM779" i="3" s="1"/>
  <c r="U630" i="3"/>
  <c r="W629" i="3"/>
  <c r="X629" i="3" s="1"/>
  <c r="Z629" i="3"/>
  <c r="AK780" i="3" l="1"/>
  <c r="AN780" i="3"/>
  <c r="AO780" i="3"/>
  <c r="V630" i="3"/>
  <c r="Y630" i="3"/>
  <c r="Z630" i="3"/>
  <c r="AJ781" i="3" l="1"/>
  <c r="AL780" i="3"/>
  <c r="AM780" i="3" s="1"/>
  <c r="W630" i="3"/>
  <c r="X630" i="3" s="1"/>
  <c r="U631" i="3"/>
  <c r="AK781" i="3" l="1"/>
  <c r="V631" i="3"/>
  <c r="AJ782" i="3" l="1"/>
  <c r="AL781" i="3"/>
  <c r="AM781" i="3" s="1"/>
  <c r="AO781" i="3"/>
  <c r="AN781" i="3"/>
  <c r="W631" i="3"/>
  <c r="X631" i="3" s="1"/>
  <c r="U632" i="3"/>
  <c r="Z631" i="3"/>
  <c r="Y631" i="3"/>
  <c r="AK782" i="3" l="1"/>
  <c r="V632" i="3"/>
  <c r="Y632" i="3"/>
  <c r="Z632" i="3"/>
  <c r="AJ783" i="3" l="1"/>
  <c r="AL782" i="3"/>
  <c r="AM782" i="3" s="1"/>
  <c r="AO782" i="3"/>
  <c r="AN782" i="3"/>
  <c r="W632" i="3"/>
  <c r="X632" i="3" s="1"/>
  <c r="U633" i="3"/>
  <c r="AK783" i="3" l="1"/>
  <c r="AN783" i="3"/>
  <c r="AO783" i="3"/>
  <c r="V633" i="3"/>
  <c r="AL783" i="3" l="1"/>
  <c r="AM783" i="3" s="1"/>
  <c r="AJ784" i="3"/>
  <c r="W633" i="3"/>
  <c r="X633" i="3" s="1"/>
  <c r="U634" i="3"/>
  <c r="Z633" i="3"/>
  <c r="Y633" i="3"/>
  <c r="AK784" i="3" l="1"/>
  <c r="AO784" i="3" s="1"/>
  <c r="V634" i="3"/>
  <c r="Z634" i="3"/>
  <c r="Y634" i="3"/>
  <c r="AJ785" i="3" l="1"/>
  <c r="AL784" i="3"/>
  <c r="AM784" i="3" s="1"/>
  <c r="AN784" i="3"/>
  <c r="U635" i="3"/>
  <c r="W634" i="3"/>
  <c r="X634" i="3" s="1"/>
  <c r="AK785" i="3" l="1"/>
  <c r="AO785" i="3"/>
  <c r="AN785" i="3"/>
  <c r="V635" i="3"/>
  <c r="Y635" i="3"/>
  <c r="Z635" i="3"/>
  <c r="AL785" i="3" l="1"/>
  <c r="AM785" i="3" s="1"/>
  <c r="AJ786" i="3"/>
  <c r="U636" i="3"/>
  <c r="W635" i="3"/>
  <c r="X635" i="3" s="1"/>
  <c r="AK786" i="3" l="1"/>
  <c r="V636" i="3"/>
  <c r="AJ787" i="3" l="1"/>
  <c r="AL786" i="3"/>
  <c r="AM786" i="3" s="1"/>
  <c r="AO786" i="3"/>
  <c r="AN786" i="3"/>
  <c r="W636" i="3"/>
  <c r="X636" i="3" s="1"/>
  <c r="U637" i="3"/>
  <c r="Z636" i="3"/>
  <c r="Y636" i="3"/>
  <c r="AK787" i="3" l="1"/>
  <c r="AN787" i="3"/>
  <c r="AO787" i="3"/>
  <c r="V637" i="3"/>
  <c r="AL787" i="3" l="1"/>
  <c r="AM787" i="3" s="1"/>
  <c r="AJ788" i="3"/>
  <c r="U638" i="3"/>
  <c r="W637" i="3"/>
  <c r="X637" i="3" s="1"/>
  <c r="Z637" i="3"/>
  <c r="Y637" i="3"/>
  <c r="AK788" i="3" l="1"/>
  <c r="V638" i="3"/>
  <c r="Y638" i="3"/>
  <c r="Z638" i="3"/>
  <c r="AL788" i="3" l="1"/>
  <c r="AM788" i="3" s="1"/>
  <c r="AJ789" i="3"/>
  <c r="AN788" i="3"/>
  <c r="AO788" i="3"/>
  <c r="W638" i="3"/>
  <c r="X638" i="3" s="1"/>
  <c r="U639" i="3"/>
  <c r="AK789" i="3" l="1"/>
  <c r="AO789" i="3"/>
  <c r="AN789" i="3"/>
  <c r="V639" i="3"/>
  <c r="AJ790" i="3" l="1"/>
  <c r="AL789" i="3"/>
  <c r="AM789" i="3" s="1"/>
  <c r="U640" i="3"/>
  <c r="W639" i="3"/>
  <c r="X639" i="3" s="1"/>
  <c r="Z639" i="3"/>
  <c r="Y639" i="3"/>
  <c r="AK790" i="3" l="1"/>
  <c r="V640" i="3"/>
  <c r="Z640" i="3"/>
  <c r="Y640" i="3"/>
  <c r="AJ791" i="3" l="1"/>
  <c r="AL790" i="3"/>
  <c r="AM790" i="3" s="1"/>
  <c r="AO790" i="3"/>
  <c r="AN790" i="3"/>
  <c r="W640" i="3"/>
  <c r="X640" i="3" s="1"/>
  <c r="U641" i="3"/>
  <c r="AK791" i="3" l="1"/>
  <c r="AO791" i="3"/>
  <c r="V641" i="3"/>
  <c r="AL791" i="3" l="1"/>
  <c r="AM791" i="3" s="1"/>
  <c r="AJ792" i="3"/>
  <c r="AN791" i="3"/>
  <c r="U642" i="3"/>
  <c r="W641" i="3"/>
  <c r="X641" i="3" s="1"/>
  <c r="Z641" i="3"/>
  <c r="Y641" i="3"/>
  <c r="AK792" i="3" l="1"/>
  <c r="V642" i="3"/>
  <c r="Y642" i="3"/>
  <c r="Z642" i="3"/>
  <c r="AJ793" i="3" l="1"/>
  <c r="AL792" i="3"/>
  <c r="AM792" i="3" s="1"/>
  <c r="AO792" i="3"/>
  <c r="AN792" i="3"/>
  <c r="W642" i="3"/>
  <c r="X642" i="3" s="1"/>
  <c r="U643" i="3"/>
  <c r="AK793" i="3" l="1"/>
  <c r="V643" i="3"/>
  <c r="Y643" i="3"/>
  <c r="Z643" i="3"/>
  <c r="AL793" i="3" l="1"/>
  <c r="AM793" i="3" s="1"/>
  <c r="AJ794" i="3"/>
  <c r="AO793" i="3"/>
  <c r="AN793" i="3"/>
  <c r="W643" i="3"/>
  <c r="X643" i="3" s="1"/>
  <c r="U644" i="3"/>
  <c r="AK794" i="3" l="1"/>
  <c r="V644" i="3"/>
  <c r="Y644" i="3"/>
  <c r="Z644" i="3"/>
  <c r="AJ795" i="3" l="1"/>
  <c r="AL794" i="3"/>
  <c r="AM794" i="3" s="1"/>
  <c r="AO794" i="3"/>
  <c r="AN794" i="3"/>
  <c r="U645" i="3"/>
  <c r="W644" i="3"/>
  <c r="X644" i="3" s="1"/>
  <c r="AK795" i="3" l="1"/>
  <c r="AN795" i="3"/>
  <c r="AO795" i="3"/>
  <c r="V645" i="3"/>
  <c r="Y645" i="3"/>
  <c r="Z645" i="3"/>
  <c r="AL795" i="3" l="1"/>
  <c r="AM795" i="3" s="1"/>
  <c r="AJ796" i="3"/>
  <c r="U646" i="3"/>
  <c r="W645" i="3"/>
  <c r="X645" i="3" s="1"/>
  <c r="AK796" i="3" l="1"/>
  <c r="AO796" i="3"/>
  <c r="V646" i="3"/>
  <c r="AL796" i="3" l="1"/>
  <c r="AM796" i="3" s="1"/>
  <c r="AJ797" i="3"/>
  <c r="AN796" i="3"/>
  <c r="U647" i="3"/>
  <c r="W646" i="3"/>
  <c r="X646" i="3" s="1"/>
  <c r="Z646" i="3"/>
  <c r="Y646" i="3"/>
  <c r="AK797" i="3" l="1"/>
  <c r="AN797" i="3"/>
  <c r="AO797" i="3"/>
  <c r="V647" i="3"/>
  <c r="AJ798" i="3" l="1"/>
  <c r="AL797" i="3"/>
  <c r="AM797" i="3" s="1"/>
  <c r="U648" i="3"/>
  <c r="W647" i="3"/>
  <c r="X647" i="3" s="1"/>
  <c r="Z647" i="3"/>
  <c r="Y647" i="3"/>
  <c r="AK798" i="3" l="1"/>
  <c r="AN798" i="3"/>
  <c r="AO798" i="3"/>
  <c r="V648" i="3"/>
  <c r="Z648" i="3" s="1"/>
  <c r="Y648" i="3"/>
  <c r="AL798" i="3" l="1"/>
  <c r="AM798" i="3" s="1"/>
  <c r="AJ799" i="3"/>
  <c r="W648" i="3"/>
  <c r="X648" i="3" s="1"/>
  <c r="U649" i="3"/>
  <c r="AK799" i="3" l="1"/>
  <c r="V649" i="3"/>
  <c r="AJ800" i="3" l="1"/>
  <c r="AL799" i="3"/>
  <c r="AM799" i="3" s="1"/>
  <c r="AN799" i="3"/>
  <c r="AO799" i="3"/>
  <c r="U650" i="3"/>
  <c r="W649" i="3"/>
  <c r="X649" i="3" s="1"/>
  <c r="Z649" i="3"/>
  <c r="Y649" i="3"/>
  <c r="AK800" i="3" l="1"/>
  <c r="AN800" i="3"/>
  <c r="AO800" i="3"/>
  <c r="V650" i="3"/>
  <c r="Y650" i="3"/>
  <c r="Z650" i="3"/>
  <c r="AL800" i="3" l="1"/>
  <c r="AM800" i="3" s="1"/>
  <c r="AJ801" i="3"/>
  <c r="W650" i="3"/>
  <c r="X650" i="3" s="1"/>
  <c r="U651" i="3"/>
  <c r="AK801" i="3" l="1"/>
  <c r="V651" i="3"/>
  <c r="AJ802" i="3" l="1"/>
  <c r="AL801" i="3"/>
  <c r="AM801" i="3" s="1"/>
  <c r="AO801" i="3"/>
  <c r="AN801" i="3"/>
  <c r="U652" i="3"/>
  <c r="W651" i="3"/>
  <c r="X651" i="3" s="1"/>
  <c r="Z651" i="3"/>
  <c r="Y651" i="3"/>
  <c r="AK802" i="3" l="1"/>
  <c r="AN802" i="3" s="1"/>
  <c r="V652" i="3"/>
  <c r="AO802" i="3" l="1"/>
  <c r="AL802" i="3"/>
  <c r="AM802" i="3" s="1"/>
  <c r="AJ803" i="3"/>
  <c r="W652" i="3"/>
  <c r="X652" i="3" s="1"/>
  <c r="U653" i="3"/>
  <c r="Z652" i="3"/>
  <c r="Y652" i="3"/>
  <c r="AK803" i="3" l="1"/>
  <c r="AO803" i="3" s="1"/>
  <c r="V653" i="3"/>
  <c r="Y653" i="3" s="1"/>
  <c r="AL803" i="3" l="1"/>
  <c r="AM803" i="3" s="1"/>
  <c r="AJ804" i="3"/>
  <c r="AN803" i="3"/>
  <c r="Z653" i="3"/>
  <c r="W653" i="3"/>
  <c r="X653" i="3" s="1"/>
  <c r="U654" i="3"/>
  <c r="AK804" i="3" l="1"/>
  <c r="AN804" i="3"/>
  <c r="AO804" i="3"/>
  <c r="V654" i="3"/>
  <c r="Z654" i="3"/>
  <c r="AJ805" i="3" l="1"/>
  <c r="AL804" i="3"/>
  <c r="AM804" i="3" s="1"/>
  <c r="U655" i="3"/>
  <c r="W654" i="3"/>
  <c r="X654" i="3" s="1"/>
  <c r="Y654" i="3"/>
  <c r="AN805" i="3" l="1"/>
  <c r="AK805" i="3"/>
  <c r="V655" i="3"/>
  <c r="Y655" i="3"/>
  <c r="Z655" i="3"/>
  <c r="AJ806" i="3" l="1"/>
  <c r="AL805" i="3"/>
  <c r="AM805" i="3" s="1"/>
  <c r="AO805" i="3"/>
  <c r="W655" i="3"/>
  <c r="X655" i="3" s="1"/>
  <c r="U656" i="3"/>
  <c r="AK806" i="3" l="1"/>
  <c r="AO806" i="3"/>
  <c r="V656" i="3"/>
  <c r="AL806" i="3" l="1"/>
  <c r="AM806" i="3" s="1"/>
  <c r="AJ807" i="3"/>
  <c r="AN806" i="3"/>
  <c r="W656" i="3"/>
  <c r="X656" i="3" s="1"/>
  <c r="U657" i="3"/>
  <c r="Z656" i="3"/>
  <c r="Y656" i="3"/>
  <c r="AK807" i="3" l="1"/>
  <c r="V657" i="3"/>
  <c r="AL807" i="3" l="1"/>
  <c r="AM807" i="3" s="1"/>
  <c r="AJ808" i="3"/>
  <c r="AN807" i="3"/>
  <c r="AO807" i="3"/>
  <c r="U658" i="3"/>
  <c r="W657" i="3"/>
  <c r="X657" i="3" s="1"/>
  <c r="Z657" i="3"/>
  <c r="Y657" i="3"/>
  <c r="AK808" i="3" l="1"/>
  <c r="AO808" i="3" s="1"/>
  <c r="V658" i="3"/>
  <c r="AL808" i="3" l="1"/>
  <c r="AM808" i="3" s="1"/>
  <c r="AJ809" i="3"/>
  <c r="AN808" i="3"/>
  <c r="W658" i="3"/>
  <c r="X658" i="3" s="1"/>
  <c r="U659" i="3"/>
  <c r="Z658" i="3"/>
  <c r="Y658" i="3"/>
  <c r="AK809" i="3" l="1"/>
  <c r="AN809" i="3"/>
  <c r="AO809" i="3"/>
  <c r="V659" i="3"/>
  <c r="AJ810" i="3" l="1"/>
  <c r="AL809" i="3"/>
  <c r="AM809" i="3" s="1"/>
  <c r="U660" i="3"/>
  <c r="W659" i="3"/>
  <c r="X659" i="3" s="1"/>
  <c r="Z659" i="3"/>
  <c r="Y659" i="3"/>
  <c r="AK810" i="3" l="1"/>
  <c r="V660" i="3"/>
  <c r="Y660" i="3"/>
  <c r="Z660" i="3"/>
  <c r="AJ811" i="3" l="1"/>
  <c r="AL810" i="3"/>
  <c r="AM810" i="3" s="1"/>
  <c r="AO810" i="3"/>
  <c r="AN810" i="3"/>
  <c r="W660" i="3"/>
  <c r="X660" i="3" s="1"/>
  <c r="U661" i="3"/>
  <c r="AK811" i="3" l="1"/>
  <c r="AO811" i="3" s="1"/>
  <c r="V661" i="3"/>
  <c r="AL811" i="3" l="1"/>
  <c r="AM811" i="3" s="1"/>
  <c r="AJ812" i="3"/>
  <c r="AN811" i="3"/>
  <c r="W661" i="3"/>
  <c r="X661" i="3" s="1"/>
  <c r="U662" i="3"/>
  <c r="Z661" i="3"/>
  <c r="Y661" i="3"/>
  <c r="AK812" i="3" l="1"/>
  <c r="AN812" i="3"/>
  <c r="V662" i="3"/>
  <c r="AJ813" i="3" l="1"/>
  <c r="AL812" i="3"/>
  <c r="AM812" i="3" s="1"/>
  <c r="AO812" i="3"/>
  <c r="U663" i="3"/>
  <c r="W662" i="3"/>
  <c r="X662" i="3" s="1"/>
  <c r="Z662" i="3"/>
  <c r="Y662" i="3"/>
  <c r="AK813" i="3" l="1"/>
  <c r="AN813" i="3"/>
  <c r="AO813" i="3"/>
  <c r="V663" i="3"/>
  <c r="Y663" i="3"/>
  <c r="Z663" i="3"/>
  <c r="AL813" i="3" l="1"/>
  <c r="AM813" i="3" s="1"/>
  <c r="AJ814" i="3"/>
  <c r="W663" i="3"/>
  <c r="X663" i="3" s="1"/>
  <c r="U664" i="3"/>
  <c r="AK814" i="3" l="1"/>
  <c r="V664" i="3"/>
  <c r="AJ815" i="3" l="1"/>
  <c r="AL814" i="3"/>
  <c r="AM814" i="3" s="1"/>
  <c r="AO814" i="3"/>
  <c r="AN814" i="3"/>
  <c r="U665" i="3"/>
  <c r="W664" i="3"/>
  <c r="X664" i="3" s="1"/>
  <c r="Z664" i="3"/>
  <c r="Y664" i="3"/>
  <c r="AK815" i="3" l="1"/>
  <c r="V665" i="3"/>
  <c r="Y665" i="3"/>
  <c r="Z665" i="3"/>
  <c r="AJ816" i="3" l="1"/>
  <c r="AL815" i="3"/>
  <c r="AM815" i="3" s="1"/>
  <c r="AO815" i="3"/>
  <c r="AN815" i="3"/>
  <c r="U666" i="3"/>
  <c r="W665" i="3"/>
  <c r="X665" i="3" s="1"/>
  <c r="AK816" i="3" l="1"/>
  <c r="V666" i="3"/>
  <c r="AL816" i="3" l="1"/>
  <c r="AM816" i="3" s="1"/>
  <c r="AJ817" i="3"/>
  <c r="AO816" i="3"/>
  <c r="AN816" i="3"/>
  <c r="U667" i="3"/>
  <c r="W666" i="3"/>
  <c r="X666" i="3" s="1"/>
  <c r="Z666" i="3"/>
  <c r="Y666" i="3"/>
  <c r="AK817" i="3" l="1"/>
  <c r="V667" i="3"/>
  <c r="Y667" i="3"/>
  <c r="Z667" i="3"/>
  <c r="AJ818" i="3" l="1"/>
  <c r="AL817" i="3"/>
  <c r="AM817" i="3" s="1"/>
  <c r="AO817" i="3"/>
  <c r="AN817" i="3"/>
  <c r="U668" i="3"/>
  <c r="W667" i="3"/>
  <c r="X667" i="3" s="1"/>
  <c r="AK818" i="3" l="1"/>
  <c r="AO818" i="3"/>
  <c r="V668" i="3"/>
  <c r="Y668" i="3"/>
  <c r="Z668" i="3"/>
  <c r="AL818" i="3" l="1"/>
  <c r="AM818" i="3" s="1"/>
  <c r="AJ819" i="3"/>
  <c r="AN818" i="3"/>
  <c r="W668" i="3"/>
  <c r="X668" i="3" s="1"/>
  <c r="U669" i="3"/>
  <c r="AK819" i="3" l="1"/>
  <c r="AN819" i="3"/>
  <c r="V669" i="3"/>
  <c r="Y669" i="3"/>
  <c r="Z669" i="3"/>
  <c r="AJ820" i="3" l="1"/>
  <c r="AL819" i="3"/>
  <c r="AM819" i="3" s="1"/>
  <c r="AO819" i="3"/>
  <c r="U670" i="3"/>
  <c r="W669" i="3"/>
  <c r="X669" i="3" s="1"/>
  <c r="AK820" i="3" l="1"/>
  <c r="AN820" i="3" s="1"/>
  <c r="AO820" i="3"/>
  <c r="V670" i="3"/>
  <c r="Y670" i="3"/>
  <c r="Z670" i="3"/>
  <c r="AL820" i="3" l="1"/>
  <c r="AM820" i="3" s="1"/>
  <c r="AJ821" i="3"/>
  <c r="U671" i="3"/>
  <c r="W670" i="3"/>
  <c r="X670" i="3" s="1"/>
  <c r="AK821" i="3" l="1"/>
  <c r="AO821" i="3"/>
  <c r="V671" i="3"/>
  <c r="AL821" i="3" l="1"/>
  <c r="AM821" i="3" s="1"/>
  <c r="AJ822" i="3"/>
  <c r="AN821" i="3"/>
  <c r="W671" i="3"/>
  <c r="X671" i="3" s="1"/>
  <c r="U672" i="3"/>
  <c r="Z671" i="3"/>
  <c r="Y671" i="3"/>
  <c r="AK822" i="3" l="1"/>
  <c r="AN822" i="3"/>
  <c r="AO822" i="3"/>
  <c r="V672" i="3"/>
  <c r="AL822" i="3" l="1"/>
  <c r="AM822" i="3" s="1"/>
  <c r="AJ823" i="3"/>
  <c r="U673" i="3"/>
  <c r="W672" i="3"/>
  <c r="X672" i="3" s="1"/>
  <c r="Z672" i="3"/>
  <c r="Y672" i="3"/>
  <c r="AK823" i="3" l="1"/>
  <c r="AN823" i="3"/>
  <c r="AO823" i="3"/>
  <c r="V673" i="3"/>
  <c r="Y673" i="3"/>
  <c r="Z673" i="3"/>
  <c r="AL823" i="3" l="1"/>
  <c r="AM823" i="3" s="1"/>
  <c r="AJ824" i="3"/>
  <c r="W673" i="3"/>
  <c r="X673" i="3" s="1"/>
  <c r="U674" i="3"/>
  <c r="AK824" i="3" l="1"/>
  <c r="AN824" i="3"/>
  <c r="AO824" i="3"/>
  <c r="V674" i="3"/>
  <c r="Y674" i="3"/>
  <c r="Z674" i="3"/>
  <c r="AJ825" i="3" l="1"/>
  <c r="AL824" i="3"/>
  <c r="AM824" i="3" s="1"/>
  <c r="U675" i="3"/>
  <c r="W674" i="3"/>
  <c r="X674" i="3" s="1"/>
  <c r="AK825" i="3" l="1"/>
  <c r="V675" i="3"/>
  <c r="Y675" i="3"/>
  <c r="Z675" i="3"/>
  <c r="AJ826" i="3" l="1"/>
  <c r="AL825" i="3"/>
  <c r="AM825" i="3" s="1"/>
  <c r="AN825" i="3"/>
  <c r="AO825" i="3"/>
  <c r="W675" i="3"/>
  <c r="X675" i="3" s="1"/>
  <c r="U676" i="3"/>
  <c r="AK826" i="3" l="1"/>
  <c r="V676" i="3"/>
  <c r="AJ827" i="3" l="1"/>
  <c r="AL826" i="3"/>
  <c r="AM826" i="3" s="1"/>
  <c r="AO826" i="3"/>
  <c r="AN826" i="3"/>
  <c r="W676" i="3"/>
  <c r="X676" i="3" s="1"/>
  <c r="U677" i="3"/>
  <c r="Z676" i="3"/>
  <c r="Y676" i="3"/>
  <c r="AK827" i="3" l="1"/>
  <c r="V677" i="3"/>
  <c r="AL827" i="3" l="1"/>
  <c r="AM827" i="3" s="1"/>
  <c r="AJ828" i="3"/>
  <c r="AO827" i="3"/>
  <c r="AN827" i="3"/>
  <c r="W677" i="3"/>
  <c r="X677" i="3" s="1"/>
  <c r="U678" i="3"/>
  <c r="Y677" i="3"/>
  <c r="Z677" i="3"/>
  <c r="AK828" i="3" l="1"/>
  <c r="AN828" i="3"/>
  <c r="AO828" i="3"/>
  <c r="Y678" i="3"/>
  <c r="Z678" i="3"/>
  <c r="V678" i="3"/>
  <c r="AL828" i="3" l="1"/>
  <c r="AM828" i="3" s="1"/>
  <c r="AJ829" i="3"/>
  <c r="W678" i="3"/>
  <c r="X678" i="3" s="1"/>
  <c r="U679" i="3"/>
  <c r="AK829" i="3" l="1"/>
  <c r="AO829" i="3"/>
  <c r="V679" i="3"/>
  <c r="Y679" i="3"/>
  <c r="Z679" i="3"/>
  <c r="AJ830" i="3" l="1"/>
  <c r="AL829" i="3"/>
  <c r="AM829" i="3" s="1"/>
  <c r="AN829" i="3"/>
  <c r="U680" i="3"/>
  <c r="W679" i="3"/>
  <c r="X679" i="3" s="1"/>
  <c r="AK830" i="3" l="1"/>
  <c r="AN830" i="3"/>
  <c r="AO830" i="3"/>
  <c r="V680" i="3"/>
  <c r="Y680" i="3"/>
  <c r="Z680" i="3"/>
  <c r="AL830" i="3" l="1"/>
  <c r="AM830" i="3" s="1"/>
  <c r="AJ831" i="3"/>
  <c r="U681" i="3"/>
  <c r="W680" i="3"/>
  <c r="X680" i="3" s="1"/>
  <c r="AK831" i="3" l="1"/>
  <c r="V681" i="3"/>
  <c r="AL831" i="3" l="1"/>
  <c r="AM831" i="3" s="1"/>
  <c r="AJ832" i="3"/>
  <c r="AO831" i="3"/>
  <c r="AN831" i="3"/>
  <c r="W681" i="3"/>
  <c r="X681" i="3" s="1"/>
  <c r="U682" i="3"/>
  <c r="Z681" i="3"/>
  <c r="Y681" i="3"/>
  <c r="AK832" i="3" l="1"/>
  <c r="AN832" i="3"/>
  <c r="AO832" i="3"/>
  <c r="V682" i="3"/>
  <c r="Y682" i="3"/>
  <c r="Z682" i="3"/>
  <c r="AL832" i="3" l="1"/>
  <c r="AM832" i="3" s="1"/>
  <c r="AJ833" i="3"/>
  <c r="W682" i="3"/>
  <c r="X682" i="3" s="1"/>
  <c r="U683" i="3"/>
  <c r="AK833" i="3" l="1"/>
  <c r="AN833" i="3"/>
  <c r="AO833" i="3"/>
  <c r="V683" i="3"/>
  <c r="AL833" i="3" l="1"/>
  <c r="AM833" i="3" s="1"/>
  <c r="AJ834" i="3"/>
  <c r="W683" i="3"/>
  <c r="X683" i="3" s="1"/>
  <c r="U684" i="3"/>
  <c r="Z683" i="3"/>
  <c r="Y683" i="3"/>
  <c r="AK834" i="3" l="1"/>
  <c r="AO834" i="3" s="1"/>
  <c r="AN834" i="3"/>
  <c r="V684" i="3"/>
  <c r="Y684" i="3"/>
  <c r="Z684" i="3"/>
  <c r="AJ835" i="3" l="1"/>
  <c r="AL834" i="3"/>
  <c r="AM834" i="3" s="1"/>
  <c r="U685" i="3"/>
  <c r="W684" i="3"/>
  <c r="X684" i="3" s="1"/>
  <c r="AK835" i="3" l="1"/>
  <c r="AN835" i="3"/>
  <c r="AO835" i="3"/>
  <c r="V685" i="3"/>
  <c r="Y685" i="3"/>
  <c r="Z685" i="3"/>
  <c r="AL835" i="3" l="1"/>
  <c r="AM835" i="3" s="1"/>
  <c r="AJ836" i="3"/>
  <c r="U686" i="3"/>
  <c r="W685" i="3"/>
  <c r="X685" i="3" s="1"/>
  <c r="AK836" i="3" l="1"/>
  <c r="AO836" i="3"/>
  <c r="V686" i="3"/>
  <c r="Z686" i="3" s="1"/>
  <c r="AJ837" i="3" l="1"/>
  <c r="AL836" i="3"/>
  <c r="AM836" i="3" s="1"/>
  <c r="AN836" i="3"/>
  <c r="W686" i="3"/>
  <c r="X686" i="3" s="1"/>
  <c r="U687" i="3"/>
  <c r="Y686" i="3"/>
  <c r="AK837" i="3" l="1"/>
  <c r="AN837" i="3"/>
  <c r="AO837" i="3"/>
  <c r="V687" i="3"/>
  <c r="Z687" i="3" s="1"/>
  <c r="AL837" i="3" l="1"/>
  <c r="AM837" i="3" s="1"/>
  <c r="AJ838" i="3"/>
  <c r="W687" i="3"/>
  <c r="X687" i="3" s="1"/>
  <c r="U688" i="3"/>
  <c r="Y687" i="3"/>
  <c r="AK838" i="3" l="1"/>
  <c r="V688" i="3"/>
  <c r="Z688" i="3"/>
  <c r="AL838" i="3" l="1"/>
  <c r="AM838" i="3" s="1"/>
  <c r="AJ839" i="3"/>
  <c r="AN838" i="3"/>
  <c r="AO838" i="3"/>
  <c r="W688" i="3"/>
  <c r="X688" i="3" s="1"/>
  <c r="U689" i="3"/>
  <c r="Y688" i="3"/>
  <c r="AK839" i="3" l="1"/>
  <c r="AN839" i="3"/>
  <c r="AO839" i="3"/>
  <c r="V689" i="3"/>
  <c r="AJ840" i="3" l="1"/>
  <c r="AL839" i="3"/>
  <c r="AM839" i="3" s="1"/>
  <c r="U690" i="3"/>
  <c r="W689" i="3"/>
  <c r="X689" i="3" s="1"/>
  <c r="Z689" i="3"/>
  <c r="Y689" i="3"/>
  <c r="AK840" i="3" l="1"/>
  <c r="V690" i="3"/>
  <c r="Z690" i="3"/>
  <c r="Y690" i="3"/>
  <c r="AJ841" i="3" l="1"/>
  <c r="AL840" i="3"/>
  <c r="AM840" i="3" s="1"/>
  <c r="AO840" i="3"/>
  <c r="AN840" i="3"/>
  <c r="W690" i="3"/>
  <c r="X690" i="3" s="1"/>
  <c r="U691" i="3"/>
  <c r="AK841" i="3" l="1"/>
  <c r="AO841" i="3"/>
  <c r="V691" i="3"/>
  <c r="AJ842" i="3" l="1"/>
  <c r="AL841" i="3"/>
  <c r="AM841" i="3" s="1"/>
  <c r="AN841" i="3"/>
  <c r="U692" i="3"/>
  <c r="W691" i="3"/>
  <c r="X691" i="3" s="1"/>
  <c r="Z691" i="3"/>
  <c r="Y691" i="3"/>
  <c r="AK842" i="3" l="1"/>
  <c r="AO842" i="3"/>
  <c r="V692" i="3"/>
  <c r="Y692" i="3"/>
  <c r="Z692" i="3"/>
  <c r="AL842" i="3" l="1"/>
  <c r="AM842" i="3" s="1"/>
  <c r="AJ843" i="3"/>
  <c r="AN842" i="3"/>
  <c r="W692" i="3"/>
  <c r="X692" i="3" s="1"/>
  <c r="U693" i="3"/>
  <c r="AK843" i="3" l="1"/>
  <c r="AN843" i="3"/>
  <c r="AO843" i="3"/>
  <c r="V693" i="3"/>
  <c r="Z693" i="3"/>
  <c r="AL843" i="3" l="1"/>
  <c r="AM843" i="3" s="1"/>
  <c r="AJ844" i="3"/>
  <c r="W693" i="3"/>
  <c r="X693" i="3" s="1"/>
  <c r="U694" i="3"/>
  <c r="Y693" i="3"/>
  <c r="AK844" i="3" l="1"/>
  <c r="AN844" i="3"/>
  <c r="AO844" i="3"/>
  <c r="V694" i="3"/>
  <c r="Y694" i="3"/>
  <c r="Z694" i="3"/>
  <c r="AJ845" i="3" l="1"/>
  <c r="AL844" i="3"/>
  <c r="AM844" i="3" s="1"/>
  <c r="U695" i="3"/>
  <c r="W694" i="3"/>
  <c r="X694" i="3" s="1"/>
  <c r="AK845" i="3" l="1"/>
  <c r="V695" i="3"/>
  <c r="Y695" i="3"/>
  <c r="Z695" i="3"/>
  <c r="AJ846" i="3" l="1"/>
  <c r="AL845" i="3"/>
  <c r="AM845" i="3" s="1"/>
  <c r="AO845" i="3"/>
  <c r="AN845" i="3"/>
  <c r="U696" i="3"/>
  <c r="W695" i="3"/>
  <c r="X695" i="3" s="1"/>
  <c r="AK846" i="3" l="1"/>
  <c r="AO846" i="3"/>
  <c r="V696" i="3"/>
  <c r="AL846" i="3" l="1"/>
  <c r="AM846" i="3" s="1"/>
  <c r="AJ847" i="3"/>
  <c r="AN846" i="3"/>
  <c r="U697" i="3"/>
  <c r="W696" i="3"/>
  <c r="X696" i="3" s="1"/>
  <c r="Z696" i="3"/>
  <c r="Y696" i="3"/>
  <c r="AK847" i="3" l="1"/>
  <c r="AO847" i="3" s="1"/>
  <c r="V697" i="3"/>
  <c r="Y697" i="3"/>
  <c r="Z697" i="3"/>
  <c r="AJ848" i="3" l="1"/>
  <c r="AL847" i="3"/>
  <c r="AM847" i="3" s="1"/>
  <c r="AN847" i="3"/>
  <c r="U698" i="3"/>
  <c r="W697" i="3"/>
  <c r="X697" i="3" s="1"/>
  <c r="AK848" i="3" l="1"/>
  <c r="AN848" i="3" s="1"/>
  <c r="AO848" i="3"/>
  <c r="V698" i="3"/>
  <c r="Y698" i="3"/>
  <c r="Z698" i="3"/>
  <c r="AL848" i="3" l="1"/>
  <c r="AM848" i="3" s="1"/>
  <c r="AJ849" i="3"/>
  <c r="W698" i="3"/>
  <c r="X698" i="3" s="1"/>
  <c r="U699" i="3"/>
  <c r="AK849" i="3" l="1"/>
  <c r="AN849" i="3"/>
  <c r="V699" i="3"/>
  <c r="AJ850" i="3" l="1"/>
  <c r="AL849" i="3"/>
  <c r="AM849" i="3" s="1"/>
  <c r="AO849" i="3"/>
  <c r="U700" i="3"/>
  <c r="W699" i="3"/>
  <c r="X699" i="3" s="1"/>
  <c r="Z699" i="3"/>
  <c r="Y699" i="3"/>
  <c r="AK850" i="3" l="1"/>
  <c r="AN850" i="3"/>
  <c r="AO850" i="3"/>
  <c r="V700" i="3"/>
  <c r="Y700" i="3"/>
  <c r="Z700" i="3"/>
  <c r="AL850" i="3" l="1"/>
  <c r="AM850" i="3" s="1"/>
  <c r="AJ851" i="3"/>
  <c r="W700" i="3"/>
  <c r="X700" i="3" s="1"/>
  <c r="U701" i="3"/>
  <c r="AK851" i="3" l="1"/>
  <c r="V701" i="3"/>
  <c r="AJ852" i="3" l="1"/>
  <c r="AL851" i="3"/>
  <c r="AM851" i="3" s="1"/>
  <c r="AO851" i="3"/>
  <c r="AN851" i="3"/>
  <c r="U702" i="3"/>
  <c r="W701" i="3"/>
  <c r="X701" i="3" s="1"/>
  <c r="Z701" i="3"/>
  <c r="Y701" i="3"/>
  <c r="AK852" i="3" l="1"/>
  <c r="V702" i="3"/>
  <c r="Y702" i="3"/>
  <c r="Z702" i="3"/>
  <c r="AJ853" i="3" l="1"/>
  <c r="AL852" i="3"/>
  <c r="AM852" i="3" s="1"/>
  <c r="AO852" i="3"/>
  <c r="AN852" i="3"/>
  <c r="W702" i="3"/>
  <c r="X702" i="3" s="1"/>
  <c r="U703" i="3"/>
  <c r="AN853" i="3" l="1"/>
  <c r="AO853" i="3"/>
  <c r="AK853" i="3"/>
  <c r="V703" i="3"/>
  <c r="AL853" i="3" l="1"/>
  <c r="AM853" i="3" s="1"/>
  <c r="AJ854" i="3"/>
  <c r="W703" i="3"/>
  <c r="X703" i="3" s="1"/>
  <c r="U704" i="3"/>
  <c r="Y703" i="3"/>
  <c r="Z703" i="3"/>
  <c r="AK854" i="3" l="1"/>
  <c r="V704" i="3"/>
  <c r="Z704" i="3" s="1"/>
  <c r="AJ855" i="3" l="1"/>
  <c r="AL854" i="3"/>
  <c r="AM854" i="3" s="1"/>
  <c r="AO854" i="3"/>
  <c r="AN854" i="3"/>
  <c r="U705" i="3"/>
  <c r="W704" i="3"/>
  <c r="X704" i="3" s="1"/>
  <c r="Y704" i="3"/>
  <c r="AK855" i="3" l="1"/>
  <c r="AO855" i="3"/>
  <c r="V705" i="3"/>
  <c r="Y705" i="3"/>
  <c r="Z705" i="3"/>
  <c r="AL855" i="3" l="1"/>
  <c r="AM855" i="3" s="1"/>
  <c r="AJ856" i="3"/>
  <c r="AN855" i="3"/>
  <c r="W705" i="3"/>
  <c r="X705" i="3" s="1"/>
  <c r="U706" i="3"/>
  <c r="AK856" i="3" l="1"/>
  <c r="AO856" i="3"/>
  <c r="V706" i="3"/>
  <c r="Z706" i="3" s="1"/>
  <c r="AJ857" i="3" l="1"/>
  <c r="AL856" i="3"/>
  <c r="AM856" i="3" s="1"/>
  <c r="AN856" i="3"/>
  <c r="W706" i="3"/>
  <c r="X706" i="3" s="1"/>
  <c r="U707" i="3"/>
  <c r="Y706" i="3"/>
  <c r="AK857" i="3" l="1"/>
  <c r="AN857" i="3"/>
  <c r="AO857" i="3"/>
  <c r="V707" i="3"/>
  <c r="AL857" i="3" l="1"/>
  <c r="AM857" i="3" s="1"/>
  <c r="AJ858" i="3"/>
  <c r="W707" i="3"/>
  <c r="X707" i="3" s="1"/>
  <c r="U708" i="3"/>
  <c r="Z707" i="3"/>
  <c r="Y707" i="3"/>
  <c r="AK858" i="3" l="1"/>
  <c r="AN858" i="3"/>
  <c r="AO858" i="3"/>
  <c r="V708" i="3"/>
  <c r="AL858" i="3" l="1"/>
  <c r="AM858" i="3" s="1"/>
  <c r="AJ859" i="3"/>
  <c r="W708" i="3"/>
  <c r="X708" i="3" s="1"/>
  <c r="U709" i="3"/>
  <c r="Z708" i="3"/>
  <c r="Y708" i="3"/>
  <c r="AK859" i="3" l="1"/>
  <c r="AN859" i="3"/>
  <c r="AO859" i="3"/>
  <c r="V709" i="3"/>
  <c r="AJ860" i="3" l="1"/>
  <c r="AL859" i="3"/>
  <c r="AM859" i="3" s="1"/>
  <c r="U710" i="3"/>
  <c r="W709" i="3"/>
  <c r="X709" i="3" s="1"/>
  <c r="Z709" i="3"/>
  <c r="Y709" i="3"/>
  <c r="AK860" i="3" l="1"/>
  <c r="AN860" i="3"/>
  <c r="AO860" i="3"/>
  <c r="V710" i="3"/>
  <c r="Y710" i="3"/>
  <c r="Z710" i="3"/>
  <c r="AJ861" i="3" l="1"/>
  <c r="AL860" i="3"/>
  <c r="AM860" i="3" s="1"/>
  <c r="W710" i="3"/>
  <c r="X710" i="3" s="1"/>
  <c r="U711" i="3"/>
  <c r="AK861" i="3" l="1"/>
  <c r="AO861" i="3"/>
  <c r="V711" i="3"/>
  <c r="AJ862" i="3" l="1"/>
  <c r="AL861" i="3"/>
  <c r="AM861" i="3" s="1"/>
  <c r="AN861" i="3"/>
  <c r="U712" i="3"/>
  <c r="W711" i="3"/>
  <c r="X711" i="3" s="1"/>
  <c r="Z711" i="3"/>
  <c r="Y711" i="3"/>
  <c r="AK862" i="3" l="1"/>
  <c r="AN862" i="3"/>
  <c r="V712" i="3"/>
  <c r="AJ863" i="3" l="1"/>
  <c r="AL862" i="3"/>
  <c r="AM862" i="3" s="1"/>
  <c r="AO862" i="3"/>
  <c r="W712" i="3"/>
  <c r="X712" i="3" s="1"/>
  <c r="U713" i="3"/>
  <c r="Z712" i="3"/>
  <c r="Y712" i="3"/>
  <c r="AK863" i="3" l="1"/>
  <c r="AN863" i="3"/>
  <c r="AO863" i="3"/>
  <c r="V713" i="3"/>
  <c r="Y713" i="3"/>
  <c r="Z713" i="3"/>
  <c r="AL863" i="3" l="1"/>
  <c r="AM863" i="3" s="1"/>
  <c r="AJ864" i="3"/>
  <c r="W713" i="3"/>
  <c r="X713" i="3" s="1"/>
  <c r="U714" i="3"/>
  <c r="AK864" i="3" l="1"/>
  <c r="V714" i="3"/>
  <c r="AJ865" i="3" l="1"/>
  <c r="AL864" i="3"/>
  <c r="AM864" i="3" s="1"/>
  <c r="AO864" i="3"/>
  <c r="AN864" i="3"/>
  <c r="U715" i="3"/>
  <c r="W714" i="3"/>
  <c r="X714" i="3" s="1"/>
  <c r="Z714" i="3"/>
  <c r="Y714" i="3"/>
  <c r="AK865" i="3" l="1"/>
  <c r="AN865" i="3"/>
  <c r="AO865" i="3"/>
  <c r="V715" i="3"/>
  <c r="Y715" i="3"/>
  <c r="Z715" i="3"/>
  <c r="AL865" i="3" l="1"/>
  <c r="AM865" i="3" s="1"/>
  <c r="AJ866" i="3"/>
  <c r="W715" i="3"/>
  <c r="X715" i="3" s="1"/>
  <c r="U716" i="3"/>
  <c r="AK866" i="3" l="1"/>
  <c r="AO866" i="3" s="1"/>
  <c r="V716" i="3"/>
  <c r="AL866" i="3" l="1"/>
  <c r="AM866" i="3" s="1"/>
  <c r="AJ867" i="3"/>
  <c r="AN866" i="3"/>
  <c r="U717" i="3"/>
  <c r="W716" i="3"/>
  <c r="X716" i="3" s="1"/>
  <c r="Z716" i="3"/>
  <c r="Y716" i="3"/>
  <c r="AK867" i="3" l="1"/>
  <c r="AN867" i="3"/>
  <c r="AO867" i="3"/>
  <c r="V717" i="3"/>
  <c r="Y717" i="3"/>
  <c r="Z717" i="3"/>
  <c r="AL867" i="3" l="1"/>
  <c r="AM867" i="3" s="1"/>
  <c r="AJ868" i="3"/>
  <c r="U718" i="3"/>
  <c r="W717" i="3"/>
  <c r="X717" i="3" s="1"/>
  <c r="AK868" i="3" l="1"/>
  <c r="V718" i="3"/>
  <c r="Y718" i="3"/>
  <c r="Z718" i="3"/>
  <c r="AL868" i="3" l="1"/>
  <c r="AM868" i="3" s="1"/>
  <c r="AJ869" i="3"/>
  <c r="AO868" i="3"/>
  <c r="AN868" i="3"/>
  <c r="W718" i="3"/>
  <c r="X718" i="3" s="1"/>
  <c r="U719" i="3"/>
  <c r="AK869" i="3" l="1"/>
  <c r="AN869" i="3"/>
  <c r="AO869" i="3"/>
  <c r="V719" i="3"/>
  <c r="Y719" i="3"/>
  <c r="Z719" i="3"/>
  <c r="AJ870" i="3" l="1"/>
  <c r="AL869" i="3"/>
  <c r="AM869" i="3" s="1"/>
  <c r="U720" i="3"/>
  <c r="W719" i="3"/>
  <c r="X719" i="3" s="1"/>
  <c r="AK870" i="3" l="1"/>
  <c r="AN870" i="3"/>
  <c r="AO870" i="3"/>
  <c r="V720" i="3"/>
  <c r="Y720" i="3"/>
  <c r="AL870" i="3" l="1"/>
  <c r="AM870" i="3" s="1"/>
  <c r="AJ871" i="3"/>
  <c r="U721" i="3"/>
  <c r="W720" i="3"/>
  <c r="X720" i="3" s="1"/>
  <c r="Z720" i="3"/>
  <c r="AK871" i="3" l="1"/>
  <c r="AO871" i="3"/>
  <c r="V721" i="3"/>
  <c r="Z721" i="3"/>
  <c r="AL871" i="3" l="1"/>
  <c r="AM871" i="3" s="1"/>
  <c r="AJ872" i="3"/>
  <c r="AN871" i="3"/>
  <c r="U722" i="3"/>
  <c r="W721" i="3"/>
  <c r="X721" i="3" s="1"/>
  <c r="Y721" i="3"/>
  <c r="AK872" i="3" l="1"/>
  <c r="AN872" i="3"/>
  <c r="AO872" i="3"/>
  <c r="V722" i="3"/>
  <c r="AL872" i="3" l="1"/>
  <c r="AM872" i="3" s="1"/>
  <c r="AJ873" i="3"/>
  <c r="W722" i="3"/>
  <c r="X722" i="3" s="1"/>
  <c r="U723" i="3"/>
  <c r="Z722" i="3"/>
  <c r="Y722" i="3"/>
  <c r="AK873" i="3" l="1"/>
  <c r="AN873" i="3"/>
  <c r="AO873" i="3"/>
  <c r="V723" i="3"/>
  <c r="Y723" i="3"/>
  <c r="Z723" i="3"/>
  <c r="AL873" i="3" l="1"/>
  <c r="AM873" i="3" s="1"/>
  <c r="AJ874" i="3"/>
  <c r="W723" i="3"/>
  <c r="X723" i="3" s="1"/>
  <c r="U724" i="3"/>
  <c r="AK874" i="3" l="1"/>
  <c r="AN874" i="3"/>
  <c r="AO874" i="3"/>
  <c r="V724" i="3"/>
  <c r="Z724" i="3" s="1"/>
  <c r="AJ875" i="3" l="1"/>
  <c r="AL874" i="3"/>
  <c r="AM874" i="3" s="1"/>
  <c r="U725" i="3"/>
  <c r="W724" i="3"/>
  <c r="X724" i="3" s="1"/>
  <c r="Y724" i="3"/>
  <c r="AK875" i="3" l="1"/>
  <c r="V725" i="3"/>
  <c r="Y725" i="3"/>
  <c r="Z725" i="3"/>
  <c r="AJ876" i="3" l="1"/>
  <c r="AL875" i="3"/>
  <c r="AM875" i="3" s="1"/>
  <c r="AN875" i="3"/>
  <c r="AO875" i="3"/>
  <c r="W725" i="3"/>
  <c r="X725" i="3" s="1"/>
  <c r="U726" i="3"/>
  <c r="AK876" i="3" l="1"/>
  <c r="Y726" i="3"/>
  <c r="Z726" i="3"/>
  <c r="V726" i="3"/>
  <c r="AL876" i="3" l="1"/>
  <c r="AM876" i="3" s="1"/>
  <c r="AJ877" i="3"/>
  <c r="AO876" i="3"/>
  <c r="AN876" i="3"/>
  <c r="W726" i="3"/>
  <c r="X726" i="3" s="1"/>
  <c r="U727" i="3"/>
  <c r="AK877" i="3" l="1"/>
  <c r="V727" i="3"/>
  <c r="Y727" i="3"/>
  <c r="Z727" i="3"/>
  <c r="AJ878" i="3" l="1"/>
  <c r="AL877" i="3"/>
  <c r="AM877" i="3" s="1"/>
  <c r="AO877" i="3"/>
  <c r="AN877" i="3"/>
  <c r="W727" i="3"/>
  <c r="X727" i="3" s="1"/>
  <c r="U728" i="3"/>
  <c r="AK878" i="3" l="1"/>
  <c r="AN878" i="3"/>
  <c r="AO878" i="3"/>
  <c r="V728" i="3"/>
  <c r="Z728" i="3"/>
  <c r="Y728" i="3"/>
  <c r="AL878" i="3" l="1"/>
  <c r="AM878" i="3" s="1"/>
  <c r="AJ879" i="3"/>
  <c r="W728" i="3"/>
  <c r="X728" i="3" s="1"/>
  <c r="U729" i="3"/>
  <c r="AK879" i="3" l="1"/>
  <c r="AO879" i="3"/>
  <c r="V729" i="3"/>
  <c r="AJ880" i="3" l="1"/>
  <c r="AL879" i="3"/>
  <c r="AM879" i="3" s="1"/>
  <c r="AN879" i="3"/>
  <c r="U730" i="3"/>
  <c r="W729" i="3"/>
  <c r="X729" i="3" s="1"/>
  <c r="Z729" i="3"/>
  <c r="Y729" i="3"/>
  <c r="AK880" i="3" l="1"/>
  <c r="V730" i="3"/>
  <c r="Z730" i="3"/>
  <c r="Y730" i="3"/>
  <c r="AL880" i="3" l="1"/>
  <c r="AM880" i="3" s="1"/>
  <c r="AJ881" i="3"/>
  <c r="AO880" i="3"/>
  <c r="AN880" i="3"/>
  <c r="W730" i="3"/>
  <c r="X730" i="3" s="1"/>
  <c r="U731" i="3"/>
  <c r="AK881" i="3" l="1"/>
  <c r="AO881" i="3"/>
  <c r="V731" i="3"/>
  <c r="AL881" i="3" l="1"/>
  <c r="AM881" i="3" s="1"/>
  <c r="AJ882" i="3"/>
  <c r="AN881" i="3"/>
  <c r="U732" i="3"/>
  <c r="W731" i="3"/>
  <c r="X731" i="3" s="1"/>
  <c r="Z731" i="3"/>
  <c r="Y731" i="3"/>
  <c r="AK882" i="3" l="1"/>
  <c r="V732" i="3"/>
  <c r="Y732" i="3"/>
  <c r="Z732" i="3"/>
  <c r="AJ883" i="3" l="1"/>
  <c r="AL882" i="3"/>
  <c r="AM882" i="3" s="1"/>
  <c r="AO882" i="3"/>
  <c r="AN882" i="3"/>
  <c r="W732" i="3"/>
  <c r="X732" i="3" s="1"/>
  <c r="U733" i="3"/>
  <c r="AK883" i="3" l="1"/>
  <c r="AO883" i="3"/>
  <c r="AN883" i="3"/>
  <c r="V733" i="3"/>
  <c r="Y733" i="3"/>
  <c r="AL883" i="3" l="1"/>
  <c r="AM883" i="3" s="1"/>
  <c r="AJ884" i="3"/>
  <c r="W733" i="3"/>
  <c r="X733" i="3" s="1"/>
  <c r="U734" i="3"/>
  <c r="Z733" i="3"/>
  <c r="AK884" i="3" l="1"/>
  <c r="V734" i="3"/>
  <c r="Y734" i="3"/>
  <c r="Z734" i="3"/>
  <c r="AJ885" i="3" l="1"/>
  <c r="AL884" i="3"/>
  <c r="AM884" i="3" s="1"/>
  <c r="AO884" i="3"/>
  <c r="AN884" i="3"/>
  <c r="U735" i="3"/>
  <c r="W734" i="3"/>
  <c r="X734" i="3" s="1"/>
  <c r="AK885" i="3" l="1"/>
  <c r="AN885" i="3"/>
  <c r="AO885" i="3"/>
  <c r="V735" i="3"/>
  <c r="AL885" i="3" l="1"/>
  <c r="AM885" i="3" s="1"/>
  <c r="AJ886" i="3"/>
  <c r="U736" i="3"/>
  <c r="W735" i="3"/>
  <c r="X735" i="3" s="1"/>
  <c r="Z735" i="3"/>
  <c r="Y735" i="3"/>
  <c r="AK886" i="3" l="1"/>
  <c r="AO886" i="3"/>
  <c r="V736" i="3"/>
  <c r="Z736" i="3" s="1"/>
  <c r="AJ887" i="3" l="1"/>
  <c r="AL886" i="3"/>
  <c r="AM886" i="3" s="1"/>
  <c r="AN886" i="3"/>
  <c r="W736" i="3"/>
  <c r="X736" i="3" s="1"/>
  <c r="U737" i="3"/>
  <c r="Y736" i="3"/>
  <c r="AK887" i="3" l="1"/>
  <c r="AO887" i="3" s="1"/>
  <c r="AN887" i="3"/>
  <c r="V737" i="3"/>
  <c r="Z737" i="3"/>
  <c r="AL887" i="3" l="1"/>
  <c r="AM887" i="3" s="1"/>
  <c r="AJ888" i="3"/>
  <c r="W737" i="3"/>
  <c r="X737" i="3" s="1"/>
  <c r="U738" i="3"/>
  <c r="Y737" i="3"/>
  <c r="AK888" i="3" l="1"/>
  <c r="AN888" i="3"/>
  <c r="V738" i="3"/>
  <c r="AL888" i="3" l="1"/>
  <c r="AM888" i="3" s="1"/>
  <c r="AJ889" i="3"/>
  <c r="AO888" i="3"/>
  <c r="W738" i="3"/>
  <c r="X738" i="3" s="1"/>
  <c r="U739" i="3"/>
  <c r="Z738" i="3"/>
  <c r="Y738" i="3"/>
  <c r="AK889" i="3" l="1"/>
  <c r="V739" i="3"/>
  <c r="Y739" i="3"/>
  <c r="Z739" i="3"/>
  <c r="AJ890" i="3" l="1"/>
  <c r="AL889" i="3"/>
  <c r="AM889" i="3" s="1"/>
  <c r="AO889" i="3"/>
  <c r="AN889" i="3"/>
  <c r="U740" i="3"/>
  <c r="W739" i="3"/>
  <c r="X739" i="3" s="1"/>
  <c r="AK890" i="3" l="1"/>
  <c r="V740" i="3"/>
  <c r="AL890" i="3" l="1"/>
  <c r="AM890" i="3" s="1"/>
  <c r="AJ891" i="3"/>
  <c r="AO890" i="3"/>
  <c r="AN890" i="3"/>
  <c r="U741" i="3"/>
  <c r="W740" i="3"/>
  <c r="X740" i="3" s="1"/>
  <c r="Y740" i="3"/>
  <c r="Z740" i="3"/>
  <c r="AK891" i="3" l="1"/>
  <c r="V741" i="3"/>
  <c r="Z741" i="3"/>
  <c r="AJ892" i="3" l="1"/>
  <c r="AL891" i="3"/>
  <c r="AM891" i="3" s="1"/>
  <c r="AO891" i="3"/>
  <c r="AN891" i="3"/>
  <c r="W741" i="3"/>
  <c r="X741" i="3" s="1"/>
  <c r="U742" i="3"/>
  <c r="Y741" i="3"/>
  <c r="AK892" i="3" l="1"/>
  <c r="AO892" i="3"/>
  <c r="V742" i="3"/>
  <c r="AL892" i="3" l="1"/>
  <c r="AM892" i="3" s="1"/>
  <c r="AJ893" i="3"/>
  <c r="AN892" i="3"/>
  <c r="U743" i="3"/>
  <c r="W742" i="3"/>
  <c r="X742" i="3" s="1"/>
  <c r="Z742" i="3"/>
  <c r="Y742" i="3"/>
  <c r="AK893" i="3" l="1"/>
  <c r="AO893" i="3"/>
  <c r="AN893" i="3"/>
  <c r="V743" i="3"/>
  <c r="Y743" i="3"/>
  <c r="Z743" i="3"/>
  <c r="AL893" i="3" l="1"/>
  <c r="AM893" i="3" s="1"/>
  <c r="AJ894" i="3"/>
  <c r="W743" i="3"/>
  <c r="X743" i="3" s="1"/>
  <c r="U744" i="3"/>
  <c r="AK894" i="3" l="1"/>
  <c r="AN894" i="3"/>
  <c r="AO894" i="3"/>
  <c r="V744" i="3"/>
  <c r="Y744" i="3"/>
  <c r="AJ895" i="3" l="1"/>
  <c r="AL894" i="3"/>
  <c r="AM894" i="3" s="1"/>
  <c r="U745" i="3"/>
  <c r="W744" i="3"/>
  <c r="X744" i="3" s="1"/>
  <c r="Z744" i="3"/>
  <c r="AK895" i="3" l="1"/>
  <c r="AN895" i="3"/>
  <c r="AO895" i="3"/>
  <c r="V745" i="3"/>
  <c r="Y745" i="3"/>
  <c r="Z745" i="3"/>
  <c r="AL895" i="3" l="1"/>
  <c r="AM895" i="3" s="1"/>
  <c r="AJ896" i="3"/>
  <c r="W745" i="3"/>
  <c r="X745" i="3" s="1"/>
  <c r="U746" i="3"/>
  <c r="AK896" i="3" l="1"/>
  <c r="AO896" i="3"/>
  <c r="V746" i="3"/>
  <c r="Z746" i="3" s="1"/>
  <c r="AL896" i="3" l="1"/>
  <c r="AM896" i="3" s="1"/>
  <c r="AJ897" i="3"/>
  <c r="AN896" i="3"/>
  <c r="U747" i="3"/>
  <c r="W746" i="3"/>
  <c r="X746" i="3" s="1"/>
  <c r="Y746" i="3"/>
  <c r="AK897" i="3" l="1"/>
  <c r="V747" i="3"/>
  <c r="AJ898" i="3" l="1"/>
  <c r="AL897" i="3"/>
  <c r="AM897" i="3" s="1"/>
  <c r="AO897" i="3"/>
  <c r="AN897" i="3"/>
  <c r="U748" i="3"/>
  <c r="W747" i="3"/>
  <c r="X747" i="3" s="1"/>
  <c r="Y747" i="3"/>
  <c r="Z747" i="3"/>
  <c r="AK898" i="3" l="1"/>
  <c r="AO898" i="3"/>
  <c r="AN898" i="3"/>
  <c r="V748" i="3"/>
  <c r="AL898" i="3" l="1"/>
  <c r="AM898" i="3" s="1"/>
  <c r="AJ899" i="3"/>
  <c r="W748" i="3"/>
  <c r="X748" i="3" s="1"/>
  <c r="U749" i="3"/>
  <c r="Z748" i="3"/>
  <c r="Y748" i="3"/>
  <c r="AK899" i="3" l="1"/>
  <c r="AN899" i="3"/>
  <c r="V749" i="3"/>
  <c r="Z749" i="3" s="1"/>
  <c r="AJ900" i="3" l="1"/>
  <c r="AL899" i="3"/>
  <c r="AM899" i="3" s="1"/>
  <c r="AO899" i="3"/>
  <c r="U750" i="3"/>
  <c r="W749" i="3"/>
  <c r="X749" i="3" s="1"/>
  <c r="Y749" i="3"/>
  <c r="AK900" i="3" l="1"/>
  <c r="AO900" i="3" s="1"/>
  <c r="AN900" i="3"/>
  <c r="V750" i="3"/>
  <c r="Z750" i="3"/>
  <c r="AJ901" i="3" l="1"/>
  <c r="AL900" i="3"/>
  <c r="AM900" i="3" s="1"/>
  <c r="W750" i="3"/>
  <c r="X750" i="3" s="1"/>
  <c r="U751" i="3"/>
  <c r="Y750" i="3"/>
  <c r="AK901" i="3" l="1"/>
  <c r="V751" i="3"/>
  <c r="AJ902" i="3" l="1"/>
  <c r="AL901" i="3"/>
  <c r="AM901" i="3" s="1"/>
  <c r="AO901" i="3"/>
  <c r="AN901" i="3"/>
  <c r="U752" i="3"/>
  <c r="W751" i="3"/>
  <c r="X751" i="3" s="1"/>
  <c r="Z751" i="3"/>
  <c r="Y751" i="3"/>
  <c r="AK902" i="3" l="1"/>
  <c r="AN902" i="3"/>
  <c r="AO902" i="3"/>
  <c r="V752" i="3"/>
  <c r="AJ903" i="3" l="1"/>
  <c r="AL902" i="3"/>
  <c r="AM902" i="3" s="1"/>
  <c r="W752" i="3"/>
  <c r="X752" i="3" s="1"/>
  <c r="U753" i="3"/>
  <c r="Z752" i="3"/>
  <c r="Y752" i="3"/>
  <c r="AK903" i="3" l="1"/>
  <c r="V753" i="3"/>
  <c r="Y753" i="3"/>
  <c r="Z753" i="3"/>
  <c r="AL903" i="3" l="1"/>
  <c r="AM903" i="3" s="1"/>
  <c r="AJ904" i="3"/>
  <c r="AO903" i="3"/>
  <c r="AN903" i="3"/>
  <c r="W753" i="3"/>
  <c r="X753" i="3" s="1"/>
  <c r="U754" i="3"/>
  <c r="AK904" i="3" l="1"/>
  <c r="AN904" i="3"/>
  <c r="AO904" i="3"/>
  <c r="V754" i="3"/>
  <c r="Z754" i="3"/>
  <c r="Y754" i="3"/>
  <c r="AJ905" i="3" l="1"/>
  <c r="AL904" i="3"/>
  <c r="AM904" i="3" s="1"/>
  <c r="U755" i="3"/>
  <c r="W754" i="3"/>
  <c r="X754" i="3" s="1"/>
  <c r="AK905" i="3" l="1"/>
  <c r="V755" i="3"/>
  <c r="Y755" i="3"/>
  <c r="Z755" i="3"/>
  <c r="AJ906" i="3" l="1"/>
  <c r="AL905" i="3"/>
  <c r="AM905" i="3" s="1"/>
  <c r="AO905" i="3"/>
  <c r="AN905" i="3"/>
  <c r="U756" i="3"/>
  <c r="W755" i="3"/>
  <c r="X755" i="3" s="1"/>
  <c r="AK906" i="3" l="1"/>
  <c r="AO906" i="3"/>
  <c r="V756" i="3"/>
  <c r="Z756" i="3"/>
  <c r="AL906" i="3" l="1"/>
  <c r="AM906" i="3" s="1"/>
  <c r="AJ907" i="3"/>
  <c r="AN906" i="3"/>
  <c r="U757" i="3"/>
  <c r="W756" i="3"/>
  <c r="X756" i="3" s="1"/>
  <c r="Y756" i="3"/>
  <c r="AK907" i="3" l="1"/>
  <c r="AO907" i="3"/>
  <c r="AN907" i="3"/>
  <c r="V757" i="3"/>
  <c r="Y757" i="3"/>
  <c r="AL907" i="3" l="1"/>
  <c r="AM907" i="3" s="1"/>
  <c r="AJ908" i="3"/>
  <c r="U758" i="3"/>
  <c r="W757" i="3"/>
  <c r="X757" i="3" s="1"/>
  <c r="Z757" i="3"/>
  <c r="AK908" i="3" l="1"/>
  <c r="AN908" i="3"/>
  <c r="AO908" i="3"/>
  <c r="V758" i="3"/>
  <c r="Y758" i="3"/>
  <c r="Z758" i="3"/>
  <c r="AL908" i="3" l="1"/>
  <c r="AM908" i="3" s="1"/>
  <c r="AJ909" i="3"/>
  <c r="W758" i="3"/>
  <c r="X758" i="3" s="1"/>
  <c r="U759" i="3"/>
  <c r="AK909" i="3" l="1"/>
  <c r="AN909" i="3" s="1"/>
  <c r="V759" i="3"/>
  <c r="AO909" i="3" l="1"/>
  <c r="AJ910" i="3"/>
  <c r="AL909" i="3"/>
  <c r="AM909" i="3" s="1"/>
  <c r="U760" i="3"/>
  <c r="W759" i="3"/>
  <c r="X759" i="3" s="1"/>
  <c r="Z759" i="3"/>
  <c r="Y759" i="3"/>
  <c r="AK910" i="3" l="1"/>
  <c r="AO910" i="3" s="1"/>
  <c r="V760" i="3"/>
  <c r="Y760" i="3"/>
  <c r="Z760" i="3"/>
  <c r="AJ911" i="3" l="1"/>
  <c r="AL910" i="3"/>
  <c r="AM910" i="3" s="1"/>
  <c r="AN910" i="3"/>
  <c r="W760" i="3"/>
  <c r="X760" i="3" s="1"/>
  <c r="U761" i="3"/>
  <c r="AK911" i="3" l="1"/>
  <c r="AO911" i="3"/>
  <c r="V761" i="3"/>
  <c r="Z761" i="3" s="1"/>
  <c r="AL911" i="3" l="1"/>
  <c r="AM911" i="3" s="1"/>
  <c r="AJ912" i="3"/>
  <c r="AN911" i="3"/>
  <c r="U762" i="3"/>
  <c r="W761" i="3"/>
  <c r="X761" i="3" s="1"/>
  <c r="Y761" i="3"/>
  <c r="AK912" i="3" l="1"/>
  <c r="V762" i="3"/>
  <c r="Z762" i="3" s="1"/>
  <c r="Y762" i="3"/>
  <c r="AJ913" i="3" l="1"/>
  <c r="AL912" i="3"/>
  <c r="AM912" i="3" s="1"/>
  <c r="AN912" i="3"/>
  <c r="AO912" i="3"/>
  <c r="W762" i="3"/>
  <c r="X762" i="3" s="1"/>
  <c r="U763" i="3"/>
  <c r="AK913" i="3" l="1"/>
  <c r="AN913" i="3"/>
  <c r="V763" i="3"/>
  <c r="AL913" i="3" l="1"/>
  <c r="AM913" i="3" s="1"/>
  <c r="AJ914" i="3"/>
  <c r="AO913" i="3"/>
  <c r="W763" i="3"/>
  <c r="X763" i="3" s="1"/>
  <c r="U764" i="3"/>
  <c r="Z763" i="3"/>
  <c r="Y763" i="3"/>
  <c r="AK914" i="3" l="1"/>
  <c r="V764" i="3"/>
  <c r="Y764" i="3"/>
  <c r="Z764" i="3"/>
  <c r="AJ915" i="3" l="1"/>
  <c r="AL914" i="3"/>
  <c r="AM914" i="3" s="1"/>
  <c r="AO914" i="3"/>
  <c r="AN914" i="3"/>
  <c r="U765" i="3"/>
  <c r="W764" i="3"/>
  <c r="X764" i="3" s="1"/>
  <c r="AK915" i="3" l="1"/>
  <c r="AN915" i="3"/>
  <c r="AO915" i="3"/>
  <c r="V765" i="3"/>
  <c r="Y765" i="3" s="1"/>
  <c r="AL915" i="3" l="1"/>
  <c r="AM915" i="3" s="1"/>
  <c r="AJ916" i="3"/>
  <c r="W765" i="3"/>
  <c r="X765" i="3" s="1"/>
  <c r="U766" i="3"/>
  <c r="Z765" i="3"/>
  <c r="AK916" i="3" l="1"/>
  <c r="V766" i="3"/>
  <c r="Z766" i="3"/>
  <c r="AJ917" i="3" l="1"/>
  <c r="AL916" i="3"/>
  <c r="AM916" i="3" s="1"/>
  <c r="AO916" i="3"/>
  <c r="AN916" i="3"/>
  <c r="W766" i="3"/>
  <c r="X766" i="3" s="1"/>
  <c r="U767" i="3"/>
  <c r="Y766" i="3"/>
  <c r="AK917" i="3" l="1"/>
  <c r="V767" i="3"/>
  <c r="Y767" i="3"/>
  <c r="Z767" i="3"/>
  <c r="AL917" i="3" l="1"/>
  <c r="AM917" i="3" s="1"/>
  <c r="AJ918" i="3"/>
  <c r="AO917" i="3"/>
  <c r="AN917" i="3"/>
  <c r="W767" i="3"/>
  <c r="X767" i="3" s="1"/>
  <c r="U768" i="3"/>
  <c r="AK918" i="3" l="1"/>
  <c r="AO918" i="3"/>
  <c r="V768" i="3"/>
  <c r="Z768" i="3" s="1"/>
  <c r="AL918" i="3" l="1"/>
  <c r="AM918" i="3" s="1"/>
  <c r="AJ919" i="3"/>
  <c r="AN918" i="3"/>
  <c r="W768" i="3"/>
  <c r="X768" i="3" s="1"/>
  <c r="U769" i="3"/>
  <c r="Y768" i="3"/>
  <c r="AK919" i="3" l="1"/>
  <c r="AO919" i="3" s="1"/>
  <c r="V769" i="3"/>
  <c r="Y769" i="3"/>
  <c r="Z769" i="3"/>
  <c r="AJ920" i="3" l="1"/>
  <c r="AL919" i="3"/>
  <c r="AM919" i="3" s="1"/>
  <c r="AN919" i="3"/>
  <c r="U770" i="3"/>
  <c r="W769" i="3"/>
  <c r="X769" i="3" s="1"/>
  <c r="AK920" i="3" l="1"/>
  <c r="AN920" i="3"/>
  <c r="V770" i="3"/>
  <c r="Y770" i="3" s="1"/>
  <c r="AL920" i="3" l="1"/>
  <c r="AM920" i="3" s="1"/>
  <c r="AJ921" i="3"/>
  <c r="AO920" i="3"/>
  <c r="U771" i="3"/>
  <c r="W770" i="3"/>
  <c r="X770" i="3" s="1"/>
  <c r="Z770" i="3"/>
  <c r="AK921" i="3" l="1"/>
  <c r="V771" i="3"/>
  <c r="Z771" i="3"/>
  <c r="AJ922" i="3" l="1"/>
  <c r="AL921" i="3"/>
  <c r="AM921" i="3" s="1"/>
  <c r="AO921" i="3"/>
  <c r="AN921" i="3"/>
  <c r="W771" i="3"/>
  <c r="X771" i="3" s="1"/>
  <c r="U772" i="3"/>
  <c r="Y771" i="3"/>
  <c r="AK922" i="3" l="1"/>
  <c r="AN922" i="3"/>
  <c r="AO922" i="3"/>
  <c r="V772" i="3"/>
  <c r="AL922" i="3" l="1"/>
  <c r="AM922" i="3" s="1"/>
  <c r="AJ923" i="3"/>
  <c r="U773" i="3"/>
  <c r="W772" i="3"/>
  <c r="X772" i="3" s="1"/>
  <c r="Z772" i="3"/>
  <c r="Y772" i="3"/>
  <c r="AK923" i="3" l="1"/>
  <c r="V773" i="3"/>
  <c r="AL923" i="3" l="1"/>
  <c r="AM923" i="3" s="1"/>
  <c r="AJ924" i="3"/>
  <c r="AN923" i="3"/>
  <c r="AO923" i="3"/>
  <c r="W773" i="3"/>
  <c r="X773" i="3" s="1"/>
  <c r="U774" i="3"/>
  <c r="Z773" i="3"/>
  <c r="Y773" i="3"/>
  <c r="AK924" i="3" l="1"/>
  <c r="AN924" i="3"/>
  <c r="AO924" i="3"/>
  <c r="V774" i="3"/>
  <c r="Z774" i="3"/>
  <c r="AJ925" i="3" l="1"/>
  <c r="AL924" i="3"/>
  <c r="AM924" i="3" s="1"/>
  <c r="U775" i="3"/>
  <c r="W774" i="3"/>
  <c r="X774" i="3" s="1"/>
  <c r="Y774" i="3"/>
  <c r="AK925" i="3" l="1"/>
  <c r="AN925" i="3"/>
  <c r="V775" i="3"/>
  <c r="AJ926" i="3" l="1"/>
  <c r="AL925" i="3"/>
  <c r="AM925" i="3" s="1"/>
  <c r="AO925" i="3"/>
  <c r="W775" i="3"/>
  <c r="X775" i="3" s="1"/>
  <c r="U776" i="3"/>
  <c r="Z775" i="3"/>
  <c r="Y775" i="3"/>
  <c r="AK926" i="3" l="1"/>
  <c r="V776" i="3"/>
  <c r="Z776" i="3"/>
  <c r="AJ927" i="3" l="1"/>
  <c r="AL926" i="3"/>
  <c r="AM926" i="3" s="1"/>
  <c r="AO926" i="3"/>
  <c r="AN926" i="3"/>
  <c r="W776" i="3"/>
  <c r="X776" i="3" s="1"/>
  <c r="U777" i="3"/>
  <c r="Y776" i="3"/>
  <c r="AK927" i="3" l="1"/>
  <c r="V777" i="3"/>
  <c r="Y777" i="3"/>
  <c r="AL927" i="3" l="1"/>
  <c r="AM927" i="3" s="1"/>
  <c r="AJ928" i="3"/>
  <c r="AO927" i="3"/>
  <c r="AN927" i="3"/>
  <c r="U778" i="3"/>
  <c r="W777" i="3"/>
  <c r="X777" i="3" s="1"/>
  <c r="Z777" i="3"/>
  <c r="AK928" i="3" l="1"/>
  <c r="V778" i="3"/>
  <c r="Z778" i="3" s="1"/>
  <c r="Y778" i="3"/>
  <c r="AL928" i="3" l="1"/>
  <c r="AM928" i="3" s="1"/>
  <c r="AJ929" i="3"/>
  <c r="AN928" i="3"/>
  <c r="AO928" i="3"/>
  <c r="W778" i="3"/>
  <c r="X778" i="3" s="1"/>
  <c r="U779" i="3"/>
  <c r="AK929" i="3" l="1"/>
  <c r="AO929" i="3"/>
  <c r="V779" i="3"/>
  <c r="AJ930" i="3" l="1"/>
  <c r="AL929" i="3"/>
  <c r="AM929" i="3" s="1"/>
  <c r="AN929" i="3"/>
  <c r="U780" i="3"/>
  <c r="W779" i="3"/>
  <c r="X779" i="3" s="1"/>
  <c r="Z779" i="3"/>
  <c r="Y779" i="3"/>
  <c r="AK930" i="3" l="1"/>
  <c r="AO930" i="3"/>
  <c r="AN930" i="3"/>
  <c r="V780" i="3"/>
  <c r="Y780" i="3"/>
  <c r="Z780" i="3"/>
  <c r="AJ931" i="3" l="1"/>
  <c r="AL930" i="3"/>
  <c r="AM930" i="3" s="1"/>
  <c r="W780" i="3"/>
  <c r="X780" i="3" s="1"/>
  <c r="U781" i="3"/>
  <c r="AK931" i="3" l="1"/>
  <c r="AO931" i="3"/>
  <c r="V781" i="3"/>
  <c r="Z781" i="3"/>
  <c r="AL931" i="3" l="1"/>
  <c r="AM931" i="3" s="1"/>
  <c r="AJ932" i="3"/>
  <c r="AN931" i="3"/>
  <c r="U782" i="3"/>
  <c r="W781" i="3"/>
  <c r="X781" i="3" s="1"/>
  <c r="Y781" i="3"/>
  <c r="AK932" i="3" l="1"/>
  <c r="AO932" i="3"/>
  <c r="AN932" i="3"/>
  <c r="V782" i="3"/>
  <c r="Y782" i="3"/>
  <c r="Z782" i="3"/>
  <c r="AJ933" i="3" l="1"/>
  <c r="AL932" i="3"/>
  <c r="AM932" i="3" s="1"/>
  <c r="W782" i="3"/>
  <c r="X782" i="3" s="1"/>
  <c r="U783" i="3"/>
  <c r="AK933" i="3" l="1"/>
  <c r="AN933" i="3"/>
  <c r="AO933" i="3"/>
  <c r="V783" i="3"/>
  <c r="Y783" i="3"/>
  <c r="AL933" i="3" l="1"/>
  <c r="AM933" i="3" s="1"/>
  <c r="AJ934" i="3"/>
  <c r="W783" i="3"/>
  <c r="X783" i="3" s="1"/>
  <c r="U784" i="3"/>
  <c r="Z783" i="3"/>
  <c r="AK934" i="3" l="1"/>
  <c r="AO934" i="3"/>
  <c r="AN934" i="3"/>
  <c r="V784" i="3"/>
  <c r="AJ935" i="3" l="1"/>
  <c r="AL934" i="3"/>
  <c r="AM934" i="3" s="1"/>
  <c r="U785" i="3"/>
  <c r="W784" i="3"/>
  <c r="X784" i="3" s="1"/>
  <c r="Y784" i="3"/>
  <c r="Z784" i="3"/>
  <c r="AK935" i="3" l="1"/>
  <c r="AO935" i="3"/>
  <c r="AN935" i="3"/>
  <c r="V785" i="3"/>
  <c r="AL935" i="3" l="1"/>
  <c r="AM935" i="3" s="1"/>
  <c r="AJ936" i="3"/>
  <c r="U786" i="3"/>
  <c r="W785" i="3"/>
  <c r="X785" i="3" s="1"/>
  <c r="Z785" i="3"/>
  <c r="Y785" i="3"/>
  <c r="AK936" i="3" l="1"/>
  <c r="V786" i="3"/>
  <c r="Z786" i="3"/>
  <c r="AJ937" i="3" l="1"/>
  <c r="AL936" i="3"/>
  <c r="AM936" i="3" s="1"/>
  <c r="AO936" i="3"/>
  <c r="AN936" i="3"/>
  <c r="W786" i="3"/>
  <c r="X786" i="3" s="1"/>
  <c r="U787" i="3"/>
  <c r="Y786" i="3"/>
  <c r="AK937" i="3" l="1"/>
  <c r="AO937" i="3"/>
  <c r="AN937" i="3"/>
  <c r="V787" i="3"/>
  <c r="Z787" i="3"/>
  <c r="AJ938" i="3" l="1"/>
  <c r="AL937" i="3"/>
  <c r="AM937" i="3" s="1"/>
  <c r="W787" i="3"/>
  <c r="X787" i="3" s="1"/>
  <c r="U788" i="3"/>
  <c r="Y787" i="3"/>
  <c r="AK938" i="3" l="1"/>
  <c r="AN938" i="3"/>
  <c r="V788" i="3"/>
  <c r="Y788" i="3"/>
  <c r="Z788" i="3"/>
  <c r="AL938" i="3" l="1"/>
  <c r="AM938" i="3" s="1"/>
  <c r="AJ939" i="3"/>
  <c r="AO938" i="3"/>
  <c r="W788" i="3"/>
  <c r="X788" i="3" s="1"/>
  <c r="U789" i="3"/>
  <c r="AK939" i="3" l="1"/>
  <c r="AN939" i="3"/>
  <c r="AO939" i="3"/>
  <c r="V789" i="3"/>
  <c r="AJ940" i="3" l="1"/>
  <c r="AL939" i="3"/>
  <c r="AM939" i="3" s="1"/>
  <c r="U790" i="3"/>
  <c r="W789" i="3"/>
  <c r="X789" i="3" s="1"/>
  <c r="Z789" i="3"/>
  <c r="Y789" i="3"/>
  <c r="AK940" i="3" l="1"/>
  <c r="V790" i="3"/>
  <c r="Z790" i="3"/>
  <c r="Y790" i="3"/>
  <c r="AL940" i="3" l="1"/>
  <c r="AM940" i="3" s="1"/>
  <c r="AJ941" i="3"/>
  <c r="AO940" i="3"/>
  <c r="AN940" i="3"/>
  <c r="W790" i="3"/>
  <c r="X790" i="3" s="1"/>
  <c r="U791" i="3"/>
  <c r="AK941" i="3" l="1"/>
  <c r="AO941" i="3"/>
  <c r="V791" i="3"/>
  <c r="Z791" i="3"/>
  <c r="AL941" i="3" l="1"/>
  <c r="AM941" i="3" s="1"/>
  <c r="AJ942" i="3"/>
  <c r="AN941" i="3"/>
  <c r="W791" i="3"/>
  <c r="X791" i="3" s="1"/>
  <c r="U792" i="3"/>
  <c r="Y791" i="3"/>
  <c r="AK942" i="3" l="1"/>
  <c r="V792" i="3"/>
  <c r="Y792" i="3"/>
  <c r="Z792" i="3"/>
  <c r="AJ943" i="3" l="1"/>
  <c r="AL942" i="3"/>
  <c r="AM942" i="3" s="1"/>
  <c r="AO942" i="3"/>
  <c r="AN942" i="3"/>
  <c r="U793" i="3"/>
  <c r="W792" i="3"/>
  <c r="X792" i="3" s="1"/>
  <c r="AK943" i="3" l="1"/>
  <c r="AN943" i="3"/>
  <c r="V793" i="3"/>
  <c r="Y793" i="3"/>
  <c r="Z793" i="3"/>
  <c r="AL943" i="3" l="1"/>
  <c r="AM943" i="3" s="1"/>
  <c r="AJ944" i="3"/>
  <c r="AO943" i="3"/>
  <c r="W793" i="3"/>
  <c r="X793" i="3" s="1"/>
  <c r="U794" i="3"/>
  <c r="AK944" i="3" l="1"/>
  <c r="V794" i="3"/>
  <c r="Y794" i="3"/>
  <c r="AJ945" i="3" l="1"/>
  <c r="AL944" i="3"/>
  <c r="AM944" i="3" s="1"/>
  <c r="AN944" i="3"/>
  <c r="AO944" i="3"/>
  <c r="U795" i="3"/>
  <c r="W794" i="3"/>
  <c r="X794" i="3" s="1"/>
  <c r="Z794" i="3"/>
  <c r="AK945" i="3" l="1"/>
  <c r="AN945" i="3"/>
  <c r="AO945" i="3"/>
  <c r="V795" i="3"/>
  <c r="Z795" i="3"/>
  <c r="Y795" i="3"/>
  <c r="AL945" i="3" l="1"/>
  <c r="AM945" i="3" s="1"/>
  <c r="AJ946" i="3"/>
  <c r="U796" i="3"/>
  <c r="W795" i="3"/>
  <c r="X795" i="3" s="1"/>
  <c r="AK946" i="3" l="1"/>
  <c r="AO946" i="3"/>
  <c r="V796" i="3"/>
  <c r="Z796" i="3"/>
  <c r="AL946" i="3" l="1"/>
  <c r="AM946" i="3" s="1"/>
  <c r="AJ947" i="3"/>
  <c r="AN946" i="3"/>
  <c r="W796" i="3"/>
  <c r="X796" i="3" s="1"/>
  <c r="U797" i="3"/>
  <c r="Y796" i="3"/>
  <c r="AK947" i="3" l="1"/>
  <c r="V797" i="3"/>
  <c r="Z797" i="3"/>
  <c r="Y797" i="3"/>
  <c r="AJ948" i="3" l="1"/>
  <c r="AL947" i="3"/>
  <c r="AM947" i="3" s="1"/>
  <c r="AO947" i="3"/>
  <c r="AN947" i="3"/>
  <c r="W797" i="3"/>
  <c r="X797" i="3" s="1"/>
  <c r="U798" i="3"/>
  <c r="AK948" i="3" l="1"/>
  <c r="AO948" i="3"/>
  <c r="AN948" i="3"/>
  <c r="V798" i="3"/>
  <c r="Y798" i="3" s="1"/>
  <c r="Z798" i="3"/>
  <c r="AL948" i="3" l="1"/>
  <c r="AM948" i="3" s="1"/>
  <c r="AJ949" i="3"/>
  <c r="W798" i="3"/>
  <c r="X798" i="3" s="1"/>
  <c r="U799" i="3"/>
  <c r="AK949" i="3" l="1"/>
  <c r="V799" i="3"/>
  <c r="Y799" i="3"/>
  <c r="AJ950" i="3" l="1"/>
  <c r="AL949" i="3"/>
  <c r="AM949" i="3" s="1"/>
  <c r="AN949" i="3"/>
  <c r="AO949" i="3"/>
  <c r="U800" i="3"/>
  <c r="W799" i="3"/>
  <c r="X799" i="3" s="1"/>
  <c r="Z799" i="3"/>
  <c r="AK950" i="3" l="1"/>
  <c r="AN950" i="3" s="1"/>
  <c r="AO950" i="3"/>
  <c r="V800" i="3"/>
  <c r="Z800" i="3"/>
  <c r="AL950" i="3" l="1"/>
  <c r="AM950" i="3" s="1"/>
  <c r="AJ951" i="3"/>
  <c r="U801" i="3"/>
  <c r="W800" i="3"/>
  <c r="X800" i="3" s="1"/>
  <c r="Y800" i="3"/>
  <c r="AK951" i="3" l="1"/>
  <c r="V801" i="3"/>
  <c r="Z801" i="3"/>
  <c r="AJ952" i="3" l="1"/>
  <c r="AL951" i="3"/>
  <c r="AM951" i="3" s="1"/>
  <c r="AO951" i="3"/>
  <c r="AN951" i="3"/>
  <c r="U802" i="3"/>
  <c r="W801" i="3"/>
  <c r="X801" i="3" s="1"/>
  <c r="Y801" i="3"/>
  <c r="AK952" i="3" l="1"/>
  <c r="V802" i="3"/>
  <c r="Z802" i="3"/>
  <c r="AL952" i="3" l="1"/>
  <c r="AM952" i="3" s="1"/>
  <c r="AJ953" i="3"/>
  <c r="AO952" i="3"/>
  <c r="AN952" i="3"/>
  <c r="U803" i="3"/>
  <c r="W802" i="3"/>
  <c r="X802" i="3" s="1"/>
  <c r="Y802" i="3"/>
  <c r="AK953" i="3" l="1"/>
  <c r="V803" i="3"/>
  <c r="Y803" i="3"/>
  <c r="Z803" i="3"/>
  <c r="AL953" i="3" l="1"/>
  <c r="AM953" i="3" s="1"/>
  <c r="AJ954" i="3"/>
  <c r="AO953" i="3"/>
  <c r="AN953" i="3"/>
  <c r="W803" i="3"/>
  <c r="X803" i="3" s="1"/>
  <c r="U804" i="3"/>
  <c r="AK954" i="3" l="1"/>
  <c r="V804" i="3"/>
  <c r="Y804" i="3" s="1"/>
  <c r="AJ955" i="3" l="1"/>
  <c r="AL954" i="3"/>
  <c r="AM954" i="3" s="1"/>
  <c r="AO954" i="3"/>
  <c r="AN954" i="3"/>
  <c r="U805" i="3"/>
  <c r="W804" i="3"/>
  <c r="X804" i="3" s="1"/>
  <c r="Z804" i="3"/>
  <c r="AK955" i="3" l="1"/>
  <c r="AO955" i="3"/>
  <c r="V805" i="3"/>
  <c r="Y805" i="3"/>
  <c r="Z805" i="3"/>
  <c r="AL955" i="3" l="1"/>
  <c r="AM955" i="3" s="1"/>
  <c r="AJ956" i="3"/>
  <c r="AN955" i="3"/>
  <c r="W805" i="3"/>
  <c r="X805" i="3" s="1"/>
  <c r="U806" i="3"/>
  <c r="AK956" i="3" l="1"/>
  <c r="V806" i="3"/>
  <c r="AJ957" i="3" l="1"/>
  <c r="AL956" i="3"/>
  <c r="AM956" i="3" s="1"/>
  <c r="AO956" i="3"/>
  <c r="AN956" i="3"/>
  <c r="U807" i="3"/>
  <c r="W806" i="3"/>
  <c r="X806" i="3" s="1"/>
  <c r="Z806" i="3"/>
  <c r="Y806" i="3"/>
  <c r="AK957" i="3" l="1"/>
  <c r="AN957" i="3"/>
  <c r="AO957" i="3"/>
  <c r="V807" i="3"/>
  <c r="Y807" i="3"/>
  <c r="AL957" i="3" l="1"/>
  <c r="AM957" i="3" s="1"/>
  <c r="AJ958" i="3"/>
  <c r="W807" i="3"/>
  <c r="X807" i="3" s="1"/>
  <c r="U808" i="3"/>
  <c r="Z807" i="3"/>
  <c r="AK958" i="3" l="1"/>
  <c r="V808" i="3"/>
  <c r="Z808" i="3"/>
  <c r="Y808" i="3"/>
  <c r="AL958" i="3" l="1"/>
  <c r="AM958" i="3" s="1"/>
  <c r="AJ959" i="3"/>
  <c r="AN958" i="3"/>
  <c r="AO958" i="3"/>
  <c r="W808" i="3"/>
  <c r="X808" i="3" s="1"/>
  <c r="U809" i="3"/>
  <c r="AK959" i="3" l="1"/>
  <c r="AN959" i="3"/>
  <c r="AO959" i="3"/>
  <c r="V809" i="3"/>
  <c r="Y809" i="3"/>
  <c r="AJ960" i="3" l="1"/>
  <c r="AL959" i="3"/>
  <c r="AM959" i="3" s="1"/>
  <c r="U810" i="3"/>
  <c r="W809" i="3"/>
  <c r="X809" i="3" s="1"/>
  <c r="Z809" i="3"/>
  <c r="AO960" i="3" l="1"/>
  <c r="AK960" i="3"/>
  <c r="V810" i="3"/>
  <c r="Y810" i="3" s="1"/>
  <c r="AJ961" i="3" l="1"/>
  <c r="AL960" i="3"/>
  <c r="AM960" i="3" s="1"/>
  <c r="AN960" i="3"/>
  <c r="U811" i="3"/>
  <c r="W810" i="3"/>
  <c r="X810" i="3" s="1"/>
  <c r="Z810" i="3"/>
  <c r="AK961" i="3" l="1"/>
  <c r="AO961" i="3"/>
  <c r="V811" i="3"/>
  <c r="Z811" i="3"/>
  <c r="AL961" i="3" l="1"/>
  <c r="AM961" i="3" s="1"/>
  <c r="AJ962" i="3"/>
  <c r="AN961" i="3"/>
  <c r="W811" i="3"/>
  <c r="X811" i="3" s="1"/>
  <c r="U812" i="3"/>
  <c r="Y811" i="3"/>
  <c r="AK962" i="3" l="1"/>
  <c r="AN962" i="3"/>
  <c r="V812" i="3"/>
  <c r="AJ963" i="3" l="1"/>
  <c r="AL962" i="3"/>
  <c r="AM962" i="3" s="1"/>
  <c r="AO962" i="3"/>
  <c r="U813" i="3"/>
  <c r="W812" i="3"/>
  <c r="X812" i="3" s="1"/>
  <c r="Y812" i="3"/>
  <c r="Z812" i="3"/>
  <c r="AK963" i="3" l="1"/>
  <c r="V813" i="3"/>
  <c r="Y813" i="3"/>
  <c r="Z813" i="3"/>
  <c r="AL963" i="3" l="1"/>
  <c r="AM963" i="3" s="1"/>
  <c r="AJ964" i="3"/>
  <c r="AO963" i="3"/>
  <c r="AN963" i="3"/>
  <c r="W813" i="3"/>
  <c r="X813" i="3" s="1"/>
  <c r="U814" i="3"/>
  <c r="AK964" i="3" l="1"/>
  <c r="V814" i="3"/>
  <c r="Y814" i="3"/>
  <c r="AJ965" i="3" l="1"/>
  <c r="AL964" i="3"/>
  <c r="AM964" i="3" s="1"/>
  <c r="AO964" i="3"/>
  <c r="AN964" i="3"/>
  <c r="U815" i="3"/>
  <c r="W814" i="3"/>
  <c r="X814" i="3" s="1"/>
  <c r="Z814" i="3"/>
  <c r="AK965" i="3" l="1"/>
  <c r="V815" i="3"/>
  <c r="Z815" i="3"/>
  <c r="Y815" i="3"/>
  <c r="AJ966" i="3" l="1"/>
  <c r="AL965" i="3"/>
  <c r="AM965" i="3" s="1"/>
  <c r="AN965" i="3"/>
  <c r="AO965" i="3"/>
  <c r="W815" i="3"/>
  <c r="X815" i="3" s="1"/>
  <c r="U816" i="3"/>
  <c r="AK966" i="3" l="1"/>
  <c r="V816" i="3"/>
  <c r="AL966" i="3" l="1"/>
  <c r="AM966" i="3" s="1"/>
  <c r="AJ967" i="3"/>
  <c r="AO966" i="3"/>
  <c r="AN966" i="3"/>
  <c r="W816" i="3"/>
  <c r="X816" i="3" s="1"/>
  <c r="U817" i="3"/>
  <c r="Z816" i="3"/>
  <c r="Y816" i="3"/>
  <c r="AK967" i="3" l="1"/>
  <c r="AN967" i="3"/>
  <c r="V817" i="3"/>
  <c r="Y817" i="3"/>
  <c r="Z817" i="3"/>
  <c r="AJ968" i="3" l="1"/>
  <c r="AL967" i="3"/>
  <c r="AM967" i="3" s="1"/>
  <c r="AO967" i="3"/>
  <c r="W817" i="3"/>
  <c r="X817" i="3" s="1"/>
  <c r="U818" i="3"/>
  <c r="AK968" i="3" l="1"/>
  <c r="V818" i="3"/>
  <c r="Z818" i="3"/>
  <c r="Y818" i="3"/>
  <c r="AL968" i="3" l="1"/>
  <c r="AM968" i="3" s="1"/>
  <c r="AJ969" i="3"/>
  <c r="AO968" i="3"/>
  <c r="AN968" i="3"/>
  <c r="W818" i="3"/>
  <c r="X818" i="3" s="1"/>
  <c r="U819" i="3"/>
  <c r="AK969" i="3" l="1"/>
  <c r="AO969" i="3"/>
  <c r="AN969" i="3"/>
  <c r="V819" i="3"/>
  <c r="Y819" i="3"/>
  <c r="AJ970" i="3" l="1"/>
  <c r="AL969" i="3"/>
  <c r="AM969" i="3" s="1"/>
  <c r="U820" i="3"/>
  <c r="W819" i="3"/>
  <c r="X819" i="3" s="1"/>
  <c r="Z819" i="3"/>
  <c r="AK970" i="3" l="1"/>
  <c r="V820" i="3"/>
  <c r="Z820" i="3"/>
  <c r="Y820" i="3"/>
  <c r="AL970" i="3" l="1"/>
  <c r="AM970" i="3" s="1"/>
  <c r="AJ971" i="3"/>
  <c r="AO970" i="3"/>
  <c r="AN970" i="3"/>
  <c r="W820" i="3"/>
  <c r="X820" i="3" s="1"/>
  <c r="U821" i="3"/>
  <c r="AK971" i="3" l="1"/>
  <c r="AO971" i="3"/>
  <c r="V821" i="3"/>
  <c r="Z821" i="3"/>
  <c r="AL971" i="3" l="1"/>
  <c r="AM971" i="3" s="1"/>
  <c r="AJ972" i="3"/>
  <c r="AN971" i="3"/>
  <c r="W821" i="3"/>
  <c r="X821" i="3" s="1"/>
  <c r="U822" i="3"/>
  <c r="Y821" i="3"/>
  <c r="AK972" i="3" l="1"/>
  <c r="AO972" i="3"/>
  <c r="AN972" i="3"/>
  <c r="V822" i="3"/>
  <c r="Y822" i="3"/>
  <c r="Z822" i="3"/>
  <c r="AL972" i="3" l="1"/>
  <c r="AM972" i="3" s="1"/>
  <c r="AJ973" i="3"/>
  <c r="W822" i="3"/>
  <c r="X822" i="3" s="1"/>
  <c r="U823" i="3"/>
  <c r="AK973" i="3" l="1"/>
  <c r="AN973" i="3"/>
  <c r="AO973" i="3"/>
  <c r="V823" i="3"/>
  <c r="Y823" i="3"/>
  <c r="Z823" i="3"/>
  <c r="AL973" i="3" l="1"/>
  <c r="AM973" i="3" s="1"/>
  <c r="AJ974" i="3"/>
  <c r="W823" i="3"/>
  <c r="X823" i="3" s="1"/>
  <c r="U824" i="3"/>
  <c r="AK974" i="3" l="1"/>
  <c r="AO974" i="3"/>
  <c r="AN974" i="3"/>
  <c r="V824" i="3"/>
  <c r="AJ975" i="3" l="1"/>
  <c r="AL974" i="3"/>
  <c r="AM974" i="3" s="1"/>
  <c r="U825" i="3"/>
  <c r="W824" i="3"/>
  <c r="X824" i="3" s="1"/>
  <c r="Y824" i="3"/>
  <c r="Z824" i="3"/>
  <c r="AK975" i="3" l="1"/>
  <c r="AN975" i="3"/>
  <c r="V825" i="3"/>
  <c r="Z825" i="3"/>
  <c r="AJ976" i="3" l="1"/>
  <c r="AL975" i="3"/>
  <c r="AM975" i="3" s="1"/>
  <c r="AO975" i="3"/>
  <c r="W825" i="3"/>
  <c r="X825" i="3" s="1"/>
  <c r="U826" i="3"/>
  <c r="Y825" i="3"/>
  <c r="AK976" i="3" l="1"/>
  <c r="AO976" i="3"/>
  <c r="V826" i="3"/>
  <c r="Z826" i="3"/>
  <c r="AJ977" i="3" l="1"/>
  <c r="AL976" i="3"/>
  <c r="AM976" i="3" s="1"/>
  <c r="AN976" i="3"/>
  <c r="U827" i="3"/>
  <c r="W826" i="3"/>
  <c r="X826" i="3" s="1"/>
  <c r="Y826" i="3"/>
  <c r="AK977" i="3" l="1"/>
  <c r="V827" i="3"/>
  <c r="Z827" i="3"/>
  <c r="AL977" i="3" l="1"/>
  <c r="AM977" i="3" s="1"/>
  <c r="AJ978" i="3"/>
  <c r="AO977" i="3"/>
  <c r="AN977" i="3"/>
  <c r="W827" i="3"/>
  <c r="X827" i="3" s="1"/>
  <c r="U828" i="3"/>
  <c r="Y827" i="3"/>
  <c r="AK978" i="3" l="1"/>
  <c r="AN978" i="3"/>
  <c r="AO978" i="3"/>
  <c r="V828" i="3"/>
  <c r="Z828" i="3"/>
  <c r="Y828" i="3"/>
  <c r="AL978" i="3" l="1"/>
  <c r="AM978" i="3" s="1"/>
  <c r="AJ979" i="3"/>
  <c r="W828" i="3"/>
  <c r="X828" i="3" s="1"/>
  <c r="U829" i="3"/>
  <c r="AK979" i="3" l="1"/>
  <c r="AO979" i="3" s="1"/>
  <c r="V829" i="3"/>
  <c r="AJ980" i="3" l="1"/>
  <c r="AL979" i="3"/>
  <c r="AM979" i="3" s="1"/>
  <c r="AN979" i="3"/>
  <c r="U830" i="3"/>
  <c r="W829" i="3"/>
  <c r="X829" i="3" s="1"/>
  <c r="Y829" i="3"/>
  <c r="Z829" i="3"/>
  <c r="AK980" i="3" l="1"/>
  <c r="AN980" i="3"/>
  <c r="AO980" i="3"/>
  <c r="V830" i="3"/>
  <c r="Y830" i="3"/>
  <c r="Z830" i="3"/>
  <c r="AL980" i="3" l="1"/>
  <c r="AM980" i="3" s="1"/>
  <c r="AJ981" i="3"/>
  <c r="W830" i="3"/>
  <c r="X830" i="3" s="1"/>
  <c r="U831" i="3"/>
  <c r="AK981" i="3" l="1"/>
  <c r="V831" i="3"/>
  <c r="AL981" i="3" l="1"/>
  <c r="AM981" i="3" s="1"/>
  <c r="AJ982" i="3"/>
  <c r="AO981" i="3"/>
  <c r="AN981" i="3"/>
  <c r="U832" i="3"/>
  <c r="W831" i="3"/>
  <c r="X831" i="3" s="1"/>
  <c r="Z831" i="3"/>
  <c r="Y831" i="3"/>
  <c r="AK982" i="3" l="1"/>
  <c r="AN982" i="3"/>
  <c r="AO982" i="3"/>
  <c r="V832" i="3"/>
  <c r="AL982" i="3" l="1"/>
  <c r="AM982" i="3" s="1"/>
  <c r="AJ983" i="3"/>
  <c r="W832" i="3"/>
  <c r="X832" i="3" s="1"/>
  <c r="U833" i="3"/>
  <c r="Z832" i="3"/>
  <c r="Y832" i="3"/>
  <c r="AK983" i="3" l="1"/>
  <c r="AN983" i="3"/>
  <c r="AO983" i="3"/>
  <c r="V833" i="3"/>
  <c r="Z833" i="3"/>
  <c r="Y833" i="3"/>
  <c r="AL983" i="3" l="1"/>
  <c r="AM983" i="3" s="1"/>
  <c r="AJ984" i="3"/>
  <c r="W833" i="3"/>
  <c r="X833" i="3" s="1"/>
  <c r="U834" i="3"/>
  <c r="AK984" i="3" l="1"/>
  <c r="V834" i="3"/>
  <c r="AJ985" i="3" l="1"/>
  <c r="AL984" i="3"/>
  <c r="AM984" i="3" s="1"/>
  <c r="AO984" i="3"/>
  <c r="AN984" i="3"/>
  <c r="U835" i="3"/>
  <c r="W834" i="3"/>
  <c r="X834" i="3" s="1"/>
  <c r="Y834" i="3"/>
  <c r="Z834" i="3"/>
  <c r="AK985" i="3" l="1"/>
  <c r="AN985" i="3"/>
  <c r="AO985" i="3"/>
  <c r="V835" i="3"/>
  <c r="Y835" i="3" s="1"/>
  <c r="AL985" i="3" l="1"/>
  <c r="AM985" i="3" s="1"/>
  <c r="AJ986" i="3"/>
  <c r="U836" i="3"/>
  <c r="W835" i="3"/>
  <c r="X835" i="3" s="1"/>
  <c r="Z835" i="3"/>
  <c r="AK986" i="3" l="1"/>
  <c r="V836" i="3"/>
  <c r="AJ987" i="3" l="1"/>
  <c r="AL986" i="3"/>
  <c r="AM986" i="3" s="1"/>
  <c r="AO986" i="3"/>
  <c r="AN986" i="3"/>
  <c r="W836" i="3"/>
  <c r="X836" i="3" s="1"/>
  <c r="U837" i="3"/>
  <c r="Z836" i="3"/>
  <c r="Y836" i="3"/>
  <c r="AK987" i="3" l="1"/>
  <c r="AN987" i="3"/>
  <c r="AO987" i="3"/>
  <c r="V837" i="3"/>
  <c r="AL987" i="3" l="1"/>
  <c r="AM987" i="3" s="1"/>
  <c r="AJ988" i="3"/>
  <c r="U838" i="3"/>
  <c r="W837" i="3"/>
  <c r="X837" i="3" s="1"/>
  <c r="Y837" i="3"/>
  <c r="Z837" i="3"/>
  <c r="AK988" i="3" l="1"/>
  <c r="AN988" i="3" s="1"/>
  <c r="V838" i="3"/>
  <c r="Y838" i="3" s="1"/>
  <c r="Z838" i="3"/>
  <c r="AL988" i="3" l="1"/>
  <c r="AM988" i="3" s="1"/>
  <c r="AJ989" i="3"/>
  <c r="AO988" i="3"/>
  <c r="W838" i="3"/>
  <c r="X838" i="3" s="1"/>
  <c r="U839" i="3"/>
  <c r="AK989" i="3" l="1"/>
  <c r="AN989" i="3"/>
  <c r="AO989" i="3"/>
  <c r="V839" i="3"/>
  <c r="Y839" i="3" s="1"/>
  <c r="AJ990" i="3" l="1"/>
  <c r="AL989" i="3"/>
  <c r="AM989" i="3" s="1"/>
  <c r="U840" i="3"/>
  <c r="W839" i="3"/>
  <c r="X839" i="3" s="1"/>
  <c r="Z839" i="3"/>
  <c r="AK990" i="3" l="1"/>
  <c r="V840" i="3"/>
  <c r="Y840" i="3"/>
  <c r="Z840" i="3"/>
  <c r="AL990" i="3" l="1"/>
  <c r="AM990" i="3" s="1"/>
  <c r="AJ991" i="3"/>
  <c r="AO990" i="3"/>
  <c r="AN990" i="3"/>
  <c r="W840" i="3"/>
  <c r="X840" i="3" s="1"/>
  <c r="U841" i="3"/>
  <c r="AK991" i="3" l="1"/>
  <c r="V841" i="3"/>
  <c r="AL991" i="3" l="1"/>
  <c r="AM991" i="3" s="1"/>
  <c r="AJ992" i="3"/>
  <c r="AO991" i="3"/>
  <c r="AN991" i="3"/>
  <c r="U842" i="3"/>
  <c r="W841" i="3"/>
  <c r="X841" i="3" s="1"/>
  <c r="Z841" i="3"/>
  <c r="Y841" i="3"/>
  <c r="AK992" i="3" l="1"/>
  <c r="AO992" i="3"/>
  <c r="V842" i="3"/>
  <c r="Y842" i="3"/>
  <c r="Z842" i="3"/>
  <c r="AJ993" i="3" l="1"/>
  <c r="AL992" i="3"/>
  <c r="AM992" i="3" s="1"/>
  <c r="AN992" i="3"/>
  <c r="W842" i="3"/>
  <c r="X842" i="3" s="1"/>
  <c r="U843" i="3"/>
  <c r="AK993" i="3" l="1"/>
  <c r="V843" i="3"/>
  <c r="Y843" i="3"/>
  <c r="Z843" i="3"/>
  <c r="AL993" i="3" l="1"/>
  <c r="AM993" i="3" s="1"/>
  <c r="AJ994" i="3"/>
  <c r="AO993" i="3"/>
  <c r="AN993" i="3"/>
  <c r="W843" i="3"/>
  <c r="X843" i="3" s="1"/>
  <c r="U844" i="3"/>
  <c r="AK994" i="3" l="1"/>
  <c r="AN994" i="3"/>
  <c r="AO994" i="3"/>
  <c r="V844" i="3"/>
  <c r="Y844" i="3"/>
  <c r="AL994" i="3" l="1"/>
  <c r="AM994" i="3" s="1"/>
  <c r="AJ995" i="3"/>
  <c r="U845" i="3"/>
  <c r="W844" i="3"/>
  <c r="X844" i="3" s="1"/>
  <c r="Z844" i="3"/>
  <c r="AK995" i="3" l="1"/>
  <c r="V845" i="3"/>
  <c r="AJ996" i="3" l="1"/>
  <c r="AL995" i="3"/>
  <c r="AM995" i="3" s="1"/>
  <c r="AO995" i="3"/>
  <c r="AN995" i="3"/>
  <c r="W845" i="3"/>
  <c r="X845" i="3" s="1"/>
  <c r="U846" i="3"/>
  <c r="Z845" i="3"/>
  <c r="Y845" i="3"/>
  <c r="AK996" i="3" l="1"/>
  <c r="AN996" i="3"/>
  <c r="AO996" i="3"/>
  <c r="V846" i="3"/>
  <c r="Z846" i="3"/>
  <c r="Y846" i="3"/>
  <c r="AL996" i="3" l="1"/>
  <c r="AM996" i="3" s="1"/>
  <c r="AJ997" i="3"/>
  <c r="W846" i="3"/>
  <c r="X846" i="3" s="1"/>
  <c r="U847" i="3"/>
  <c r="AK997" i="3" l="1"/>
  <c r="AL997" i="3" s="1"/>
  <c r="AM997" i="3" s="1"/>
  <c r="Q2" i="10" s="1" a="1"/>
  <c r="Q2" i="10" s="1"/>
  <c r="V847" i="3"/>
  <c r="BU8" i="3" l="1" a="1"/>
  <c r="BU8" i="3" s="1"/>
  <c r="N2" i="10" a="1"/>
  <c r="N2" i="10" s="1"/>
  <c r="BU9" i="3" a="1"/>
  <c r="BU9" i="3" s="1"/>
  <c r="AO997" i="3"/>
  <c r="AN997" i="3"/>
  <c r="AB4" i="3" s="1"/>
  <c r="AU8" i="3" s="1"/>
  <c r="AU13" i="3" s="1"/>
  <c r="U848" i="3"/>
  <c r="W847" i="3"/>
  <c r="X847" i="3" s="1"/>
  <c r="Z847" i="3"/>
  <c r="Y847" i="3"/>
  <c r="BR8" i="3" l="1" a="1"/>
  <c r="BR8" i="3" s="1"/>
  <c r="BY8" i="3" s="1"/>
  <c r="BR9" i="3" a="1"/>
  <c r="BR9" i="3" s="1"/>
  <c r="BY9" i="3" s="1"/>
  <c r="V848" i="3"/>
  <c r="Y848" i="3"/>
  <c r="Z848" i="3"/>
  <c r="W848" i="3" l="1"/>
  <c r="X848" i="3" s="1"/>
  <c r="U849" i="3"/>
  <c r="V849" i="3" l="1"/>
  <c r="U850" i="3" l="1"/>
  <c r="W849" i="3"/>
  <c r="X849" i="3" s="1"/>
  <c r="Y849" i="3"/>
  <c r="Z849" i="3"/>
  <c r="V850" i="3" l="1"/>
  <c r="Y850" i="3"/>
  <c r="Z850" i="3"/>
  <c r="W850" i="3" l="1"/>
  <c r="X850" i="3" s="1"/>
  <c r="U851" i="3"/>
  <c r="V851" i="3" l="1"/>
  <c r="Z851" i="3"/>
  <c r="U852" i="3" l="1"/>
  <c r="W851" i="3"/>
  <c r="X851" i="3" s="1"/>
  <c r="Y851" i="3"/>
  <c r="V852" i="3" l="1"/>
  <c r="Y852" i="3"/>
  <c r="Z852" i="3"/>
  <c r="W852" i="3" l="1"/>
  <c r="X852" i="3" s="1"/>
  <c r="U853" i="3"/>
  <c r="V853" i="3" l="1"/>
  <c r="Y853" i="3"/>
  <c r="Z853" i="3"/>
  <c r="W853" i="3" l="1"/>
  <c r="X853" i="3" s="1"/>
  <c r="U854" i="3"/>
  <c r="V854" i="3" l="1"/>
  <c r="Y854" i="3"/>
  <c r="U855" i="3" l="1"/>
  <c r="W854" i="3"/>
  <c r="X854" i="3" s="1"/>
  <c r="Z854" i="3"/>
  <c r="V855" i="3" l="1"/>
  <c r="U856" i="3" l="1"/>
  <c r="W855" i="3"/>
  <c r="X855" i="3" s="1"/>
  <c r="Y855" i="3"/>
  <c r="Z855" i="3"/>
  <c r="V856" i="3" l="1"/>
  <c r="Z856" i="3"/>
  <c r="W856" i="3" l="1"/>
  <c r="X856" i="3" s="1"/>
  <c r="U857" i="3"/>
  <c r="Y856" i="3"/>
  <c r="V857" i="3" l="1"/>
  <c r="Y857" i="3"/>
  <c r="Z857" i="3"/>
  <c r="U858" i="3" l="1"/>
  <c r="W857" i="3"/>
  <c r="X857" i="3" s="1"/>
  <c r="V858" i="3" l="1"/>
  <c r="Y858" i="3"/>
  <c r="Z858" i="3"/>
  <c r="W858" i="3" l="1"/>
  <c r="X858" i="3" s="1"/>
  <c r="U859" i="3"/>
  <c r="V859" i="3" l="1"/>
  <c r="Y859" i="3"/>
  <c r="U860" i="3" l="1"/>
  <c r="W859" i="3"/>
  <c r="X859" i="3" s="1"/>
  <c r="Z859" i="3"/>
  <c r="V860" i="3" l="1"/>
  <c r="W860" i="3" l="1"/>
  <c r="X860" i="3" s="1"/>
  <c r="U861" i="3"/>
  <c r="Z860" i="3"/>
  <c r="Y860" i="3"/>
  <c r="V861" i="3" l="1"/>
  <c r="W861" i="3" l="1"/>
  <c r="X861" i="3" s="1"/>
  <c r="U862" i="3"/>
  <c r="Z861" i="3"/>
  <c r="Y861" i="3"/>
  <c r="V862" i="3" l="1"/>
  <c r="W862" i="3" l="1"/>
  <c r="X862" i="3" s="1"/>
  <c r="U863" i="3"/>
  <c r="Z862" i="3"/>
  <c r="Y862" i="3"/>
  <c r="V863" i="3" l="1"/>
  <c r="Z863" i="3"/>
  <c r="Y863" i="3"/>
  <c r="W863" i="3" l="1"/>
  <c r="X863" i="3" s="1"/>
  <c r="U864" i="3"/>
  <c r="V864" i="3" l="1"/>
  <c r="U865" i="3" l="1"/>
  <c r="W864" i="3"/>
  <c r="X864" i="3" s="1"/>
  <c r="Y864" i="3"/>
  <c r="Z864" i="3"/>
  <c r="V865" i="3" l="1"/>
  <c r="Z865" i="3"/>
  <c r="Y865" i="3"/>
  <c r="W865" i="3" l="1"/>
  <c r="X865" i="3" s="1"/>
  <c r="U866" i="3"/>
  <c r="V866" i="3" l="1"/>
  <c r="Z866" i="3" s="1"/>
  <c r="W866" i="3" l="1"/>
  <c r="X866" i="3" s="1"/>
  <c r="U867" i="3"/>
  <c r="Y866" i="3"/>
  <c r="V867" i="3" l="1"/>
  <c r="Z867" i="3"/>
  <c r="Y867" i="3"/>
  <c r="W867" i="3" l="1"/>
  <c r="X867" i="3" s="1"/>
  <c r="U868" i="3"/>
  <c r="V868" i="3" l="1"/>
  <c r="Y868" i="3"/>
  <c r="Z868" i="3"/>
  <c r="W868" i="3" l="1"/>
  <c r="X868" i="3" s="1"/>
  <c r="U869" i="3"/>
  <c r="V869" i="3" l="1"/>
  <c r="Y869" i="3"/>
  <c r="U870" i="3" l="1"/>
  <c r="W869" i="3"/>
  <c r="X869" i="3" s="1"/>
  <c r="Z869" i="3"/>
  <c r="V870" i="3" l="1"/>
  <c r="U871" i="3" l="1"/>
  <c r="W870" i="3"/>
  <c r="X870" i="3" s="1"/>
  <c r="Z870" i="3"/>
  <c r="Y870" i="3"/>
  <c r="V871" i="3" l="1"/>
  <c r="Z871" i="3"/>
  <c r="W871" i="3" l="1"/>
  <c r="X871" i="3" s="1"/>
  <c r="U872" i="3"/>
  <c r="Y871" i="3"/>
  <c r="V872" i="3" l="1"/>
  <c r="U873" i="3" l="1"/>
  <c r="W872" i="3"/>
  <c r="X872" i="3" s="1"/>
  <c r="Z872" i="3"/>
  <c r="Y872" i="3"/>
  <c r="V873" i="3" l="1"/>
  <c r="Y873" i="3"/>
  <c r="Z873" i="3"/>
  <c r="W873" i="3" l="1"/>
  <c r="X873" i="3" s="1"/>
  <c r="U874" i="3"/>
  <c r="V874" i="3" l="1"/>
  <c r="U875" i="3" l="1"/>
  <c r="W874" i="3"/>
  <c r="X874" i="3" s="1"/>
  <c r="Y874" i="3"/>
  <c r="Z874" i="3"/>
  <c r="V875" i="3" l="1"/>
  <c r="Y875" i="3"/>
  <c r="Z875" i="3"/>
  <c r="W875" i="3" l="1"/>
  <c r="X875" i="3" s="1"/>
  <c r="U876" i="3"/>
  <c r="V876" i="3" l="1"/>
  <c r="Z876" i="3"/>
  <c r="U877" i="3" l="1"/>
  <c r="W876" i="3"/>
  <c r="X876" i="3" s="1"/>
  <c r="Y876" i="3"/>
  <c r="V877" i="3" l="1"/>
  <c r="Y877" i="3"/>
  <c r="Z877" i="3"/>
  <c r="W877" i="3" l="1"/>
  <c r="X877" i="3" s="1"/>
  <c r="U878" i="3"/>
  <c r="V878" i="3" l="1"/>
  <c r="Y878" i="3"/>
  <c r="Z878" i="3"/>
  <c r="W878" i="3" l="1"/>
  <c r="X878" i="3" s="1"/>
  <c r="U879" i="3"/>
  <c r="V879" i="3" l="1"/>
  <c r="Y879" i="3"/>
  <c r="U880" i="3" l="1"/>
  <c r="W879" i="3"/>
  <c r="X879" i="3" s="1"/>
  <c r="Z879" i="3"/>
  <c r="V880" i="3" l="1"/>
  <c r="Y880" i="3"/>
  <c r="Z880" i="3"/>
  <c r="U881" i="3" l="1"/>
  <c r="W880" i="3"/>
  <c r="X880" i="3" s="1"/>
  <c r="V881" i="3" l="1"/>
  <c r="Z881" i="3"/>
  <c r="W881" i="3" l="1"/>
  <c r="X881" i="3" s="1"/>
  <c r="U882" i="3"/>
  <c r="Y881" i="3"/>
  <c r="V882" i="3" l="1"/>
  <c r="U883" i="3" l="1"/>
  <c r="W882" i="3"/>
  <c r="X882" i="3" s="1"/>
  <c r="Y882" i="3"/>
  <c r="Z882" i="3"/>
  <c r="V883" i="3" l="1"/>
  <c r="Y883" i="3"/>
  <c r="Z883" i="3"/>
  <c r="W883" i="3" l="1"/>
  <c r="X883" i="3" s="1"/>
  <c r="U884" i="3"/>
  <c r="V884" i="3" l="1"/>
  <c r="U885" i="3" l="1"/>
  <c r="W884" i="3"/>
  <c r="X884" i="3" s="1"/>
  <c r="Y884" i="3"/>
  <c r="Z884" i="3"/>
  <c r="V885" i="3" l="1"/>
  <c r="Z885" i="3" s="1"/>
  <c r="W885" i="3" l="1"/>
  <c r="X885" i="3" s="1"/>
  <c r="U886" i="3"/>
  <c r="Y885" i="3"/>
  <c r="V886" i="3" l="1"/>
  <c r="U887" i="3" l="1"/>
  <c r="W886" i="3"/>
  <c r="X886" i="3" s="1"/>
  <c r="Z886" i="3"/>
  <c r="Y886" i="3"/>
  <c r="V887" i="3" l="1"/>
  <c r="W887" i="3" l="1"/>
  <c r="X887" i="3" s="1"/>
  <c r="U888" i="3"/>
  <c r="Z887" i="3"/>
  <c r="Y887" i="3"/>
  <c r="V888" i="3" l="1"/>
  <c r="Z888" i="3"/>
  <c r="Y888" i="3"/>
  <c r="W888" i="3" l="1"/>
  <c r="X888" i="3" s="1"/>
  <c r="U889" i="3"/>
  <c r="V889" i="3" l="1"/>
  <c r="U890" i="3" l="1"/>
  <c r="W889" i="3"/>
  <c r="X889" i="3" s="1"/>
  <c r="Y889" i="3"/>
  <c r="Z889" i="3"/>
  <c r="V890" i="3" l="1"/>
  <c r="Z890" i="3"/>
  <c r="Y890" i="3"/>
  <c r="W890" i="3" l="1"/>
  <c r="X890" i="3" s="1"/>
  <c r="U891" i="3"/>
  <c r="V891" i="3" l="1"/>
  <c r="W891" i="3" l="1"/>
  <c r="X891" i="3" s="1"/>
  <c r="U892" i="3"/>
  <c r="Z891" i="3"/>
  <c r="Y891" i="3"/>
  <c r="V892" i="3" l="1"/>
  <c r="Z892" i="3"/>
  <c r="Y892" i="3"/>
  <c r="W892" i="3" l="1"/>
  <c r="X892" i="3" s="1"/>
  <c r="U893" i="3"/>
  <c r="V893" i="3" l="1"/>
  <c r="Y893" i="3"/>
  <c r="Z893" i="3"/>
  <c r="W893" i="3" l="1"/>
  <c r="X893" i="3" s="1"/>
  <c r="U894" i="3"/>
  <c r="V894" i="3" l="1"/>
  <c r="Y894" i="3"/>
  <c r="U895" i="3" l="1"/>
  <c r="W894" i="3"/>
  <c r="X894" i="3" s="1"/>
  <c r="Z894" i="3"/>
  <c r="V895" i="3" l="1"/>
  <c r="U896" i="3" l="1"/>
  <c r="W895" i="3"/>
  <c r="X895" i="3" s="1"/>
  <c r="Z895" i="3"/>
  <c r="Y895" i="3"/>
  <c r="V896" i="3" l="1"/>
  <c r="Z896" i="3"/>
  <c r="W896" i="3" l="1"/>
  <c r="X896" i="3" s="1"/>
  <c r="U897" i="3"/>
  <c r="Y896" i="3"/>
  <c r="V897" i="3" l="1"/>
  <c r="Z897" i="3" s="1"/>
  <c r="U898" i="3" l="1"/>
  <c r="W897" i="3"/>
  <c r="X897" i="3" s="1"/>
  <c r="Y897" i="3"/>
  <c r="V898" i="3" l="1"/>
  <c r="Y898" i="3"/>
  <c r="Z898" i="3"/>
  <c r="W898" i="3" l="1"/>
  <c r="X898" i="3" s="1"/>
  <c r="U899" i="3"/>
  <c r="V899" i="3" l="1"/>
  <c r="U900" i="3" l="1"/>
  <c r="W899" i="3"/>
  <c r="X899" i="3" s="1"/>
  <c r="Y899" i="3"/>
  <c r="Z899" i="3"/>
  <c r="V900" i="3" l="1"/>
  <c r="Y900" i="3"/>
  <c r="Z900" i="3"/>
  <c r="W900" i="3" l="1"/>
  <c r="X900" i="3" s="1"/>
  <c r="U901" i="3"/>
  <c r="V901" i="3" l="1"/>
  <c r="Z901" i="3"/>
  <c r="U902" i="3" l="1"/>
  <c r="W901" i="3"/>
  <c r="X901" i="3" s="1"/>
  <c r="Y901" i="3"/>
  <c r="V902" i="3" l="1"/>
  <c r="Y902" i="3"/>
  <c r="Z902" i="3"/>
  <c r="W902" i="3" l="1"/>
  <c r="X902" i="3" s="1"/>
  <c r="U903" i="3"/>
  <c r="V903" i="3" l="1"/>
  <c r="Z903" i="3"/>
  <c r="Y903" i="3"/>
  <c r="W903" i="3" l="1"/>
  <c r="X903" i="3" s="1"/>
  <c r="U904" i="3"/>
  <c r="V904" i="3" l="1"/>
  <c r="Y904" i="3"/>
  <c r="U905" i="3" l="1"/>
  <c r="W904" i="3"/>
  <c r="X904" i="3" s="1"/>
  <c r="Z904" i="3"/>
  <c r="V905" i="3" l="1"/>
  <c r="Z905" i="3"/>
  <c r="Y905" i="3"/>
  <c r="U906" i="3" l="1"/>
  <c r="W905" i="3"/>
  <c r="X905" i="3" s="1"/>
  <c r="V906" i="3" l="1"/>
  <c r="Z906" i="3"/>
  <c r="W906" i="3" l="1"/>
  <c r="X906" i="3" s="1"/>
  <c r="U907" i="3"/>
  <c r="Y906" i="3"/>
  <c r="V907" i="3" l="1"/>
  <c r="U908" i="3" l="1"/>
  <c r="W907" i="3"/>
  <c r="X907" i="3" s="1"/>
  <c r="Z907" i="3"/>
  <c r="Y907" i="3"/>
  <c r="V908" i="3" l="1"/>
  <c r="Y908" i="3"/>
  <c r="Z908" i="3"/>
  <c r="W908" i="3" l="1"/>
  <c r="X908" i="3" s="1"/>
  <c r="U909" i="3"/>
  <c r="V909" i="3" l="1"/>
  <c r="U910" i="3" l="1"/>
  <c r="W909" i="3"/>
  <c r="X909" i="3" s="1"/>
  <c r="Y909" i="3"/>
  <c r="Z909" i="3"/>
  <c r="V910" i="3" l="1"/>
  <c r="Z910" i="3"/>
  <c r="W910" i="3" l="1"/>
  <c r="X910" i="3" s="1"/>
  <c r="U911" i="3"/>
  <c r="Y910" i="3"/>
  <c r="V911" i="3" l="1"/>
  <c r="W911" i="3" l="1"/>
  <c r="X911" i="3" s="1"/>
  <c r="U912" i="3"/>
  <c r="Z911" i="3"/>
  <c r="Y911" i="3"/>
  <c r="V912" i="3" l="1"/>
  <c r="Y912" i="3"/>
  <c r="W912" i="3" l="1"/>
  <c r="X912" i="3" s="1"/>
  <c r="U913" i="3"/>
  <c r="Z912" i="3"/>
  <c r="V913" i="3" l="1"/>
  <c r="Y913" i="3"/>
  <c r="Z913" i="3"/>
  <c r="W913" i="3" l="1"/>
  <c r="X913" i="3" s="1"/>
  <c r="U914" i="3"/>
  <c r="V914" i="3" l="1"/>
  <c r="Y914" i="3"/>
  <c r="U915" i="3" l="1"/>
  <c r="W914" i="3"/>
  <c r="X914" i="3" s="1"/>
  <c r="Z914" i="3"/>
  <c r="V915" i="3" l="1"/>
  <c r="U916" i="3" l="1"/>
  <c r="W915" i="3"/>
  <c r="X915" i="3" s="1"/>
  <c r="Z915" i="3"/>
  <c r="Y915" i="3"/>
  <c r="V916" i="3" l="1"/>
  <c r="W916" i="3" l="1"/>
  <c r="X916" i="3" s="1"/>
  <c r="U917" i="3"/>
  <c r="Z916" i="3"/>
  <c r="Y916" i="3"/>
  <c r="V917" i="3" l="1"/>
  <c r="Z917" i="3"/>
  <c r="Y917" i="3"/>
  <c r="U918" i="3" l="1"/>
  <c r="W917" i="3"/>
  <c r="X917" i="3" s="1"/>
  <c r="V918" i="3" l="1"/>
  <c r="Y918" i="3"/>
  <c r="Z918" i="3"/>
  <c r="W918" i="3" l="1"/>
  <c r="X918" i="3" s="1"/>
  <c r="U919" i="3"/>
  <c r="V919" i="3" l="1"/>
  <c r="Y919" i="3"/>
  <c r="U920" i="3" l="1"/>
  <c r="W919" i="3"/>
  <c r="X919" i="3" s="1"/>
  <c r="Z919" i="3"/>
  <c r="V920" i="3" l="1"/>
  <c r="U921" i="3" l="1"/>
  <c r="W920" i="3"/>
  <c r="X920" i="3" s="1"/>
  <c r="Z920" i="3"/>
  <c r="Y920" i="3"/>
  <c r="V921" i="3" l="1"/>
  <c r="Z921" i="3"/>
  <c r="W921" i="3" l="1"/>
  <c r="X921" i="3" s="1"/>
  <c r="U922" i="3"/>
  <c r="Y921" i="3"/>
  <c r="V922" i="3" l="1"/>
  <c r="Z922" i="3" s="1"/>
  <c r="W922" i="3" l="1"/>
  <c r="X922" i="3" s="1"/>
  <c r="U923" i="3"/>
  <c r="Y922" i="3"/>
  <c r="V923" i="3" l="1"/>
  <c r="Y923" i="3"/>
  <c r="Z923" i="3"/>
  <c r="W923" i="3" l="1"/>
  <c r="X923" i="3" s="1"/>
  <c r="U924" i="3"/>
  <c r="V924" i="3" l="1"/>
  <c r="U925" i="3" l="1"/>
  <c r="W924" i="3"/>
  <c r="X924" i="3" s="1"/>
  <c r="Y924" i="3"/>
  <c r="Z924" i="3"/>
  <c r="V925" i="3" l="1"/>
  <c r="Z925" i="3"/>
  <c r="Y925" i="3"/>
  <c r="U926" i="3" l="1"/>
  <c r="W925" i="3"/>
  <c r="X925" i="3" s="1"/>
  <c r="V926" i="3" l="1"/>
  <c r="Z926" i="3"/>
  <c r="U927" i="3" l="1"/>
  <c r="W926" i="3"/>
  <c r="X926" i="3" s="1"/>
  <c r="Y926" i="3"/>
  <c r="V927" i="3" l="1"/>
  <c r="Z927" i="3"/>
  <c r="Y927" i="3"/>
  <c r="W927" i="3" l="1"/>
  <c r="X927" i="3" s="1"/>
  <c r="U928" i="3"/>
  <c r="V928" i="3" l="1"/>
  <c r="Y928" i="3"/>
  <c r="Z928" i="3"/>
  <c r="W928" i="3" l="1"/>
  <c r="X928" i="3" s="1"/>
  <c r="U929" i="3"/>
  <c r="V929" i="3" l="1"/>
  <c r="Y929" i="3"/>
  <c r="U930" i="3" l="1"/>
  <c r="W929" i="3"/>
  <c r="X929" i="3" s="1"/>
  <c r="Z929" i="3"/>
  <c r="V930" i="3" l="1"/>
  <c r="Y930" i="3"/>
  <c r="U931" i="3" l="1"/>
  <c r="W930" i="3"/>
  <c r="X930" i="3" s="1"/>
  <c r="Z930" i="3"/>
  <c r="V931" i="3" l="1"/>
  <c r="Z931" i="3"/>
  <c r="W931" i="3" l="1"/>
  <c r="X931" i="3" s="1"/>
  <c r="U932" i="3"/>
  <c r="Y931" i="3"/>
  <c r="V932" i="3" l="1"/>
  <c r="Y932" i="3"/>
  <c r="Z932" i="3"/>
  <c r="U933" i="3" l="1"/>
  <c r="W932" i="3"/>
  <c r="X932" i="3" s="1"/>
  <c r="V933" i="3" l="1"/>
  <c r="Z933" i="3"/>
  <c r="Y933" i="3"/>
  <c r="W933" i="3" l="1"/>
  <c r="X933" i="3" s="1"/>
  <c r="U934" i="3"/>
  <c r="V934" i="3" l="1"/>
  <c r="Y934" i="3"/>
  <c r="U935" i="3" l="1"/>
  <c r="W934" i="3"/>
  <c r="X934" i="3" s="1"/>
  <c r="Z934" i="3"/>
  <c r="V935" i="3" l="1"/>
  <c r="Y935" i="3"/>
  <c r="Z935" i="3"/>
  <c r="W935" i="3" l="1"/>
  <c r="X935" i="3" s="1"/>
  <c r="U936" i="3"/>
  <c r="V936" i="3" l="1"/>
  <c r="Z936" i="3" s="1"/>
  <c r="W936" i="3" l="1"/>
  <c r="X936" i="3" s="1"/>
  <c r="U937" i="3"/>
  <c r="Y936" i="3"/>
  <c r="V937" i="3" l="1"/>
  <c r="Y937" i="3"/>
  <c r="W937" i="3" l="1"/>
  <c r="X937" i="3" s="1"/>
  <c r="U938" i="3"/>
  <c r="Z937" i="3"/>
  <c r="V938" i="3" l="1"/>
  <c r="Z938" i="3"/>
  <c r="Y938" i="3"/>
  <c r="W938" i="3" l="1"/>
  <c r="X938" i="3" s="1"/>
  <c r="U939" i="3"/>
  <c r="V939" i="3" l="1"/>
  <c r="U940" i="3" l="1"/>
  <c r="W939" i="3"/>
  <c r="X939" i="3" s="1"/>
  <c r="Y939" i="3"/>
  <c r="Z939" i="3"/>
  <c r="V940" i="3" l="1"/>
  <c r="Y940" i="3"/>
  <c r="Z940" i="3"/>
  <c r="W940" i="3" l="1"/>
  <c r="X940" i="3" s="1"/>
  <c r="U941" i="3"/>
  <c r="V941" i="3" l="1"/>
  <c r="W941" i="3" l="1"/>
  <c r="X941" i="3" s="1"/>
  <c r="U942" i="3"/>
  <c r="Z941" i="3"/>
  <c r="Y941" i="3"/>
  <c r="V942" i="3" l="1"/>
  <c r="Y942" i="3"/>
  <c r="W942" i="3" l="1"/>
  <c r="X942" i="3" s="1"/>
  <c r="U943" i="3"/>
  <c r="Z942" i="3"/>
  <c r="V943" i="3" l="1"/>
  <c r="Y943" i="3"/>
  <c r="Z943" i="3"/>
  <c r="W943" i="3" l="1"/>
  <c r="X943" i="3" s="1"/>
  <c r="U944" i="3"/>
  <c r="V944" i="3" l="1"/>
  <c r="U945" i="3" l="1"/>
  <c r="W944" i="3"/>
  <c r="X944" i="3" s="1"/>
  <c r="Y944" i="3"/>
  <c r="Z944" i="3"/>
  <c r="V945" i="3" l="1"/>
  <c r="W945" i="3" l="1"/>
  <c r="X945" i="3" s="1"/>
  <c r="U946" i="3"/>
  <c r="Z945" i="3"/>
  <c r="Y945" i="3"/>
  <c r="V946" i="3" l="1"/>
  <c r="U947" i="3" l="1"/>
  <c r="W946" i="3"/>
  <c r="X946" i="3" s="1"/>
  <c r="Z946" i="3"/>
  <c r="Y946" i="3"/>
  <c r="V947" i="3" l="1"/>
  <c r="W947" i="3" l="1"/>
  <c r="X947" i="3" s="1"/>
  <c r="U948" i="3"/>
  <c r="Z947" i="3"/>
  <c r="Y947" i="3"/>
  <c r="V948" i="3" l="1"/>
  <c r="Y948" i="3"/>
  <c r="Z948" i="3"/>
  <c r="W948" i="3" l="1"/>
  <c r="X948" i="3" s="1"/>
  <c r="U949" i="3"/>
  <c r="V949" i="3" l="1"/>
  <c r="U950" i="3" l="1"/>
  <c r="W949" i="3"/>
  <c r="X949" i="3" s="1"/>
  <c r="Y949" i="3"/>
  <c r="Z949" i="3"/>
  <c r="V950" i="3" l="1"/>
  <c r="Z950" i="3"/>
  <c r="Y950" i="3"/>
  <c r="W950" i="3" l="1"/>
  <c r="X950" i="3" s="1"/>
  <c r="U951" i="3"/>
  <c r="V951" i="3" l="1"/>
  <c r="U952" i="3" l="1"/>
  <c r="W951" i="3"/>
  <c r="X951" i="3" s="1"/>
  <c r="Z951" i="3"/>
  <c r="Y951" i="3"/>
  <c r="V952" i="3" l="1"/>
  <c r="Y952" i="3"/>
  <c r="Z952" i="3"/>
  <c r="W952" i="3" l="1"/>
  <c r="X952" i="3" s="1"/>
  <c r="U953" i="3"/>
  <c r="V953" i="3" l="1"/>
  <c r="Z953" i="3"/>
  <c r="Y953" i="3"/>
  <c r="W953" i="3" l="1"/>
  <c r="X953" i="3" s="1"/>
  <c r="U954" i="3"/>
  <c r="V954" i="3" l="1"/>
  <c r="Y954" i="3"/>
  <c r="U955" i="3" l="1"/>
  <c r="W954" i="3"/>
  <c r="X954" i="3" s="1"/>
  <c r="Z954" i="3"/>
  <c r="V955" i="3" l="1"/>
  <c r="Y955" i="3"/>
  <c r="U956" i="3" l="1"/>
  <c r="W955" i="3"/>
  <c r="X955" i="3" s="1"/>
  <c r="Z955" i="3"/>
  <c r="V956" i="3" l="1"/>
  <c r="Z956" i="3"/>
  <c r="W956" i="3" l="1"/>
  <c r="X956" i="3" s="1"/>
  <c r="U957" i="3"/>
  <c r="Y956" i="3"/>
  <c r="V957" i="3" l="1"/>
  <c r="U958" i="3" l="1"/>
  <c r="W957" i="3"/>
  <c r="X957" i="3" s="1"/>
  <c r="Z957" i="3"/>
  <c r="Y957" i="3"/>
  <c r="V958" i="3" l="1"/>
  <c r="Y958" i="3"/>
  <c r="Z958" i="3"/>
  <c r="W958" i="3" l="1"/>
  <c r="X958" i="3" s="1"/>
  <c r="U959" i="3"/>
  <c r="V959" i="3" l="1"/>
  <c r="U960" i="3" l="1"/>
  <c r="W959" i="3"/>
  <c r="X959" i="3" s="1"/>
  <c r="Y959" i="3"/>
  <c r="Z959" i="3"/>
  <c r="V960" i="3" l="1"/>
  <c r="Y960" i="3"/>
  <c r="Z960" i="3"/>
  <c r="W960" i="3" l="1"/>
  <c r="X960" i="3" s="1"/>
  <c r="U961" i="3"/>
  <c r="V961" i="3" l="1"/>
  <c r="Z961" i="3"/>
  <c r="U962" i="3" l="1"/>
  <c r="W961" i="3"/>
  <c r="X961" i="3" s="1"/>
  <c r="Y961" i="3"/>
  <c r="V962" i="3" l="1"/>
  <c r="W962" i="3" l="1"/>
  <c r="X962" i="3" s="1"/>
  <c r="U963" i="3"/>
  <c r="Z962" i="3"/>
  <c r="Y962" i="3"/>
  <c r="V963" i="3" l="1"/>
  <c r="Y963" i="3"/>
  <c r="Z963" i="3"/>
  <c r="W963" i="3" l="1"/>
  <c r="X963" i="3" s="1"/>
  <c r="U964" i="3"/>
  <c r="V964" i="3" l="1"/>
  <c r="Y964" i="3"/>
  <c r="U965" i="3" l="1"/>
  <c r="W964" i="3"/>
  <c r="X964" i="3" s="1"/>
  <c r="Z964" i="3"/>
  <c r="V965" i="3" l="1"/>
  <c r="W965" i="3" l="1"/>
  <c r="X965" i="3" s="1"/>
  <c r="U966" i="3"/>
  <c r="Z965" i="3"/>
  <c r="Y965" i="3"/>
  <c r="V966" i="3" l="1"/>
  <c r="W966" i="3" l="1"/>
  <c r="X966" i="3" s="1"/>
  <c r="U967" i="3"/>
  <c r="Z966" i="3"/>
  <c r="Y966" i="3"/>
  <c r="V967" i="3" l="1"/>
  <c r="U968" i="3" l="1"/>
  <c r="W967" i="3"/>
  <c r="X967" i="3" s="1"/>
  <c r="Z967" i="3"/>
  <c r="Y967" i="3"/>
  <c r="V968" i="3" l="1"/>
  <c r="Y968" i="3"/>
  <c r="Z968" i="3"/>
  <c r="W968" i="3" l="1"/>
  <c r="X968" i="3" s="1"/>
  <c r="U969" i="3"/>
  <c r="V969" i="3" l="1"/>
  <c r="Y969" i="3"/>
  <c r="U970" i="3" l="1"/>
  <c r="W969" i="3"/>
  <c r="X969" i="3" s="1"/>
  <c r="Z969" i="3"/>
  <c r="V970" i="3" l="1"/>
  <c r="W970" i="3" l="1"/>
  <c r="X970" i="3" s="1"/>
  <c r="U971" i="3"/>
  <c r="Z970" i="3"/>
  <c r="Y970" i="3"/>
  <c r="V971" i="3" l="1"/>
  <c r="W971" i="3" l="1"/>
  <c r="X971" i="3" s="1"/>
  <c r="U972" i="3"/>
  <c r="Z971" i="3"/>
  <c r="Y971" i="3"/>
  <c r="V972" i="3" l="1"/>
  <c r="U973" i="3" l="1"/>
  <c r="W972" i="3"/>
  <c r="X972" i="3" s="1"/>
  <c r="Z972" i="3"/>
  <c r="Y972" i="3"/>
  <c r="V973" i="3" l="1"/>
  <c r="Y973" i="3"/>
  <c r="Z973" i="3"/>
  <c r="W973" i="3" l="1"/>
  <c r="X973" i="3" s="1"/>
  <c r="U974" i="3"/>
  <c r="Z974" i="3" l="1"/>
  <c r="Y974" i="3"/>
  <c r="V974" i="3"/>
  <c r="U975" i="3" l="1"/>
  <c r="W974" i="3"/>
  <c r="X974" i="3" s="1"/>
  <c r="V975" i="3" l="1"/>
  <c r="Y975" i="3"/>
  <c r="Z975" i="3"/>
  <c r="U976" i="3" l="1"/>
  <c r="W975" i="3"/>
  <c r="X975" i="3" s="1"/>
  <c r="V976" i="3" l="1"/>
  <c r="Z976" i="3"/>
  <c r="U977" i="3" l="1"/>
  <c r="W976" i="3"/>
  <c r="X976" i="3" s="1"/>
  <c r="Y976" i="3"/>
  <c r="V977" i="3" l="1"/>
  <c r="Z977" i="3"/>
  <c r="Y977" i="3"/>
  <c r="U978" i="3" l="1"/>
  <c r="W977" i="3"/>
  <c r="X977" i="3" s="1"/>
  <c r="V978" i="3" l="1"/>
  <c r="Y978" i="3"/>
  <c r="Z978" i="3"/>
  <c r="W978" i="3" l="1"/>
  <c r="X978" i="3" s="1"/>
  <c r="U979" i="3"/>
  <c r="V979" i="3" l="1"/>
  <c r="Y979" i="3"/>
  <c r="U980" i="3" l="1"/>
  <c r="W979" i="3"/>
  <c r="X979" i="3" s="1"/>
  <c r="Z979" i="3"/>
  <c r="V980" i="3" l="1"/>
  <c r="U981" i="3" l="1"/>
  <c r="W980" i="3"/>
  <c r="X980" i="3" s="1"/>
  <c r="Z980" i="3"/>
  <c r="Y980" i="3"/>
  <c r="V981" i="3" l="1"/>
  <c r="Z981" i="3"/>
  <c r="W981" i="3" l="1"/>
  <c r="X981" i="3" s="1"/>
  <c r="U982" i="3"/>
  <c r="Y981" i="3"/>
  <c r="V982" i="3" l="1"/>
  <c r="Y982" i="3" s="1"/>
  <c r="Z982" i="3"/>
  <c r="U983" i="3" l="1"/>
  <c r="W982" i="3"/>
  <c r="X982" i="3" s="1"/>
  <c r="V983" i="3" l="1"/>
  <c r="Y983" i="3"/>
  <c r="Z983" i="3"/>
  <c r="W983" i="3" l="1"/>
  <c r="X983" i="3" s="1"/>
  <c r="U984" i="3"/>
  <c r="V984" i="3" l="1"/>
  <c r="Y984" i="3"/>
  <c r="U985" i="3" l="1"/>
  <c r="W984" i="3"/>
  <c r="X984" i="3" s="1"/>
  <c r="Z984" i="3"/>
  <c r="V985" i="3" l="1"/>
  <c r="Y985" i="3"/>
  <c r="W985" i="3" l="1"/>
  <c r="X985" i="3" s="1"/>
  <c r="U986" i="3"/>
  <c r="Z985" i="3"/>
  <c r="V986" i="3" l="1"/>
  <c r="Z986" i="3"/>
  <c r="W986" i="3" l="1"/>
  <c r="X986" i="3" s="1"/>
  <c r="U987" i="3"/>
  <c r="Y986" i="3"/>
  <c r="V987" i="3" l="1"/>
  <c r="Z987" i="3"/>
  <c r="Y987" i="3"/>
  <c r="W987" i="3" l="1"/>
  <c r="X987" i="3" s="1"/>
  <c r="U988" i="3"/>
  <c r="V988" i="3" l="1"/>
  <c r="Y988" i="3"/>
  <c r="Z988" i="3"/>
  <c r="W988" i="3" l="1"/>
  <c r="X988" i="3" s="1"/>
  <c r="U989" i="3"/>
  <c r="V989" i="3" l="1"/>
  <c r="Y989" i="3"/>
  <c r="U990" i="3" l="1"/>
  <c r="W989" i="3"/>
  <c r="X989" i="3" s="1"/>
  <c r="Z989" i="3"/>
  <c r="V990" i="3" l="1"/>
  <c r="Y990" i="3"/>
  <c r="U991" i="3" l="1"/>
  <c r="W990" i="3"/>
  <c r="X990" i="3" s="1"/>
  <c r="Z990" i="3"/>
  <c r="V991" i="3" l="1"/>
  <c r="W991" i="3" l="1"/>
  <c r="X991" i="3" s="1"/>
  <c r="U992" i="3"/>
  <c r="Z991" i="3"/>
  <c r="Y991" i="3"/>
  <c r="V992" i="3" l="1"/>
  <c r="Y992" i="3"/>
  <c r="Z992" i="3"/>
  <c r="W992" i="3" l="1"/>
  <c r="X992" i="3" s="1"/>
  <c r="U993" i="3"/>
  <c r="V993" i="3" l="1"/>
  <c r="Y993" i="3"/>
  <c r="Z993" i="3"/>
  <c r="W993" i="3" l="1"/>
  <c r="X993" i="3" s="1"/>
  <c r="U994" i="3"/>
  <c r="V994" i="3" l="1"/>
  <c r="Y994" i="3"/>
  <c r="U995" i="3" l="1"/>
  <c r="W994" i="3"/>
  <c r="X994" i="3" s="1"/>
  <c r="Z994" i="3"/>
  <c r="V995" i="3" l="1"/>
  <c r="U996" i="3" l="1"/>
  <c r="W995" i="3"/>
  <c r="X995" i="3" s="1"/>
  <c r="Z995" i="3"/>
  <c r="Y995" i="3"/>
  <c r="V996" i="3" l="1"/>
  <c r="W996" i="3" s="1"/>
  <c r="X996" i="3" s="1"/>
  <c r="Z996" i="3" l="1"/>
  <c r="Y996" i="3"/>
  <c r="AB2" i="3" s="1"/>
  <c r="AS7" i="3" l="1"/>
  <c r="AS13" i="3" s="1"/>
  <c r="AR7" i="3"/>
  <c r="AR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<sst xmlns="http://schemas.openxmlformats.org/spreadsheetml/2006/main" count="3543" uniqueCount="254">
  <si>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</si>
  <si>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</si>
  <si>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</si>
  <si>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</si>
  <si>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</si>
  <si>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</si>
  <si>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</si>
  <si>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</si>
  <si>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</si>
  <si>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</si>
  <si>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</si>
  <si>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</si>
  <si>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</si>
  <si>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</si>
  <si>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</si>
  <si>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</si>
  <si>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</si>
  <si>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</si>
  <si>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</si>
  <si>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</si>
  <si>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</si>
  <si>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</si>
  <si>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</si>
  <si>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</si>
  <si>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</si>
  <si>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</si>
  <si>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</si>
  <si>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Tare</t>
  </si>
  <si>
    <t>AJUSTER TARE</t>
  </si>
  <si>
    <t>Debut OF</t>
  </si>
  <si>
    <t>FIN OF</t>
  </si>
  <si>
    <t>Bobine</t>
  </si>
  <si>
    <t>Ligne fin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</si>
  <si>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</si>
  <si>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</si>
  <si>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</si>
  <si>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</si>
  <si>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</si>
  <si>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</si>
  <si>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</si>
  <si>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</si>
  <si>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Debut Equipe</t>
  </si>
  <si>
    <t>Fin Equipe</t>
  </si>
  <si>
    <t>Renseigner le code article</t>
  </si>
  <si>
    <t>Appuyer sur le bouton « DEBUT EQUIPE »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</si>
  <si>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</si>
  <si>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</si>
  <si>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</si>
  <si>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</si>
  <si>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</si>
  <si>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</si>
  <si>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</si>
  <si>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</si>
  <si>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</si>
  <si>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</si>
  <si>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</si>
  <si>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Moyenne Longue</t>
  </si>
  <si>
    <t>Code article</t>
  </si>
  <si>
    <t>N° lot</t>
  </si>
  <si>
    <t>Renseigner le n° lot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</si>
  <si>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</si>
  <si>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</si>
  <si>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</si>
  <si>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</si>
  <si>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</si>
  <si>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</si>
  <si>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</si>
  <si>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</si>
  <si>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</si>
  <si>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</si>
  <si>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</si>
  <si>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</si>
  <si>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</si>
  <si>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</si>
  <si>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</si>
  <si>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>chemin</t>
  </si>
  <si>
    <t>consideration globale</t>
  </si>
  <si>
    <t>Enregistrement serveur</t>
  </si>
  <si>
    <t>Peser la tare et appuyer sur le bouton Tare de la balance</t>
  </si>
  <si>
    <t>Appuyer sur PRINT et sélectionner "AUTO-IMPR. OFF"</t>
  </si>
  <si>
    <t>Appuyer sur PRINT et sélectionner "AUTO-IMPR. ON"</t>
  </si>
  <si>
    <t>Attention dosette en TU2 ! 
-Arreter la production. 
- Alerter une experte ou cheffe d’equipe. 
- Retirer la dosette. 
- Appuyer sur PRINT et sélectionner "AUTO-IMPR. OFF"
- Recontroler le carton precedent a 100%. 
- Repeter cette operation jusqu’a avoir un carton sans TU1/TU2. 
- Appuyer sur PRINT et sélectionner "AUTO-IMPR. ON" 
- Reprendre la production</t>
  </si>
  <si>
    <t>Attention dosette en TU1 ! 
- Arreter la production. Retirer la dosette. 
- Appuyer sur PRINT et sélectionner "AUTO-IMPR. OFF"
- Recontroler le carton precedent a 100%. 
- Repeter cette operation jusqu’a avoir un carton sans TU1/TU2. 
- Appuyer sur PRINT et sélectionner "AUTO-IMPR. ON"
 - Reprendre la production.</t>
  </si>
  <si>
    <t>copie ou enregistrer sous</t>
  </si>
  <si>
    <t>S:\Conditionnement\Récupération des données\Dosettes</t>
  </si>
  <si>
    <t>Appuyer sur bouton Debut OF pour commencer un nouvel OF.</t>
  </si>
  <si>
    <t>Debut OF, confirmer que vous voulez supprimer donnees dans feuille data_brute.</t>
  </si>
  <si>
    <t>delta</t>
  </si>
  <si>
    <t>recentrer axe</t>
  </si>
  <si>
    <t>vue globale</t>
  </si>
  <si>
    <t>Active alerte</t>
  </si>
  <si>
    <t>Active affichage</t>
  </si>
  <si>
    <t>moyenne courte interface:</t>
  </si>
  <si>
    <t>moyenne courte alerte:</t>
  </si>
  <si>
    <t>moyenne longue alerte:</t>
  </si>
  <si>
    <t>moyenne longue interface :</t>
  </si>
  <si>
    <t>nb total:</t>
  </si>
  <si>
    <t>Récupération données</t>
  </si>
  <si>
    <t xml:space="preserve">N         </t>
  </si>
  <si>
    <t xml:space="preserve">25,1 ( 6 ) </t>
  </si>
  <si>
    <t>g</t>
  </si>
  <si>
    <t xml:space="preserve">25,6 ( 4 ) </t>
  </si>
  <si>
    <t xml:space="preserve">25,0 ( 6 ) </t>
  </si>
  <si>
    <t xml:space="preserve">24,9 ( 7 ) </t>
  </si>
  <si>
    <t xml:space="preserve">25,4 ( 0 ) </t>
  </si>
  <si>
    <t xml:space="preserve">25,3 ( 9 ) </t>
  </si>
  <si>
    <t xml:space="preserve">26,0 ( 1 ) </t>
  </si>
  <si>
    <t xml:space="preserve">25,4 ( 3 ) </t>
  </si>
  <si>
    <t xml:space="preserve">24,9 ( 6 ) </t>
  </si>
  <si>
    <t xml:space="preserve">24,8 ( 8 ) </t>
  </si>
  <si>
    <t xml:space="preserve">25,1 ( 2 ) </t>
  </si>
  <si>
    <t xml:space="preserve">25,4 ( 4 ) </t>
  </si>
  <si>
    <t xml:space="preserve">25,3 ( 6 ) </t>
  </si>
  <si>
    <t xml:space="preserve">24,9 ( 8 ) </t>
  </si>
  <si>
    <t xml:space="preserve">25,7 ( 0 ) </t>
  </si>
  <si>
    <t xml:space="preserve">24,8 ( 3 ) </t>
  </si>
  <si>
    <t xml:space="preserve">25,3 ( 3 ) </t>
  </si>
  <si>
    <t xml:space="preserve">25,6 ( 1 ) </t>
  </si>
  <si>
    <t xml:space="preserve">26,0 ( 2 ) </t>
  </si>
  <si>
    <t xml:space="preserve">25,5 ( 6 ) </t>
  </si>
  <si>
    <t xml:space="preserve">25,3 ( 4 ) </t>
  </si>
  <si>
    <t xml:space="preserve">24,9 ( 9 ) </t>
  </si>
  <si>
    <t xml:space="preserve">25,2 ( 7 ) </t>
  </si>
  <si>
    <t xml:space="preserve">25,1 ( 3 ) </t>
  </si>
  <si>
    <t xml:space="preserve">25,0 ( 9 ) </t>
  </si>
  <si>
    <t xml:space="preserve">25,2 ( 0 ) </t>
  </si>
  <si>
    <t xml:space="preserve">25,8 ( 4 ) </t>
  </si>
  <si>
    <t xml:space="preserve">25,2 ( 8 ) </t>
  </si>
  <si>
    <t xml:space="preserve">25,2 ( 3 ) </t>
  </si>
  <si>
    <t xml:space="preserve">25,0 ( 8 ) </t>
  </si>
  <si>
    <t xml:space="preserve">25,9 ( 3 ) </t>
  </si>
  <si>
    <t xml:space="preserve">25,2 ( 4 ) </t>
  </si>
  <si>
    <t xml:space="preserve">25,5 ( 7 ) </t>
  </si>
  <si>
    <t xml:space="preserve">25,4 ( 1 ) </t>
  </si>
  <si>
    <t xml:space="preserve">24,9 ( 4 ) </t>
  </si>
  <si>
    <t xml:space="preserve">25,1 ( 5 ) </t>
  </si>
  <si>
    <t xml:space="preserve">25,2 ( 2 ) </t>
  </si>
  <si>
    <t xml:space="preserve">25,2 ( 5 ) </t>
  </si>
  <si>
    <t xml:space="preserve">25,3 ( 2 ) </t>
  </si>
  <si>
    <t xml:space="preserve">25,3 ( 5 ) </t>
  </si>
  <si>
    <t xml:space="preserve">25,1 ( 0 ) </t>
  </si>
  <si>
    <t xml:space="preserve">25,5 ( 0 ) </t>
  </si>
  <si>
    <t xml:space="preserve">25,0 ( 3 ) </t>
  </si>
  <si>
    <t xml:space="preserve">25,5 ( 3 ) </t>
  </si>
  <si>
    <t xml:space="preserve">25,6 ( 3 ) </t>
  </si>
  <si>
    <t xml:space="preserve">25,3 ( 0 ) </t>
  </si>
  <si>
    <t xml:space="preserve">25,3 ( 7 ) </t>
  </si>
  <si>
    <t xml:space="preserve">25,0 ( 0 ) </t>
  </si>
  <si>
    <t xml:space="preserve">25,9 ( 6 ) </t>
  </si>
  <si>
    <t xml:space="preserve">26,0 ( 4 ) </t>
  </si>
  <si>
    <t xml:space="preserve">26,1 ( 2 ) </t>
  </si>
  <si>
    <t xml:space="preserve">25,9 ( 1 ) </t>
  </si>
  <si>
    <t xml:space="preserve">25,9 ( 0 ) </t>
  </si>
  <si>
    <t xml:space="preserve">25,7 ( 1 ) </t>
  </si>
  <si>
    <t xml:space="preserve">25,7 ( 5 ) </t>
  </si>
  <si>
    <t xml:space="preserve">25,4 ( 9 ) </t>
  </si>
  <si>
    <t xml:space="preserve">25,8 ( 3 ) </t>
  </si>
  <si>
    <t xml:space="preserve">25,7 ( 2 ) </t>
  </si>
  <si>
    <t xml:space="preserve">25,6 ( 7 ) </t>
  </si>
  <si>
    <t xml:space="preserve">25,2 ( 6 ) </t>
  </si>
  <si>
    <t xml:space="preserve">25,1 ( 4 ) </t>
  </si>
  <si>
    <t xml:space="preserve">25,3 ( 8 ) </t>
  </si>
  <si>
    <t xml:space="preserve">25,5 ( 1 ) </t>
  </si>
  <si>
    <t xml:space="preserve">25,4 ( 7 ) </t>
  </si>
  <si>
    <t xml:space="preserve">25,4 ( 6 ) </t>
  </si>
  <si>
    <t xml:space="preserve">25,4 ( 2 ) </t>
  </si>
  <si>
    <t xml:space="preserve">25,6 ( 6 ) </t>
  </si>
  <si>
    <t xml:space="preserve">25,6 ( 2 ) </t>
  </si>
  <si>
    <t xml:space="preserve">25,5 ( 9 ) </t>
  </si>
  <si>
    <t xml:space="preserve">25,1 ( 1 ) </t>
  </si>
  <si>
    <t xml:space="preserve">25,5 ( 2 ) </t>
  </si>
  <si>
    <t xml:space="preserve">24,7 ( 5 ) </t>
  </si>
  <si>
    <t xml:space="preserve">24,7 ( 3 ) </t>
  </si>
  <si>
    <t xml:space="preserve">24,8 ( 7 ) </t>
  </si>
  <si>
    <t xml:space="preserve">25,6 ( 5 ) </t>
  </si>
  <si>
    <t xml:space="preserve">25,5 ( 8 ) </t>
  </si>
  <si>
    <t xml:space="preserve">25,1 ( 8 ) </t>
  </si>
  <si>
    <t xml:space="preserve">24,4 ( 9 ) </t>
  </si>
  <si>
    <t xml:space="preserve">24,8 ( 4 ) </t>
  </si>
  <si>
    <t xml:space="preserve">25,5 ( 5 ) </t>
  </si>
  <si>
    <t xml:space="preserve">25,0 ( 4 ) </t>
  </si>
  <si>
    <t xml:space="preserve">25,7 ( 6 ) </t>
  </si>
  <si>
    <t xml:space="preserve">25,2 ( 9 ) </t>
  </si>
  <si>
    <t xml:space="preserve">25,0 ( 5 ) </t>
  </si>
  <si>
    <t xml:space="preserve">24,5 ( 1 ) </t>
  </si>
  <si>
    <t xml:space="preserve">25,6 ( 9 ) </t>
  </si>
  <si>
    <t xml:space="preserve">24,8 ( 9 ) </t>
  </si>
  <si>
    <t xml:space="preserve">24,8 ( 2 ) </t>
  </si>
  <si>
    <t xml:space="preserve">24,6 ( 8 ) </t>
  </si>
  <si>
    <t xml:space="preserve">25,4 ( 8 ) </t>
  </si>
  <si>
    <t xml:space="preserve">25,1 ( 9 ) </t>
  </si>
  <si>
    <t xml:space="preserve">25,7 ( 9 ) </t>
  </si>
  <si>
    <t xml:space="preserve">26,0 ( 5 ) </t>
  </si>
  <si>
    <t xml:space="preserve">25,8 ( 1 ) </t>
  </si>
  <si>
    <t xml:space="preserve">25,9 ( 4 ) </t>
  </si>
  <si>
    <t xml:space="preserve">25,6 ( 0 ) </t>
  </si>
  <si>
    <t xml:space="preserve">24,8 ( 1 ) </t>
  </si>
  <si>
    <t xml:space="preserve">24,8 ( 0 ) </t>
  </si>
  <si>
    <t xml:space="preserve">25,4 ( 5 ) </t>
  </si>
  <si>
    <t xml:space="preserve">25,7 ( 8 ) </t>
  </si>
  <si>
    <t xml:space="preserve">25,2 ( 1 ) </t>
  </si>
  <si>
    <t xml:space="preserve">25,0 ( 2 ) </t>
  </si>
  <si>
    <t xml:space="preserve">25,3 ( 1 ) </t>
  </si>
  <si>
    <t xml:space="preserve">24,8 ( 6 ) </t>
  </si>
  <si>
    <t xml:space="preserve">25,0 ( 1 ) </t>
  </si>
  <si>
    <t xml:space="preserve">24,9 ( 2 ) </t>
  </si>
  <si>
    <t xml:space="preserve">25,8 ( 0 ) </t>
  </si>
  <si>
    <t xml:space="preserve">25,0 ( 7 ) </t>
  </si>
  <si>
    <t xml:space="preserve">25,1 ( 7 ) </t>
  </si>
  <si>
    <t xml:space="preserve">24,9 ( 5 ) </t>
  </si>
  <si>
    <t xml:space="preserve">24,9 ( 3 ) </t>
  </si>
  <si>
    <t xml:space="preserve">25,7 ( 7 ) </t>
  </si>
  <si>
    <t xml:space="preserve">25,9 ( 5 ) </t>
  </si>
  <si>
    <t xml:space="preserve">25,8 ( 5 ) </t>
  </si>
  <si>
    <t xml:space="preserve">24,9 ( 1 ) </t>
  </si>
  <si>
    <t xml:space="preserve">25,9 ( 2 ) </t>
  </si>
  <si>
    <t xml:space="preserve">26,6 ( 3 ) </t>
  </si>
  <si>
    <t xml:space="preserve">25,7 ( 4 ) </t>
  </si>
  <si>
    <t xml:space="preserve">25,8 ( 8 ) </t>
  </si>
  <si>
    <t xml:space="preserve">25,8 ( 9 ) </t>
  </si>
  <si>
    <t xml:space="preserve">25,5 ( 4 ) </t>
  </si>
  <si>
    <t xml:space="preserve">25,9 ( 9 ) </t>
  </si>
  <si>
    <t xml:space="preserve">25,8 ( 2 ) </t>
  </si>
  <si>
    <t xml:space="preserve">25,7 ( 3 ) </t>
  </si>
  <si>
    <t xml:space="preserve">24,9 ( 0 ) </t>
  </si>
  <si>
    <t xml:space="preserve">24,7 ( 9 ) </t>
  </si>
  <si>
    <t xml:space="preserve">25,6 ( 8 ) </t>
  </si>
  <si>
    <t xml:space="preserve">24,7 ( 0 ) </t>
  </si>
  <si>
    <t xml:space="preserve">26,1 ( 0 ) </t>
  </si>
  <si>
    <t xml:space="preserve">26,4 ( 1 ) </t>
  </si>
  <si>
    <t xml:space="preserve">24,4 ( 4 ) </t>
  </si>
  <si>
    <t>33269-01</t>
  </si>
  <si>
    <t>24S3-06455</t>
  </si>
  <si>
    <t xml:space="preserve">24,3 ( 2 ) </t>
  </si>
  <si>
    <t xml:space="preserve">24,7 ( 8 ) </t>
  </si>
  <si>
    <t xml:space="preserve">24,7 ( 7 ) </t>
  </si>
  <si>
    <t xml:space="preserve">24,7 ( 2 ) </t>
  </si>
  <si>
    <t xml:space="preserve">24,8 ( 5 ) </t>
  </si>
  <si>
    <t xml:space="preserve">24,5 ( 4 ) </t>
  </si>
  <si>
    <t xml:space="preserve">24,5 ( 6 ) </t>
  </si>
  <si>
    <t xml:space="preserve">24,4 ( 7 ) </t>
  </si>
  <si>
    <t xml:space="preserve">24,5 ( 3 ) </t>
  </si>
  <si>
    <t xml:space="preserve">24,4 ( 5 ) </t>
  </si>
  <si>
    <t xml:space="preserve">24,3 ( 9 ) </t>
  </si>
  <si>
    <t xml:space="preserve">26,3 ( 3 ) </t>
  </si>
  <si>
    <t xml:space="preserve">26,4 ( 0 ) </t>
  </si>
  <si>
    <t xml:space="preserve">24,7 ( 4 ) </t>
  </si>
  <si>
    <t xml:space="preserve">24,6 ( 5 ) </t>
  </si>
  <si>
    <t xml:space="preserve">26,0 ( 6 ) </t>
  </si>
  <si>
    <t xml:space="preserve">25,8 ( 7 ) </t>
  </si>
  <si>
    <t xml:space="preserve">26,0 ( 3 ) </t>
  </si>
  <si>
    <t xml:space="preserve">26,1 ( 1 ) </t>
  </si>
  <si>
    <t xml:space="preserve">26,3 ( 9 ) </t>
  </si>
  <si>
    <t xml:space="preserve">24,6 ( 9 )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</si>
</sst>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9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2"/>
      <color rgb="FF000000"/>
      <name val="Aptos Narrow"/>
    </font>
    <font>
      <sz val="12"/>
      <color rgb="FFFF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4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6" fillId="4" borderId="0" xfId="0" applyFont="1" applyFill="1" applyAlignment="1" applyProtection="1">
      <alignment horizontal="center"/>
      <protection locked="0"/>
    </xf>
    <xf numFmtId="14" fontId="1" fillId="4" borderId="0" xfId="0" applyNumberFormat="1" applyFont="1" applyFill="1" applyAlignment="1" applyProtection="1">
      <alignment horizontal="center" vertical="center"/>
      <protection locked="0"/>
    </xf>
    <xf numFmtId="165" fontId="1" fillId="4" borderId="0" xfId="0" applyNumberFormat="1" applyFont="1" applyFill="1" applyAlignment="1" applyProtection="1">
      <alignment horizontal="center" vertical="center"/>
      <protection locked="0"/>
    </xf>
    <xf numFmtId="165" fontId="0" fillId="4" borderId="0" xfId="0" applyNumberFormat="1" applyFill="1" applyAlignment="1" applyProtection="1">
      <alignment horizontal="center"/>
      <protection locked="0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6" fillId="5" borderId="0" xfId="0" applyNumberFormat="1" applyFont="1" applyFill="1" applyAlignment="1" applyProtection="1">
      <alignment horizontal="center"/>
      <protection locked="0"/>
    </xf>
    <xf numFmtId="165" fontId="6" fillId="5" borderId="0" xfId="0" applyNumberFormat="1" applyFont="1" applyFill="1" applyAlignment="1" applyProtection="1">
      <alignment horizontal="center"/>
      <protection locked="0"/>
    </xf>
    <xf numFmtId="0" fontId="6" fillId="5" borderId="0" xfId="0" applyFont="1" applyFill="1" applyAlignment="1" applyProtection="1">
      <alignment horizontal="center"/>
      <protection locked="0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1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11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25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25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25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25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25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25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25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25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25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25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25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25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25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25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25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25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25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25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25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25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25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25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25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25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25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25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25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25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25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25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25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25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25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25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25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25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25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25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25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25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25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25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25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25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25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25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25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25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25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25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25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25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25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25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25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25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25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25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25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25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25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25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25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25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25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25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25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25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25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25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25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25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25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25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25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25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25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25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25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25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25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25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25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25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25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25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25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25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25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25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25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25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25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25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25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25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25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25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25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25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25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1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11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24.625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24.625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24.625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24.625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24.625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24.625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24.625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24.625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24.625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24.625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24.625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24.625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24.625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24.625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24.625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24.625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24.625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24.625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24.625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24.625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24.625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24.625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24.625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24.625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24.625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24.625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24.625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24.625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24.625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24.625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24.625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24.625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24.625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24.625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24.625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24.625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24.625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24.625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24.625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24.625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24.625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24.625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24.625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24.625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24.625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24.625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24.625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24.625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24.625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24.625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24.625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24.625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24.625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24.625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24.625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24.625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24.625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24.625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24.625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24.625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24.625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24.625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24.625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24.625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24.625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24.625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24.625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24.625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24.625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24.625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24.625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24.625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24.625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24.625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24.625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24.625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24.625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24.625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24.625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24.625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24.625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24.625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24.625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24.625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24.625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24.625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24.625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24.625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24.625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24.625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24.625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24.625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24.625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24.625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24.625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24.625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24.625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24.625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24.625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24.625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24.625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24.625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24.625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24.625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24.625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24.625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24.625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24.625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24.625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24.625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24.625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24.625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24.625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1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11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25.375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25.375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25.375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25.375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25.375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25.375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25.375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25.375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25.375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25.375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25.375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25.375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25.375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25.375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25.375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25.375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25.375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25.375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25.375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25.375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25.375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25.375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25.375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25.375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25.375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25.375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25.375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25.375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25.375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25.375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25.375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25.375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25.375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25.375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25.375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25.375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25.375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25.375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25.375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25.375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25.375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25.375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25.375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25.375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25.375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25.375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25.375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25.375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25.375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25.375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25.375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25.375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25.375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25.375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25.375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25.375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25.375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25.375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25.375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25.375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25.375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25.375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25.375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25.375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25.375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25.375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25.375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25.375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25.375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25.375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25.375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25.375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25.375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25.375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25.375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25.375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25.375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25.375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25.375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25.375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25.375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25.375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25.375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25.375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25.375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25.375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25.375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25.375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25.375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25.375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25.375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25.375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25.375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25.375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25.375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25.375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25.375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25.375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25.375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25.375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25.375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25.375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25.375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25.375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25.375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25.375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25.375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25.375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25.375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25.375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25.375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25.375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25.375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1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11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25.670999999999999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25.395499999999998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25.335333333333335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25.321000000000005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25.291400000000003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25.263833333333334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25.230428571428575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25.211250000000007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25.203222222222223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25.186200000000003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25.180545454545452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25.180916666666658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25.177923076923069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25.182999999999989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25.180066666666654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25.187124999999991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25.193411764705871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25.203055555555547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25.203052631578942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25.195849999999997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25.199285714285715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25.200454545454548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25.198173913043483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25.199208333333342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25.212200000000017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25.22119230769232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25.228592592592605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25.229642857142867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25.231068965517252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25.230366666666679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25.228451612903235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25.228812500000011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25.234121212121231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25.240882352941185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25.243057142857158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25.243138888888911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25.240432432432456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25.256421052631598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25.250051282051299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25.246025000000014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25.247170731707332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25.250500000000006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25.254930232558145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25.258090909090914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25.257355555555563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25.25917391304348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25.263680851063835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25.272625000000005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25.277244897959193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25.284060000000011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25.285745098039225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25.289211538461551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25.296452830188692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25.301870370370377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25.305472727272733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25.308982142857147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25.307736842105268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25.309879310344829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25.312372881355937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25.310600000000004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25.310672131147541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25.31048387096774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25.315158730158732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25.318249999999999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25.321476923076926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25.329500000000003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25.33697014925373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25.340102941176472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25.337811594202901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25.336028571428574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25.336633802816905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25.332888888888888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25.332684931506854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25.334391891891894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25.337106666666674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25.337921052631589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25.339272727272736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25.342897435897445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25.344443037974688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25.343587500000009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25.341617283950615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25.342353658536585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25.341686746987946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25.342154761904759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25.344458823529404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25.341511627906968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25.340160919540224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25.344988636363627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25.348752808988756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25.351211111111102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25.352384615384604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25.353880434782596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25.355193548387088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25.356680851063818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25.35995789473683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25.362041666666652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25.361608247422666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25.35979591836734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25.360151515151504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25.36127999999999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25.361920792079204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25.361568627450978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25.362718446601942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25.365009615384622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25.364733333333341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25.363424528301895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25.359757009345799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25.360342592592598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25.357825688073397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25.35665454545455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25.356306306306305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25.355580357142856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25.354256637168142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1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11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25.670999999999999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25.12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25.214999999999996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25.277999999999999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25.173000000000002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25.126000000000001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25.03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25.077000000000002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25.139000000000003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25.033000000000001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25.124000000000002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25.184999999999995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25.141999999999996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25.249000000000002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25.138999999999999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25.292999999999999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25.293999999999997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25.367000000000001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25.202999999999999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25.059000000000001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25.267999999999997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25.225000000000001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25.147999999999996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25.223000000000003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25.524000000000004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25.445999999999998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25.420999999999999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25.258000000000003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25.271000000000001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25.21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25.170999999999999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25.240000000000002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25.404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25.463999999999999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25.317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25.245999999999999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25.143000000000001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25.847999999999995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25.007999999999999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25.089000000000002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25.292999999999999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25.387000000000004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25.441000000000003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25.394000000000002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25.225000000000001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25.340999999999998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25.471000000000004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25.693000000000001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25.499000000000002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25.618000000000002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25.369999999999997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25.466000000000001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25.673000000000002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25.589000000000002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25.499999999999993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25.501999999999999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25.238000000000003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25.431999999999995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25.457000000000001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25.206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25.314999999999998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25.299000000000003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25.604999999999997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25.512999999999998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25.527999999999999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25.850999999999999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25.830000000000002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25.549999999999997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25.181999999999999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25.213000000000001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25.379000000000001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25.067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25.317999999999998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25.458999999999996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25.538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25.399000000000004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25.442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25.621999999999996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25.464999999999996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25.276000000000003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25.183999999999994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25.401999999999997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25.286999999999999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25.380999999999997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25.538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25.090999999999998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25.224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25.764999999999997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25.679999999999996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25.57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25.457999999999998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25.489999999999995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25.475999999999999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25.494999999999997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25.667999999999999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25.56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25.32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25.184000000000001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25.395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25.473000000000003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25.425999999999998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25.326000000000001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25.48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25.600999999999999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25.336000000000006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25.225999999999999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24.970999999999997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25.422999999999998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25.086000000000002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25.229000000000003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25.318000000000005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25.274999999999999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25.206000000000003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27.270999999999997"/>
          <c:min val="23.1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152400</xdr:rowOff>
        </xdr:from>
        <xdr:to>
          <xdr:col>5</xdr:col>
          <xdr:colOff>152400</xdr:colOff>
          <xdr:row>5</xdr:row>
          <xdr:rowOff>190500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</xdr:row>
          <xdr:rowOff>50800</xdr:rowOff>
        </xdr:from>
        <xdr:to>
          <xdr:col>5</xdr:col>
          <xdr:colOff>165100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50800</xdr:rowOff>
        </xdr:from>
        <xdr:to>
          <xdr:col>6</xdr:col>
          <xdr:colOff>647700</xdr:colOff>
          <xdr:row>3</xdr:row>
          <xdr:rowOff>88900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3</xdr:row>
          <xdr:rowOff>139700</xdr:rowOff>
        </xdr:from>
        <xdr:to>
          <xdr:col>6</xdr:col>
          <xdr:colOff>647700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50800</xdr:rowOff>
        </xdr:from>
        <xdr:to>
          <xdr:col>8</xdr:col>
          <xdr:colOff>101600</xdr:colOff>
          <xdr:row>3</xdr:row>
          <xdr:rowOff>88900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139700</xdr:rowOff>
        </xdr:from>
        <xdr:to>
          <xdr:col>8</xdr:col>
          <xdr:colOff>101600</xdr:colOff>
          <xdr:row>5</xdr:row>
          <xdr:rowOff>177800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1447800</xdr:colOff>
          <xdr:row>3</xdr:row>
          <xdr:rowOff>127000</xdr:rowOff>
        </xdr:from>
        <xdr:to>
          <xdr:col>9</xdr:col>
          <xdr:colOff>1193800</xdr:colOff>
          <xdr:row>5</xdr:row>
          <xdr:rowOff>165100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RECENTRER  AXE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38100</xdr:rowOff>
        </xdr:from>
        <xdr:to>
          <xdr:col>8</xdr:col>
          <xdr:colOff>1308100</xdr:colOff>
          <xdr:row>3</xdr:row>
          <xdr:rowOff>88900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CURSEUR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76200</xdr:rowOff>
        </xdr:from>
        <xdr:to>
          <xdr:col>14</xdr:col>
          <xdr:colOff>787400</xdr:colOff>
          <xdr:row>2</xdr:row>
          <xdr:rowOff>114300</xdr:rowOff>
        </xdr:to>
        <xdr:sp macro="" textlink="">
          <xdr:nvSpPr>
            <xdr:cNvPr id="1063" name="Button 39" descr="Clea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FF0000"/>
                  </a:solidFill>
                  <a:latin typeface="Aptos Narrow" charset="0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1422400</xdr:colOff>
          <xdr:row>1</xdr:row>
          <xdr:rowOff>25400</xdr:rowOff>
        </xdr:from>
        <xdr:to>
          <xdr:col>9</xdr:col>
          <xdr:colOff>1181100</xdr:colOff>
          <xdr:row>3</xdr:row>
          <xdr:rowOff>76200</xdr:rowOff>
        </xdr:to>
        <xdr:sp macro="" textlink="">
          <xdr:nvSpPr>
            <xdr:cNvPr id="1064" name="Button 40" descr="TAR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VUE GLOBALE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469900</xdr:colOff>
          <xdr:row>9</xdr:row>
          <xdr:rowOff>101600</xdr:rowOff>
        </xdr:from>
        <xdr:to>
          <xdr:col>15</xdr:col>
          <xdr:colOff>215900</xdr:colOff>
          <xdr:row>12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1136"/>
  <sheetViews>
    <sheetView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76" sqref="F76"/>
    </sheetView>
  </sheetViews>
  <sheetFormatPr baseColWidth="10" defaultColWidth="10.83203125" defaultRowHeight="16" x14ac:dyDescent="0.2"/>
  <cols>
    <col min="1" max="1" width="10.83203125" style="2"/>
    <col min="2" max="2" width="11.6640625" style="65" bestFit="1" customWidth="1"/>
    <col min="3" max="3" width="10.83203125" style="70"/>
    <col min="4" max="8" width="10.83203125" style="66"/>
    <col min="9" max="9" width="10.83203125" style="33"/>
    <col min="10" max="12" width="10.83203125" style="2"/>
    <col min="13" max="13" width="10.83203125" style="33"/>
    <col min="14" max="14" width="5.5" style="2" bestFit="1" customWidth="1"/>
    <col min="15" max="15" width="7.5" style="2" customWidth="1"/>
    <col min="16" max="16" width="7.1640625" style="2" customWidth="1"/>
    <col min="17" max="18" width="14.83203125" style="33" customWidth="1"/>
    <col min="19" max="19" width="2.1640625" style="2" bestFit="1" customWidth="1"/>
    <col min="20" max="16384" width="10.83203125" style="2"/>
  </cols>
  <sheetData>
    <row r="1" spans="1:26" x14ac:dyDescent="0.2">
      <c r="A1" s="42" t="s">
        <v>3</v>
      </c>
      <c r="B1" s="68" t="s">
        <v>0</v>
      </c>
      <c r="C1" s="69" t="s">
        <v>8</v>
      </c>
      <c r="D1" s="64"/>
      <c r="E1" s="64"/>
      <c r="F1" s="64"/>
      <c r="G1" s="64"/>
      <c r="H1" s="64"/>
      <c r="I1" s="48" t="s">
        <v>4</v>
      </c>
      <c r="J1" s="42" t="s">
        <v>40</v>
      </c>
      <c r="K1" s="42" t="s">
        <v>31</v>
      </c>
      <c r="L1" s="42" t="s">
        <v>27</v>
      </c>
      <c r="M1" s="48" t="s">
        <v>26</v>
      </c>
      <c r="N1" s="42" t="s">
        <v>6</v>
      </c>
      <c r="O1" s="42" t="s">
        <v>24</v>
      </c>
      <c r="P1" s="42" t="s">
        <v>25</v>
      </c>
      <c r="Q1" s="48" t="s">
        <v>56</v>
      </c>
      <c r="R1" s="48" t="s">
        <v>68</v>
      </c>
    </row>
    <row r="2" spans="1:26" x14ac:dyDescent="0.2">
      <c r="A2" s="25" cm="1">
        <f t="array" ref="A2:A1136">_xlfn.SEQUENCE(calculs_intermediaires!F4)</f>
        <v>1</v>
      </c>
      <c r="B2" s="65">
        <v>45728</v>
      </c>
      <c r="C2" s="70">
        <v>0.7757060185185185</v>
      </c>
      <c r="D2" s="66" t="s">
        <v>98</v>
      </c>
      <c r="F2" s="75"/>
      <c r="G2" s="66" t="s">
        <v>199</v>
      </c>
      <c r="H2" s="66" t="s">
        <v>100</v>
      </c>
      <c r="I2" s="2" t="str" cm="1">
        <f t="array" aca="1" ref="I2:I1136" ca="1">_xlfn.IFS(
LEN(poids_brute_balance)=10,LEFT(poids_brute_balance,3)&amp;LEFT(RIGHT(poids_brute_balance,4),1),
LEN(poids_brute_balance)=11,LEFT(poids_brute_balance,4)&amp;LEFT(RIGHT(poids_brute_balance,4),1),
LEN(poids_brute_balance)=12,LEFT(poids_brute_balance,5)&amp;LEFT(RIGHT(poids_brute_balance,4),1)
)</f>
        <v>25,78</v>
      </c>
      <c r="J2" s="25" cm="1">
        <f t="array" ref="J2:J1136">IF(_xlfn.ANCHORARRAY(A2)&lt;&gt;0,ROW(_xlfn.ANCHORARRAY(A2)))</f>
        <v>2</v>
      </c>
      <c r="K2" s="25" t="str" cm="1">
        <f t="array" ref="K2:K1136">_xlfn.BYROW(_xlfn.ANCHORARRAY(J2), _xlfn.LAMBDA(_xlpm.row, _xlfn._xlws.FILTER(calculs_intermediaires!$M$7:$M$100, (_xlpm.row&gt;=calculs_intermediaires!O$7:O$100) * (_xlpm.row&lt;=calculs_intermediaires!P$7:P$100), "No Match")))</f>
        <v>No Match</v>
      </c>
      <c r="L2" s="25"/>
      <c r="M2" s="31" cm="1">
        <f t="array" aca="1" ref="M2:M1136" ca="1">IFERROR(_xlfn.ANCHORARRAY(I2)-0,"")</f>
        <v>25.78</v>
      </c>
      <c r="N2" s="25" t="e" cm="1">
        <f t="array" aca="1" ref="N2:N1136" ca="1">IF(ISERROR(y_moyenne_longue),NA(),IF(_xlfn.SEQUENCE(calculs_intermediaires!F4,1,1), interface!C5, ""))</f>
        <v>#N/A</v>
      </c>
      <c r="O2" s="25" t="e" cm="1">
        <f t="array" aca="1" ref="O2:O1136" ca="1">IF(ISERROR(y_moyenne_courte),NA(),IF(_xlfn.SEQUENCE(calculs_intermediaires!F4,1,1),calculs_intermediaires!C25,""))</f>
        <v>#N/A</v>
      </c>
      <c r="P2" s="25" t="e" cm="1">
        <f t="array" aca="1" ref="P2:P1136" ca="1">IF(ISERROR(y_moyenne_courte),NA(),IF(_xlfn.SEQUENCE(calculs_intermediaires!F4,1,1),calculs_intermediaires!C26,""))</f>
        <v>#N/A</v>
      </c>
      <c r="Q2" s="31" t="e" cm="1">
        <f t="array" aca="1" ref="Q2:Q1136" ca="1">INDEX(calculs_intermediaires!AL:AL,MATCH(_xlfn.ANCHORARRAY(A2),calculs_intermediaires!AM:AM,0))</f>
        <v>#N/A</v>
      </c>
      <c r="R2" s="31" t="e" cm="1">
        <f t="array" aca="1" ref="R2:R1136" ca="1">INDEX(calculs_intermediaires!AG:AG,MATCH(_xlfn.ANCHORARRAY(A2),calculs_intermediaires!AH:AH,0))</f>
        <v>#N/A</v>
      </c>
      <c r="T2" s="14"/>
      <c r="V2" s="25"/>
      <c r="W2" s="25"/>
      <c r="X2" s="25"/>
      <c r="Y2" s="31"/>
      <c r="Z2" s="31"/>
    </row>
    <row r="3" spans="1:26" x14ac:dyDescent="0.2">
      <c r="A3" s="25">
        <v>2</v>
      </c>
      <c r="B3" s="65">
        <v>45728</v>
      </c>
      <c r="C3" s="70">
        <v>0.77575231481481477</v>
      </c>
      <c r="D3" s="66" t="s">
        <v>98</v>
      </c>
      <c r="F3" s="75"/>
      <c r="G3" s="66" t="s">
        <v>175</v>
      </c>
      <c r="H3" s="66" t="s">
        <v>100</v>
      </c>
      <c r="I3" s="31" t="str">
        <f ca="1"/>
        <v>25,58</v>
      </c>
      <c r="J3" s="25">
        <v>3</v>
      </c>
      <c r="K3" s="25" t="str">
        <v>No Match</v>
      </c>
      <c r="L3" s="25"/>
      <c r="M3" s="31">
        <f ca="1"/>
        <v>25.58</v>
      </c>
      <c r="N3" s="25" t="e">
        <f ca="1"/>
        <v>#N/A</v>
      </c>
      <c r="O3" s="25" t="e">
        <f ca="1"/>
        <v>#N/A</v>
      </c>
      <c r="P3" s="25" t="e">
        <f ca="1"/>
        <v>#N/A</v>
      </c>
      <c r="Q3" s="31" t="e">
        <f ca="1"/>
        <v>#N/A</v>
      </c>
      <c r="R3" s="31" t="e">
        <f ca="1"/>
        <v>#N/A</v>
      </c>
      <c r="Z3"/>
    </row>
    <row r="4" spans="1:26" x14ac:dyDescent="0.2">
      <c r="A4" s="25">
        <v>3</v>
      </c>
      <c r="B4" s="65">
        <v>45728</v>
      </c>
      <c r="C4" s="70">
        <v>0.77579861111111115</v>
      </c>
      <c r="D4" s="66" t="s">
        <v>98</v>
      </c>
      <c r="F4" s="75"/>
      <c r="G4" s="66" t="s">
        <v>168</v>
      </c>
      <c r="H4" s="66" t="s">
        <v>100</v>
      </c>
      <c r="I4" s="31" t="str">
        <f ca="1"/>
        <v>25,59</v>
      </c>
      <c r="J4" s="25">
        <v>4</v>
      </c>
      <c r="K4" s="25" t="str">
        <v>No Match</v>
      </c>
      <c r="L4" s="25"/>
      <c r="M4" s="31">
        <f ca="1"/>
        <v>25.59</v>
      </c>
      <c r="N4" s="25" t="e">
        <f ca="1"/>
        <v>#N/A</v>
      </c>
      <c r="O4" s="25" t="e">
        <f ca="1"/>
        <v>#N/A</v>
      </c>
      <c r="P4" s="25" t="e">
        <f ca="1"/>
        <v>#N/A</v>
      </c>
      <c r="Q4" s="31" t="e">
        <f ca="1"/>
        <v>#N/A</v>
      </c>
      <c r="R4" s="31" t="e">
        <f ca="1"/>
        <v>#N/A</v>
      </c>
      <c r="Z4"/>
    </row>
    <row r="5" spans="1:26" x14ac:dyDescent="0.2">
      <c r="A5" s="25">
        <v>4</v>
      </c>
      <c r="B5" s="65">
        <v>45728</v>
      </c>
      <c r="C5" s="70">
        <v>0.77585648148148145</v>
      </c>
      <c r="D5" s="66" t="s">
        <v>98</v>
      </c>
      <c r="F5" s="75"/>
      <c r="G5" s="66" t="s">
        <v>111</v>
      </c>
      <c r="H5" s="66" t="s">
        <v>100</v>
      </c>
      <c r="I5" s="31" t="str">
        <f ca="1"/>
        <v>25,44</v>
      </c>
      <c r="J5" s="25">
        <v>5</v>
      </c>
      <c r="K5" s="25" t="str">
        <v>No Match</v>
      </c>
      <c r="L5" s="25"/>
      <c r="M5" s="31">
        <f ca="1"/>
        <v>25.44</v>
      </c>
      <c r="N5" s="25" t="e">
        <f ca="1"/>
        <v>#N/A</v>
      </c>
      <c r="O5" s="25" t="e">
        <f ca="1"/>
        <v>#N/A</v>
      </c>
      <c r="P5" s="25" t="e">
        <f ca="1"/>
        <v>#N/A</v>
      </c>
      <c r="Q5" s="31" t="e">
        <f ca="1"/>
        <v>#N/A</v>
      </c>
      <c r="R5" s="31" t="e">
        <f ca="1"/>
        <v>#N/A</v>
      </c>
    </row>
    <row r="6" spans="1:26" x14ac:dyDescent="0.2">
      <c r="A6" s="25">
        <v>5</v>
      </c>
      <c r="B6" s="65">
        <v>45728</v>
      </c>
      <c r="C6" s="70">
        <v>0.77590277777777783</v>
      </c>
      <c r="D6" s="66" t="s">
        <v>98</v>
      </c>
      <c r="F6" s="75"/>
      <c r="G6" s="66" t="s">
        <v>223</v>
      </c>
      <c r="H6" s="66" t="s">
        <v>100</v>
      </c>
      <c r="I6" s="31" t="str">
        <f ca="1"/>
        <v>25,73</v>
      </c>
      <c r="J6" s="25">
        <v>6</v>
      </c>
      <c r="K6" s="25" t="str">
        <v>No Match</v>
      </c>
      <c r="L6" s="25"/>
      <c r="M6" s="31">
        <f ca="1"/>
        <v>25.73</v>
      </c>
      <c r="N6" s="25" t="e">
        <f ca="1"/>
        <v>#N/A</v>
      </c>
      <c r="O6" s="25" t="e">
        <f ca="1"/>
        <v>#N/A</v>
      </c>
      <c r="P6" s="25" t="e">
        <f ca="1"/>
        <v>#N/A</v>
      </c>
      <c r="Q6" s="31" t="e">
        <f ca="1"/>
        <v>#N/A</v>
      </c>
      <c r="R6" s="31" t="e">
        <f ca="1"/>
        <v>#N/A</v>
      </c>
    </row>
    <row r="7" spans="1:26" x14ac:dyDescent="0.2">
      <c r="A7" s="25">
        <v>6</v>
      </c>
      <c r="B7" s="65">
        <v>45728</v>
      </c>
      <c r="C7" s="70">
        <v>0.7759490740740741</v>
      </c>
      <c r="D7" s="66" t="s">
        <v>98</v>
      </c>
      <c r="F7" s="75"/>
      <c r="G7" s="66" t="s">
        <v>223</v>
      </c>
      <c r="H7" s="66" t="s">
        <v>100</v>
      </c>
      <c r="I7" s="31" t="str">
        <f ca="1"/>
        <v>25,73</v>
      </c>
      <c r="J7" s="25">
        <v>7</v>
      </c>
      <c r="K7" s="25" t="str">
        <v>No Match</v>
      </c>
      <c r="L7" s="25"/>
      <c r="M7" s="31">
        <f ca="1"/>
        <v>25.73</v>
      </c>
      <c r="N7" s="25" t="e">
        <f ca="1"/>
        <v>#N/A</v>
      </c>
      <c r="O7" s="25" t="e">
        <f ca="1"/>
        <v>#N/A</v>
      </c>
      <c r="P7" s="25" t="e">
        <f ca="1"/>
        <v>#N/A</v>
      </c>
      <c r="Q7" s="31" t="e">
        <f ca="1"/>
        <v>#N/A</v>
      </c>
      <c r="R7" s="31" t="e">
        <f ca="1"/>
        <v>#N/A</v>
      </c>
    </row>
    <row r="8" spans="1:26" x14ac:dyDescent="0.2">
      <c r="A8" s="25">
        <v>7</v>
      </c>
      <c r="B8" s="65">
        <v>45728</v>
      </c>
      <c r="C8" s="70">
        <v>0.77599537037037036</v>
      </c>
      <c r="D8" s="66" t="s">
        <v>98</v>
      </c>
      <c r="F8" s="75"/>
      <c r="G8" s="66" t="s">
        <v>175</v>
      </c>
      <c r="H8" s="66" t="s">
        <v>100</v>
      </c>
      <c r="I8" s="31" t="str">
        <f ca="1"/>
        <v>25,58</v>
      </c>
      <c r="J8" s="25">
        <v>8</v>
      </c>
      <c r="K8" s="25" t="str">
        <v>No Match</v>
      </c>
      <c r="L8" s="25"/>
      <c r="M8" s="31">
        <f ca="1"/>
        <v>25.58</v>
      </c>
      <c r="N8" s="25" t="e">
        <f ca="1"/>
        <v>#N/A</v>
      </c>
      <c r="O8" s="25" t="e">
        <f ca="1"/>
        <v>#N/A</v>
      </c>
      <c r="P8" s="25" t="e">
        <f ca="1"/>
        <v>#N/A</v>
      </c>
      <c r="Q8" s="31" t="e">
        <f ca="1"/>
        <v>#N/A</v>
      </c>
      <c r="R8" s="31" t="e">
        <f ca="1"/>
        <v>#N/A</v>
      </c>
    </row>
    <row r="9" spans="1:26" x14ac:dyDescent="0.2">
      <c r="A9" s="25">
        <v>8</v>
      </c>
      <c r="B9" s="65">
        <v>45728</v>
      </c>
      <c r="C9" s="70">
        <v>0.77604166666666663</v>
      </c>
      <c r="D9" s="66" t="s">
        <v>98</v>
      </c>
      <c r="F9" s="75"/>
      <c r="G9" s="66" t="s">
        <v>181</v>
      </c>
      <c r="H9" s="66" t="s">
        <v>100</v>
      </c>
      <c r="I9" s="31" t="str">
        <f ca="1"/>
        <v>25,76</v>
      </c>
      <c r="J9" s="25">
        <v>9</v>
      </c>
      <c r="K9" s="25" t="str">
        <v>No Match</v>
      </c>
      <c r="L9" s="25"/>
      <c r="M9" s="31">
        <f ca="1"/>
        <v>25.76</v>
      </c>
      <c r="N9" s="25" t="e">
        <f ca="1"/>
        <v>#N/A</v>
      </c>
      <c r="O9" s="25" t="e">
        <f ca="1"/>
        <v>#N/A</v>
      </c>
      <c r="P9" s="25" t="e">
        <f ca="1"/>
        <v>#N/A</v>
      </c>
      <c r="Q9" s="31" t="e">
        <f ca="1"/>
        <v>#N/A</v>
      </c>
      <c r="R9" s="31" t="e">
        <f ca="1"/>
        <v>#N/A</v>
      </c>
    </row>
    <row r="10" spans="1:26" x14ac:dyDescent="0.2">
      <c r="A10" s="25">
        <v>9</v>
      </c>
      <c r="B10" s="65">
        <v>45728</v>
      </c>
      <c r="C10" s="70">
        <v>0.77608796296296301</v>
      </c>
      <c r="D10" s="66" t="s">
        <v>98</v>
      </c>
      <c r="F10" s="75"/>
      <c r="G10" s="66" t="s">
        <v>101</v>
      </c>
      <c r="H10" s="66" t="s">
        <v>100</v>
      </c>
      <c r="I10" s="31" t="str">
        <f ca="1"/>
        <v>25,64</v>
      </c>
      <c r="J10" s="25">
        <v>10</v>
      </c>
      <c r="K10" s="25" t="str">
        <v>No Match</v>
      </c>
      <c r="L10" s="25"/>
      <c r="M10" s="31">
        <f ca="1"/>
        <v>25.64</v>
      </c>
      <c r="N10" s="25" t="e">
        <f ca="1"/>
        <v>#N/A</v>
      </c>
      <c r="O10" s="25" t="e">
        <f ca="1"/>
        <v>#N/A</v>
      </c>
      <c r="P10" s="25" t="e">
        <f ca="1"/>
        <v>#N/A</v>
      </c>
      <c r="Q10" s="31" t="e">
        <f ca="1"/>
        <v>#N/A</v>
      </c>
      <c r="R10" s="31" t="e">
        <f ca="1"/>
        <v>#N/A</v>
      </c>
    </row>
    <row r="11" spans="1:26" x14ac:dyDescent="0.2">
      <c r="A11" s="25">
        <v>10</v>
      </c>
      <c r="B11" s="65">
        <v>45728</v>
      </c>
      <c r="C11" s="70">
        <v>0.77613425925925927</v>
      </c>
      <c r="D11" s="66" t="s">
        <v>98</v>
      </c>
      <c r="F11" s="75"/>
      <c r="G11" s="66" t="s">
        <v>218</v>
      </c>
      <c r="H11" s="66" t="s">
        <v>100</v>
      </c>
      <c r="I11" s="31" t="str">
        <f ca="1"/>
        <v>25,88</v>
      </c>
      <c r="J11" s="25">
        <v>11</v>
      </c>
      <c r="K11" s="25" t="str">
        <v>No Match</v>
      </c>
      <c r="L11" s="25"/>
      <c r="M11" s="31">
        <f ca="1"/>
        <v>25.88</v>
      </c>
      <c r="N11" s="25">
        <f ca="1"/>
        <v>25</v>
      </c>
      <c r="O11" s="25">
        <f ca="1"/>
        <v>24.625</v>
      </c>
      <c r="P11" s="25">
        <f ca="1"/>
        <v>25.375</v>
      </c>
      <c r="Q11" s="31">
        <f ca="1"/>
        <v>25.670999999999999</v>
      </c>
      <c r="R11" s="31">
        <f ca="1"/>
        <v>25.670999999999999</v>
      </c>
    </row>
    <row r="12" spans="1:26" x14ac:dyDescent="0.2">
      <c r="A12" s="25">
        <v>11</v>
      </c>
      <c r="B12" s="65">
        <v>45728</v>
      </c>
      <c r="C12" s="70">
        <v>0.80258101851851849</v>
      </c>
      <c r="D12" s="66" t="s">
        <v>98</v>
      </c>
      <c r="F12" s="75"/>
      <c r="G12" s="66" t="s">
        <v>135</v>
      </c>
      <c r="H12" s="66" t="s">
        <v>100</v>
      </c>
      <c r="I12" s="31" t="str">
        <f ca="1"/>
        <v>25,15</v>
      </c>
      <c r="J12" s="25">
        <v>12</v>
      </c>
      <c r="K12" s="25" t="str">
        <v>No Match</v>
      </c>
      <c r="L12" s="25"/>
      <c r="M12" s="31">
        <f ca="1"/>
        <v>25.15</v>
      </c>
      <c r="N12" s="25" t="e">
        <f ca="1"/>
        <v>#N/A</v>
      </c>
      <c r="O12" s="25" t="e">
        <f ca="1"/>
        <v>#N/A</v>
      </c>
      <c r="P12" s="25" t="e">
        <f ca="1"/>
        <v>#N/A</v>
      </c>
      <c r="Q12" s="31" t="e">
        <f ca="1"/>
        <v>#N/A</v>
      </c>
      <c r="R12" s="31" t="e">
        <f ca="1"/>
        <v>#N/A</v>
      </c>
    </row>
    <row r="13" spans="1:26" x14ac:dyDescent="0.2">
      <c r="A13" s="25">
        <v>12</v>
      </c>
      <c r="B13" s="65">
        <v>45728</v>
      </c>
      <c r="C13" s="70">
        <v>0.80261574074074071</v>
      </c>
      <c r="D13" s="66" t="s">
        <v>98</v>
      </c>
      <c r="F13" s="75"/>
      <c r="G13" s="66" t="s">
        <v>207</v>
      </c>
      <c r="H13" s="66" t="s">
        <v>100</v>
      </c>
      <c r="I13" s="31" t="str">
        <f ca="1"/>
        <v>25,07</v>
      </c>
      <c r="J13" s="25">
        <v>13</v>
      </c>
      <c r="K13" s="25" t="str">
        <v>No Match</v>
      </c>
      <c r="L13" s="25"/>
      <c r="M13" s="31">
        <f ca="1"/>
        <v>25.07</v>
      </c>
      <c r="N13" s="25" t="e">
        <f ca="1"/>
        <v>#N/A</v>
      </c>
      <c r="O13" s="25" t="e">
        <f ca="1"/>
        <v>#N/A</v>
      </c>
      <c r="P13" s="25" t="e">
        <f ca="1"/>
        <v>#N/A</v>
      </c>
      <c r="Q13" s="31" t="e">
        <f ca="1"/>
        <v>#N/A</v>
      </c>
      <c r="R13" s="31" t="e">
        <f ca="1"/>
        <v>#N/A</v>
      </c>
    </row>
    <row r="14" spans="1:26" x14ac:dyDescent="0.2">
      <c r="A14" s="25">
        <v>13</v>
      </c>
      <c r="B14" s="65">
        <v>45728</v>
      </c>
      <c r="C14" s="70">
        <v>0.80266203703703709</v>
      </c>
      <c r="D14" s="66" t="s">
        <v>98</v>
      </c>
      <c r="F14" s="75"/>
      <c r="G14" s="66" t="s">
        <v>169</v>
      </c>
      <c r="H14" s="66" t="s">
        <v>100</v>
      </c>
      <c r="I14" s="31" t="str">
        <f ca="1"/>
        <v>25,11</v>
      </c>
      <c r="J14" s="25">
        <v>14</v>
      </c>
      <c r="K14" s="25" t="str">
        <v>No Match</v>
      </c>
      <c r="L14" s="25"/>
      <c r="M14" s="31">
        <f ca="1"/>
        <v>25.11</v>
      </c>
      <c r="N14" s="25" t="e">
        <f ca="1"/>
        <v>#N/A</v>
      </c>
      <c r="O14" s="25" t="e">
        <f ca="1"/>
        <v>#N/A</v>
      </c>
      <c r="P14" s="25" t="e">
        <f ca="1"/>
        <v>#N/A</v>
      </c>
      <c r="Q14" s="31" t="e">
        <f ca="1"/>
        <v>#N/A</v>
      </c>
      <c r="R14" s="31" t="e">
        <f ca="1"/>
        <v>#N/A</v>
      </c>
    </row>
    <row r="15" spans="1:26" x14ac:dyDescent="0.2">
      <c r="A15" s="25">
        <v>14</v>
      </c>
      <c r="B15" s="65">
        <v>45728</v>
      </c>
      <c r="C15" s="70">
        <v>0.80270833333333336</v>
      </c>
      <c r="D15" s="66" t="s">
        <v>98</v>
      </c>
      <c r="F15" s="75"/>
      <c r="G15" s="66" t="s">
        <v>116</v>
      </c>
      <c r="H15" s="66" t="s">
        <v>100</v>
      </c>
      <c r="I15" s="31" t="str">
        <f ca="1"/>
        <v>25,33</v>
      </c>
      <c r="J15" s="25">
        <v>15</v>
      </c>
      <c r="K15" s="25" t="str">
        <v>No Match</v>
      </c>
      <c r="L15" s="25"/>
      <c r="M15" s="31">
        <f ca="1"/>
        <v>25.33</v>
      </c>
      <c r="N15" s="25" t="e">
        <f ca="1"/>
        <v>#N/A</v>
      </c>
      <c r="O15" s="25" t="e">
        <f ca="1"/>
        <v>#N/A</v>
      </c>
      <c r="P15" s="25" t="e">
        <f ca="1"/>
        <v>#N/A</v>
      </c>
      <c r="Q15" s="31" t="e">
        <f ca="1"/>
        <v>#N/A</v>
      </c>
      <c r="R15" s="31" t="e">
        <f ca="1"/>
        <v>#N/A</v>
      </c>
    </row>
    <row r="16" spans="1:26" x14ac:dyDescent="0.2">
      <c r="A16" s="25">
        <v>15</v>
      </c>
      <c r="B16" s="65">
        <v>45728</v>
      </c>
      <c r="C16" s="70">
        <v>0.80275462962962962</v>
      </c>
      <c r="D16" s="66" t="s">
        <v>98</v>
      </c>
      <c r="F16" s="75"/>
      <c r="G16" s="66" t="s">
        <v>110</v>
      </c>
      <c r="H16" s="66" t="s">
        <v>100</v>
      </c>
      <c r="I16" s="31" t="str">
        <f ca="1"/>
        <v>25,12</v>
      </c>
      <c r="J16" s="25">
        <v>16</v>
      </c>
      <c r="K16" s="25" t="str">
        <v>No Match</v>
      </c>
      <c r="L16" s="25"/>
      <c r="M16" s="31">
        <f ca="1"/>
        <v>25.12</v>
      </c>
      <c r="N16" s="25" t="e">
        <f ca="1"/>
        <v>#N/A</v>
      </c>
      <c r="O16" s="25" t="e">
        <f ca="1"/>
        <v>#N/A</v>
      </c>
      <c r="P16" s="25" t="e">
        <f ca="1"/>
        <v>#N/A</v>
      </c>
      <c r="Q16" s="31" t="e">
        <f ca="1"/>
        <v>#N/A</v>
      </c>
      <c r="R16" s="31" t="e">
        <f ca="1"/>
        <v>#N/A</v>
      </c>
    </row>
    <row r="17" spans="1:18" x14ac:dyDescent="0.2">
      <c r="A17" s="25">
        <v>16</v>
      </c>
      <c r="B17" s="65">
        <v>45728</v>
      </c>
      <c r="C17" s="70">
        <v>0.80280092592592589</v>
      </c>
      <c r="D17" s="66" t="s">
        <v>98</v>
      </c>
      <c r="F17" s="75"/>
      <c r="G17" s="66" t="s">
        <v>102</v>
      </c>
      <c r="H17" s="66" t="s">
        <v>100</v>
      </c>
      <c r="I17" s="31" t="str">
        <f ca="1"/>
        <v>25,06</v>
      </c>
      <c r="J17" s="25">
        <v>17</v>
      </c>
      <c r="K17" s="25" t="str">
        <v>No Match</v>
      </c>
      <c r="L17" s="25"/>
      <c r="M17" s="31">
        <f ca="1"/>
        <v>25.06</v>
      </c>
      <c r="N17" s="25" t="e">
        <f ca="1"/>
        <v>#N/A</v>
      </c>
      <c r="O17" s="25" t="e">
        <f ca="1"/>
        <v>#N/A</v>
      </c>
      <c r="P17" s="25" t="e">
        <f ca="1"/>
        <v>#N/A</v>
      </c>
      <c r="Q17" s="31" t="e">
        <f ca="1"/>
        <v>#N/A</v>
      </c>
      <c r="R17" s="31" t="e">
        <f ca="1"/>
        <v>#N/A</v>
      </c>
    </row>
    <row r="18" spans="1:18" x14ac:dyDescent="0.2">
      <c r="A18" s="25">
        <v>17</v>
      </c>
      <c r="B18" s="65">
        <v>45728</v>
      </c>
      <c r="C18" s="70">
        <v>0.80283564814814812</v>
      </c>
      <c r="D18" s="66" t="s">
        <v>98</v>
      </c>
      <c r="F18" s="75"/>
      <c r="G18" s="66" t="s">
        <v>173</v>
      </c>
      <c r="H18" s="66" t="s">
        <v>100</v>
      </c>
      <c r="I18" s="31" t="str">
        <f ca="1"/>
        <v>24,87</v>
      </c>
      <c r="J18" s="25">
        <v>18</v>
      </c>
      <c r="K18" s="25" t="str">
        <v>No Match</v>
      </c>
      <c r="L18" s="25"/>
      <c r="M18" s="31">
        <f ca="1"/>
        <v>24.87</v>
      </c>
      <c r="N18" s="25" t="e">
        <f ca="1"/>
        <v>#N/A</v>
      </c>
      <c r="O18" s="25" t="e">
        <f ca="1"/>
        <v>#N/A</v>
      </c>
      <c r="P18" s="25" t="e">
        <f ca="1"/>
        <v>#N/A</v>
      </c>
      <c r="Q18" s="31" t="e">
        <f ca="1"/>
        <v>#N/A</v>
      </c>
      <c r="R18" s="31" t="e">
        <f ca="1"/>
        <v>#N/A</v>
      </c>
    </row>
    <row r="19" spans="1:18" x14ac:dyDescent="0.2">
      <c r="A19" s="25">
        <v>18</v>
      </c>
      <c r="B19" s="65">
        <v>45728</v>
      </c>
      <c r="C19" s="70">
        <v>0.8028819444444445</v>
      </c>
      <c r="D19" s="66" t="s">
        <v>98</v>
      </c>
      <c r="F19" s="75"/>
      <c r="G19" s="66" t="s">
        <v>180</v>
      </c>
      <c r="H19" s="66" t="s">
        <v>100</v>
      </c>
      <c r="I19" s="31" t="str">
        <f ca="1"/>
        <v>25,04</v>
      </c>
      <c r="J19" s="25">
        <v>19</v>
      </c>
      <c r="K19" s="25" t="str">
        <v>No Match</v>
      </c>
      <c r="L19" s="25"/>
      <c r="M19" s="31">
        <f ca="1"/>
        <v>25.04</v>
      </c>
      <c r="N19" s="25" t="e">
        <f ca="1"/>
        <v>#N/A</v>
      </c>
      <c r="O19" s="25" t="e">
        <f ca="1"/>
        <v>#N/A</v>
      </c>
      <c r="P19" s="25" t="e">
        <f ca="1"/>
        <v>#N/A</v>
      </c>
      <c r="Q19" s="31" t="e">
        <f ca="1"/>
        <v>#N/A</v>
      </c>
      <c r="R19" s="31" t="e">
        <f ca="1"/>
        <v>#N/A</v>
      </c>
    </row>
    <row r="20" spans="1:18" x14ac:dyDescent="0.2">
      <c r="A20" s="25">
        <v>19</v>
      </c>
      <c r="B20" s="65">
        <v>45728</v>
      </c>
      <c r="C20" s="70">
        <v>0.80292824074074076</v>
      </c>
      <c r="D20" s="66" t="s">
        <v>98</v>
      </c>
      <c r="F20" s="75"/>
      <c r="G20" s="66" t="s">
        <v>169</v>
      </c>
      <c r="H20" s="66" t="s">
        <v>100</v>
      </c>
      <c r="I20" s="31" t="str">
        <f ca="1"/>
        <v>25,11</v>
      </c>
      <c r="J20" s="25">
        <v>20</v>
      </c>
      <c r="K20" s="25" t="str">
        <v>No Match</v>
      </c>
      <c r="L20" s="25"/>
      <c r="M20" s="31">
        <f ca="1"/>
        <v>25.11</v>
      </c>
      <c r="N20" s="25" t="e">
        <f ca="1"/>
        <v>#N/A</v>
      </c>
      <c r="O20" s="25" t="e">
        <f ca="1"/>
        <v>#N/A</v>
      </c>
      <c r="P20" s="25" t="e">
        <f ca="1"/>
        <v>#N/A</v>
      </c>
      <c r="Q20" s="31" t="e">
        <f ca="1"/>
        <v>#N/A</v>
      </c>
      <c r="R20" s="31" t="e">
        <f ca="1"/>
        <v>#N/A</v>
      </c>
    </row>
    <row r="21" spans="1:18" x14ac:dyDescent="0.2">
      <c r="A21" s="25">
        <v>20</v>
      </c>
      <c r="B21" s="65">
        <v>45728</v>
      </c>
      <c r="C21" s="70">
        <v>0.80297453703703703</v>
      </c>
      <c r="D21" s="66" t="s">
        <v>98</v>
      </c>
      <c r="F21" s="75"/>
      <c r="G21" s="66" t="s">
        <v>120</v>
      </c>
      <c r="H21" s="66" t="s">
        <v>100</v>
      </c>
      <c r="I21" s="31" t="str">
        <f ca="1"/>
        <v>25,34</v>
      </c>
      <c r="J21" s="25">
        <v>21</v>
      </c>
      <c r="K21" s="25" t="str">
        <v>No Match</v>
      </c>
      <c r="L21" s="25"/>
      <c r="M21" s="31">
        <f ca="1"/>
        <v>25.34</v>
      </c>
      <c r="N21" s="25">
        <f ca="1"/>
        <v>25</v>
      </c>
      <c r="O21" s="25">
        <f ca="1"/>
        <v>24.625</v>
      </c>
      <c r="P21" s="25">
        <f ca="1"/>
        <v>25.375</v>
      </c>
      <c r="Q21" s="31">
        <f ca="1"/>
        <v>25.395499999999998</v>
      </c>
      <c r="R21" s="31">
        <f ca="1"/>
        <v>25.12</v>
      </c>
    </row>
    <row r="22" spans="1:18" x14ac:dyDescent="0.2">
      <c r="A22" s="25">
        <v>21</v>
      </c>
      <c r="B22" s="65">
        <v>45728</v>
      </c>
      <c r="C22" s="70">
        <v>0.80427083333333338</v>
      </c>
      <c r="D22" s="66" t="s">
        <v>98</v>
      </c>
      <c r="F22" s="75"/>
      <c r="G22" s="66" t="s">
        <v>145</v>
      </c>
      <c r="H22" s="66" t="s">
        <v>100</v>
      </c>
      <c r="I22" s="31" t="str">
        <f ca="1"/>
        <v>25,30</v>
      </c>
      <c r="J22" s="25">
        <v>22</v>
      </c>
      <c r="K22" s="25" t="str">
        <v>No Match</v>
      </c>
      <c r="L22" s="25"/>
      <c r="M22" s="31">
        <f ca="1"/>
        <v>25.3</v>
      </c>
      <c r="N22" s="25" t="e">
        <f ca="1"/>
        <v>#N/A</v>
      </c>
      <c r="O22" s="25" t="e">
        <f ca="1"/>
        <v>#N/A</v>
      </c>
      <c r="P22" s="25" t="e">
        <f ca="1"/>
        <v>#N/A</v>
      </c>
      <c r="Q22" s="31" t="e">
        <f ca="1"/>
        <v>#N/A</v>
      </c>
      <c r="R22" s="31" t="e">
        <f ca="1"/>
        <v>#N/A</v>
      </c>
    </row>
    <row r="23" spans="1:18" x14ac:dyDescent="0.2">
      <c r="A23" s="25">
        <v>22</v>
      </c>
      <c r="B23" s="65">
        <v>45728</v>
      </c>
      <c r="C23" s="70">
        <v>0.80538194444444444</v>
      </c>
      <c r="D23" s="66" t="s">
        <v>98</v>
      </c>
      <c r="F23" s="75"/>
      <c r="G23" s="66" t="s">
        <v>202</v>
      </c>
      <c r="H23" s="66" t="s">
        <v>100</v>
      </c>
      <c r="I23" s="31" t="str">
        <f ca="1"/>
        <v>25,31</v>
      </c>
      <c r="J23" s="25">
        <v>23</v>
      </c>
      <c r="K23" s="25" t="str">
        <v>No Match</v>
      </c>
      <c r="L23" s="25"/>
      <c r="M23" s="31">
        <f ca="1"/>
        <v>25.31</v>
      </c>
      <c r="N23" s="25" t="e">
        <f ca="1"/>
        <v>#N/A</v>
      </c>
      <c r="O23" s="25" t="e">
        <f ca="1"/>
        <v>#N/A</v>
      </c>
      <c r="P23" s="25" t="e">
        <f ca="1"/>
        <v>#N/A</v>
      </c>
      <c r="Q23" s="31" t="e">
        <f ca="1"/>
        <v>#N/A</v>
      </c>
      <c r="R23" s="31" t="e">
        <f ca="1"/>
        <v>#N/A</v>
      </c>
    </row>
    <row r="24" spans="1:18" x14ac:dyDescent="0.2">
      <c r="A24" s="25">
        <v>23</v>
      </c>
      <c r="B24" s="65">
        <v>45728</v>
      </c>
      <c r="C24" s="70">
        <v>0.82100694444444444</v>
      </c>
      <c r="D24" s="66" t="s">
        <v>98</v>
      </c>
      <c r="F24" s="75"/>
      <c r="G24" s="66" t="s">
        <v>120</v>
      </c>
      <c r="H24" s="66" t="s">
        <v>100</v>
      </c>
      <c r="I24" s="31" t="str">
        <f ca="1"/>
        <v>25,34</v>
      </c>
      <c r="J24" s="25">
        <v>24</v>
      </c>
      <c r="K24" s="25" t="str">
        <v>No Match</v>
      </c>
      <c r="L24" s="25"/>
      <c r="M24" s="31">
        <f ca="1"/>
        <v>25.34</v>
      </c>
      <c r="N24" s="25" t="e">
        <f ca="1"/>
        <v>#N/A</v>
      </c>
      <c r="O24" s="25" t="e">
        <f ca="1"/>
        <v>#N/A</v>
      </c>
      <c r="P24" s="25" t="e">
        <f ca="1"/>
        <v>#N/A</v>
      </c>
      <c r="Q24" s="31" t="e">
        <f ca="1"/>
        <v>#N/A</v>
      </c>
      <c r="R24" s="31" t="e">
        <f ca="1"/>
        <v>#N/A</v>
      </c>
    </row>
    <row r="25" spans="1:18" x14ac:dyDescent="0.2">
      <c r="A25" s="25">
        <v>24</v>
      </c>
      <c r="B25" s="65">
        <v>45728</v>
      </c>
      <c r="C25" s="70">
        <v>0.82104166666666667</v>
      </c>
      <c r="D25" s="66" t="s">
        <v>98</v>
      </c>
      <c r="F25" s="75"/>
      <c r="G25" s="66" t="s">
        <v>109</v>
      </c>
      <c r="H25" s="66" t="s">
        <v>100</v>
      </c>
      <c r="I25" s="31" t="str">
        <f ca="1"/>
        <v>24,88</v>
      </c>
      <c r="J25" s="25">
        <v>25</v>
      </c>
      <c r="K25" s="25" t="str">
        <v>No Match</v>
      </c>
      <c r="L25" s="25"/>
      <c r="M25" s="31">
        <f ca="1"/>
        <v>24.88</v>
      </c>
      <c r="N25" s="25" t="e">
        <f ca="1"/>
        <v>#N/A</v>
      </c>
      <c r="O25" s="25" t="e">
        <f ca="1"/>
        <v>#N/A</v>
      </c>
      <c r="P25" s="25" t="e">
        <f ca="1"/>
        <v>#N/A</v>
      </c>
      <c r="Q25" s="31" t="e">
        <f ca="1"/>
        <v>#N/A</v>
      </c>
      <c r="R25" s="31" t="e">
        <f ca="1"/>
        <v>#N/A</v>
      </c>
    </row>
    <row r="26" spans="1:18" x14ac:dyDescent="0.2">
      <c r="A26" s="25">
        <v>25</v>
      </c>
      <c r="B26" s="65">
        <v>45728</v>
      </c>
      <c r="C26" s="70">
        <v>0.82108796296296294</v>
      </c>
      <c r="D26" s="66" t="s">
        <v>98</v>
      </c>
      <c r="F26" s="75"/>
      <c r="G26" s="66" t="s">
        <v>124</v>
      </c>
      <c r="H26" s="66" t="s">
        <v>100</v>
      </c>
      <c r="I26" s="31" t="str">
        <f ca="1"/>
        <v>25,09</v>
      </c>
      <c r="J26" s="25">
        <v>26</v>
      </c>
      <c r="K26" s="25" t="str">
        <v>No Match</v>
      </c>
      <c r="L26" s="25"/>
      <c r="M26" s="31">
        <f ca="1"/>
        <v>25.09</v>
      </c>
      <c r="N26" s="25" t="e">
        <f ca="1"/>
        <v>#N/A</v>
      </c>
      <c r="O26" s="25" t="e">
        <f ca="1"/>
        <v>#N/A</v>
      </c>
      <c r="P26" s="25" t="e">
        <f ca="1"/>
        <v>#N/A</v>
      </c>
      <c r="Q26" s="31" t="e">
        <f ca="1"/>
        <v>#N/A</v>
      </c>
      <c r="R26" s="31" t="e">
        <f ca="1"/>
        <v>#N/A</v>
      </c>
    </row>
    <row r="27" spans="1:18" x14ac:dyDescent="0.2">
      <c r="A27" s="25">
        <v>26</v>
      </c>
      <c r="B27" s="65">
        <v>45728</v>
      </c>
      <c r="C27" s="70">
        <v>0.82113425925925931</v>
      </c>
      <c r="D27" s="66" t="s">
        <v>98</v>
      </c>
      <c r="F27" s="75"/>
      <c r="G27" s="66" t="s">
        <v>120</v>
      </c>
      <c r="H27" s="66" t="s">
        <v>100</v>
      </c>
      <c r="I27" s="31" t="str">
        <f ca="1"/>
        <v>25,34</v>
      </c>
      <c r="J27" s="25">
        <v>27</v>
      </c>
      <c r="K27" s="25" t="str">
        <v>No Match</v>
      </c>
      <c r="L27" s="25"/>
      <c r="M27" s="31">
        <f ca="1"/>
        <v>25.34</v>
      </c>
      <c r="N27" s="25" t="e">
        <f ca="1"/>
        <v>#N/A</v>
      </c>
      <c r="O27" s="25" t="e">
        <f ca="1"/>
        <v>#N/A</v>
      </c>
      <c r="P27" s="25" t="e">
        <f ca="1"/>
        <v>#N/A</v>
      </c>
      <c r="Q27" s="31" t="e">
        <f ca="1"/>
        <v>#N/A</v>
      </c>
      <c r="R27" s="31" t="e">
        <f ca="1"/>
        <v>#N/A</v>
      </c>
    </row>
    <row r="28" spans="1:18" x14ac:dyDescent="0.2">
      <c r="A28" s="25">
        <v>27</v>
      </c>
      <c r="B28" s="65">
        <v>45728</v>
      </c>
      <c r="C28" s="70">
        <v>0.82118055555555558</v>
      </c>
      <c r="D28" s="66" t="s">
        <v>98</v>
      </c>
      <c r="F28" s="75"/>
      <c r="G28" s="66" t="s">
        <v>140</v>
      </c>
      <c r="H28" s="66" t="s">
        <v>100</v>
      </c>
      <c r="I28" s="31" t="str">
        <f ca="1"/>
        <v>25,10</v>
      </c>
      <c r="J28" s="25">
        <v>28</v>
      </c>
      <c r="K28" s="25" t="str">
        <v>No Match</v>
      </c>
      <c r="L28" s="25"/>
      <c r="M28" s="31">
        <f ca="1"/>
        <v>25.1</v>
      </c>
      <c r="N28" s="25" t="e">
        <f ca="1"/>
        <v>#N/A</v>
      </c>
      <c r="O28" s="25" t="e">
        <f ca="1"/>
        <v>#N/A</v>
      </c>
      <c r="P28" s="25" t="e">
        <f ca="1"/>
        <v>#N/A</v>
      </c>
      <c r="Q28" s="31" t="e">
        <f ca="1"/>
        <v>#N/A</v>
      </c>
      <c r="R28" s="31" t="e">
        <f ca="1"/>
        <v>#N/A</v>
      </c>
    </row>
    <row r="29" spans="1:18" x14ac:dyDescent="0.2">
      <c r="A29" s="25">
        <v>28</v>
      </c>
      <c r="B29" s="65">
        <v>45728</v>
      </c>
      <c r="C29" s="70">
        <v>0.82122685185185185</v>
      </c>
      <c r="D29" s="66" t="s">
        <v>98</v>
      </c>
      <c r="F29" s="75"/>
      <c r="G29" s="66" t="s">
        <v>120</v>
      </c>
      <c r="H29" s="66" t="s">
        <v>100</v>
      </c>
      <c r="I29" s="31" t="str">
        <f ca="1"/>
        <v>25,34</v>
      </c>
      <c r="J29" s="25">
        <v>29</v>
      </c>
      <c r="K29" s="25" t="str">
        <v>No Match</v>
      </c>
      <c r="L29" s="25"/>
      <c r="M29" s="31">
        <f ca="1"/>
        <v>25.34</v>
      </c>
      <c r="N29" s="25" t="e">
        <f ca="1"/>
        <v>#N/A</v>
      </c>
      <c r="O29" s="25" t="e">
        <f ca="1"/>
        <v>#N/A</v>
      </c>
      <c r="P29" s="25" t="e">
        <f ca="1"/>
        <v>#N/A</v>
      </c>
      <c r="Q29" s="31" t="e">
        <f ca="1"/>
        <v>#N/A</v>
      </c>
      <c r="R29" s="31" t="e">
        <f ca="1"/>
        <v>#N/A</v>
      </c>
    </row>
    <row r="30" spans="1:18" x14ac:dyDescent="0.2">
      <c r="A30" s="25">
        <v>29</v>
      </c>
      <c r="B30" s="65">
        <v>45728</v>
      </c>
      <c r="C30" s="70">
        <v>0.82127314814814811</v>
      </c>
      <c r="D30" s="66" t="s">
        <v>98</v>
      </c>
      <c r="F30" s="75"/>
      <c r="G30" s="66" t="s">
        <v>140</v>
      </c>
      <c r="H30" s="66" t="s">
        <v>100</v>
      </c>
      <c r="I30" s="31" t="str">
        <f ca="1"/>
        <v>25,10</v>
      </c>
      <c r="J30" s="25">
        <v>30</v>
      </c>
      <c r="K30" s="25" t="str">
        <v>No Match</v>
      </c>
      <c r="L30" s="25"/>
      <c r="M30" s="31">
        <f ca="1"/>
        <v>25.1</v>
      </c>
      <c r="N30" s="25" t="e">
        <f ca="1"/>
        <v>#N/A</v>
      </c>
      <c r="O30" s="25" t="e">
        <f ca="1"/>
        <v>#N/A</v>
      </c>
      <c r="P30" s="25" t="e">
        <f ca="1"/>
        <v>#N/A</v>
      </c>
      <c r="Q30" s="31" t="e">
        <f ca="1"/>
        <v>#N/A</v>
      </c>
      <c r="R30" s="31" t="e">
        <f ca="1"/>
        <v>#N/A</v>
      </c>
    </row>
    <row r="31" spans="1:18" x14ac:dyDescent="0.2">
      <c r="A31" s="25">
        <v>30</v>
      </c>
      <c r="B31" s="65">
        <v>45728</v>
      </c>
      <c r="C31" s="70">
        <v>0.82131944444444449</v>
      </c>
      <c r="D31" s="66" t="s">
        <v>98</v>
      </c>
      <c r="F31" s="75"/>
      <c r="G31" s="66" t="s">
        <v>139</v>
      </c>
      <c r="H31" s="66" t="s">
        <v>100</v>
      </c>
      <c r="I31" s="31" t="str">
        <f ca="1"/>
        <v>25,35</v>
      </c>
      <c r="J31" s="25">
        <v>31</v>
      </c>
      <c r="K31" s="25" t="str">
        <v>No Match</v>
      </c>
      <c r="L31" s="25"/>
      <c r="M31" s="31">
        <f ca="1"/>
        <v>25.35</v>
      </c>
      <c r="N31" s="25">
        <f ca="1"/>
        <v>25</v>
      </c>
      <c r="O31" s="25">
        <f ca="1"/>
        <v>24.625</v>
      </c>
      <c r="P31" s="25">
        <f ca="1"/>
        <v>25.375</v>
      </c>
      <c r="Q31" s="31">
        <f ca="1"/>
        <v>25.335333333333335</v>
      </c>
      <c r="R31" s="31">
        <f ca="1"/>
        <v>25.214999999999996</v>
      </c>
    </row>
    <row r="32" spans="1:18" x14ac:dyDescent="0.2">
      <c r="A32" s="25">
        <v>31</v>
      </c>
      <c r="B32" s="65">
        <v>45728</v>
      </c>
      <c r="C32" s="70">
        <v>0.82259259259259254</v>
      </c>
      <c r="D32" s="66" t="s">
        <v>98</v>
      </c>
      <c r="F32" s="75"/>
      <c r="G32" s="66" t="s">
        <v>190</v>
      </c>
      <c r="H32" s="66" t="s">
        <v>100</v>
      </c>
      <c r="I32" s="31" t="str">
        <f ca="1"/>
        <v>25,19</v>
      </c>
      <c r="J32" s="25">
        <v>32</v>
      </c>
      <c r="K32" s="25" t="str">
        <v>No Match</v>
      </c>
      <c r="L32" s="25"/>
      <c r="M32" s="31">
        <f ca="1"/>
        <v>25.19</v>
      </c>
      <c r="N32" s="25" t="e">
        <f ca="1"/>
        <v>#N/A</v>
      </c>
      <c r="O32" s="25" t="e">
        <f ca="1"/>
        <v>#N/A</v>
      </c>
      <c r="P32" s="25" t="e">
        <f ca="1"/>
        <v>#N/A</v>
      </c>
      <c r="Q32" s="31" t="e">
        <f ca="1"/>
        <v>#N/A</v>
      </c>
      <c r="R32" s="31" t="e">
        <f ca="1"/>
        <v>#N/A</v>
      </c>
    </row>
    <row r="33" spans="1:18" x14ac:dyDescent="0.2">
      <c r="A33" s="2">
        <v>32</v>
      </c>
      <c r="B33" s="65">
        <v>45728</v>
      </c>
      <c r="C33" s="70">
        <v>0.86569444444444443</v>
      </c>
      <c r="D33" s="66" t="s">
        <v>98</v>
      </c>
      <c r="F33" s="75"/>
      <c r="G33" s="66" t="s">
        <v>99</v>
      </c>
      <c r="H33" s="66" t="s">
        <v>100</v>
      </c>
      <c r="I33" s="33" t="str">
        <f ca="1"/>
        <v>25,16</v>
      </c>
      <c r="J33" s="2">
        <v>33</v>
      </c>
      <c r="K33" s="2" t="str">
        <v>No Match</v>
      </c>
      <c r="M33" s="33">
        <f ca="1"/>
        <v>25.16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3" t="e">
        <f ca="1"/>
        <v>#N/A</v>
      </c>
      <c r="R33" s="33" t="e">
        <f ca="1"/>
        <v>#N/A</v>
      </c>
    </row>
    <row r="34" spans="1:18" x14ac:dyDescent="0.2">
      <c r="A34" s="2">
        <v>33</v>
      </c>
      <c r="B34" s="65">
        <v>45728</v>
      </c>
      <c r="C34" s="70">
        <v>0.86575231481481485</v>
      </c>
      <c r="D34" s="66" t="s">
        <v>98</v>
      </c>
      <c r="F34" s="75"/>
      <c r="G34" s="66" t="s">
        <v>140</v>
      </c>
      <c r="H34" s="66" t="s">
        <v>100</v>
      </c>
      <c r="I34" s="33" t="str">
        <f ca="1"/>
        <v>25,10</v>
      </c>
      <c r="J34" s="2">
        <v>34</v>
      </c>
      <c r="K34" s="2" t="str">
        <v>No Match</v>
      </c>
      <c r="M34" s="33">
        <f ca="1"/>
        <v>25.1</v>
      </c>
      <c r="N34" s="2" t="e">
        <f ca="1"/>
        <v>#N/A</v>
      </c>
      <c r="O34" s="2" t="e">
        <f ca="1"/>
        <v>#N/A</v>
      </c>
      <c r="P34" s="2" t="e">
        <f ca="1"/>
        <v>#N/A</v>
      </c>
      <c r="Q34" s="33" t="e">
        <f ca="1"/>
        <v>#N/A</v>
      </c>
      <c r="R34" s="33" t="e">
        <f ca="1"/>
        <v>#N/A</v>
      </c>
    </row>
    <row r="35" spans="1:18" x14ac:dyDescent="0.2">
      <c r="A35" s="2">
        <v>34</v>
      </c>
      <c r="B35" s="65">
        <v>45728</v>
      </c>
      <c r="C35" s="70">
        <v>0.86579861111111112</v>
      </c>
      <c r="D35" s="66" t="s">
        <v>98</v>
      </c>
      <c r="F35" s="75"/>
      <c r="G35" s="66" t="s">
        <v>161</v>
      </c>
      <c r="H35" s="66" t="s">
        <v>100</v>
      </c>
      <c r="I35" s="33" t="str">
        <f ca="1"/>
        <v>25,38</v>
      </c>
      <c r="J35" s="2">
        <v>35</v>
      </c>
      <c r="K35" s="2" t="str">
        <v>No Match</v>
      </c>
      <c r="M35" s="33">
        <f ca="1"/>
        <v>25.38</v>
      </c>
      <c r="N35" s="2" t="e">
        <f ca="1"/>
        <v>#N/A</v>
      </c>
      <c r="O35" s="2" t="e">
        <f ca="1"/>
        <v>#N/A</v>
      </c>
      <c r="P35" s="2" t="e">
        <f ca="1"/>
        <v>#N/A</v>
      </c>
      <c r="Q35" s="33" t="e">
        <f ca="1"/>
        <v>#N/A</v>
      </c>
      <c r="R35" s="33" t="e">
        <f ca="1"/>
        <v>#N/A</v>
      </c>
    </row>
    <row r="36" spans="1:18" x14ac:dyDescent="0.2">
      <c r="A36" s="2">
        <v>35</v>
      </c>
      <c r="B36" s="65">
        <v>45728</v>
      </c>
      <c r="C36" s="70">
        <v>0.86585648148148153</v>
      </c>
      <c r="D36" s="66" t="s">
        <v>98</v>
      </c>
      <c r="F36" s="75"/>
      <c r="G36" s="66" t="s">
        <v>159</v>
      </c>
      <c r="H36" s="66" t="s">
        <v>100</v>
      </c>
      <c r="I36" s="33" t="str">
        <f ca="1"/>
        <v>25,26</v>
      </c>
      <c r="J36" s="2">
        <v>36</v>
      </c>
      <c r="K36" s="2" t="str">
        <v>No Match</v>
      </c>
      <c r="M36" s="33">
        <f ca="1"/>
        <v>25.26</v>
      </c>
      <c r="N36" s="2" t="e">
        <f ca="1"/>
        <v>#N/A</v>
      </c>
      <c r="O36" s="2" t="e">
        <f ca="1"/>
        <v>#N/A</v>
      </c>
      <c r="P36" s="2" t="e">
        <f ca="1"/>
        <v>#N/A</v>
      </c>
      <c r="Q36" s="33" t="e">
        <f ca="1"/>
        <v>#N/A</v>
      </c>
      <c r="R36" s="33" t="e">
        <f ca="1"/>
        <v>#N/A</v>
      </c>
    </row>
    <row r="37" spans="1:18" x14ac:dyDescent="0.2">
      <c r="A37" s="2">
        <v>36</v>
      </c>
      <c r="B37" s="65">
        <v>45728</v>
      </c>
      <c r="C37" s="70">
        <v>0.8659027777777778</v>
      </c>
      <c r="D37" s="66" t="s">
        <v>98</v>
      </c>
      <c r="F37" s="75"/>
      <c r="G37" s="66" t="s">
        <v>119</v>
      </c>
      <c r="H37" s="66" t="s">
        <v>100</v>
      </c>
      <c r="I37" s="33" t="str">
        <f ca="1"/>
        <v>25,56</v>
      </c>
      <c r="J37" s="2">
        <v>37</v>
      </c>
      <c r="K37" s="2" t="str">
        <v>No Match</v>
      </c>
      <c r="M37" s="33">
        <f ca="1"/>
        <v>25.56</v>
      </c>
      <c r="N37" s="2" t="e">
        <f ca="1"/>
        <v>#N/A</v>
      </c>
      <c r="O37" s="2" t="e">
        <f ca="1"/>
        <v>#N/A</v>
      </c>
      <c r="P37" s="2" t="e">
        <f ca="1"/>
        <v>#N/A</v>
      </c>
      <c r="Q37" s="33" t="e">
        <f ca="1"/>
        <v>#N/A</v>
      </c>
      <c r="R37" s="33" t="e">
        <f ca="1"/>
        <v>#N/A</v>
      </c>
    </row>
    <row r="38" spans="1:18" x14ac:dyDescent="0.2">
      <c r="A38" s="2">
        <v>37</v>
      </c>
      <c r="B38" s="65">
        <v>45728</v>
      </c>
      <c r="C38" s="70">
        <v>0.86594907407407407</v>
      </c>
      <c r="D38" s="66" t="s">
        <v>98</v>
      </c>
      <c r="F38" s="75"/>
      <c r="G38" s="66" t="s">
        <v>190</v>
      </c>
      <c r="H38" s="66" t="s">
        <v>100</v>
      </c>
      <c r="I38" s="33" t="str">
        <f ca="1"/>
        <v>25,19</v>
      </c>
      <c r="J38" s="2">
        <v>38</v>
      </c>
      <c r="K38" s="2" t="str">
        <v>No Match</v>
      </c>
      <c r="M38" s="33">
        <f ca="1"/>
        <v>25.19</v>
      </c>
      <c r="N38" s="2" t="e">
        <f ca="1"/>
        <v>#N/A</v>
      </c>
      <c r="O38" s="2" t="e">
        <f ca="1"/>
        <v>#N/A</v>
      </c>
      <c r="P38" s="2" t="e">
        <f ca="1"/>
        <v>#N/A</v>
      </c>
      <c r="Q38" s="33" t="e">
        <f ca="1"/>
        <v>#N/A</v>
      </c>
      <c r="R38" s="33" t="e">
        <f ca="1"/>
        <v>#N/A</v>
      </c>
    </row>
    <row r="39" spans="1:18" x14ac:dyDescent="0.2">
      <c r="A39" s="2">
        <v>38</v>
      </c>
      <c r="B39" s="65">
        <v>45728</v>
      </c>
      <c r="C39" s="70">
        <v>0.86599537037037033</v>
      </c>
      <c r="D39" s="66" t="s">
        <v>98</v>
      </c>
      <c r="F39" s="75"/>
      <c r="G39" s="66" t="s">
        <v>128</v>
      </c>
      <c r="H39" s="66" t="s">
        <v>100</v>
      </c>
      <c r="I39" s="33" t="str">
        <f ca="1"/>
        <v>25,23</v>
      </c>
      <c r="J39" s="2">
        <v>39</v>
      </c>
      <c r="K39" s="2" t="str">
        <v>No Match</v>
      </c>
      <c r="M39" s="33">
        <f ca="1"/>
        <v>25.23</v>
      </c>
      <c r="N39" s="2" t="e">
        <f ca="1"/>
        <v>#N/A</v>
      </c>
      <c r="O39" s="2" t="e">
        <f ca="1"/>
        <v>#N/A</v>
      </c>
      <c r="P39" s="2" t="e">
        <f ca="1"/>
        <v>#N/A</v>
      </c>
      <c r="Q39" s="33" t="e">
        <f ca="1"/>
        <v>#N/A</v>
      </c>
      <c r="R39" s="33" t="e">
        <f ca="1"/>
        <v>#N/A</v>
      </c>
    </row>
    <row r="40" spans="1:18" x14ac:dyDescent="0.2">
      <c r="A40" s="2">
        <v>39</v>
      </c>
      <c r="B40" s="65">
        <v>45728</v>
      </c>
      <c r="C40" s="70">
        <v>0.86604166666666671</v>
      </c>
      <c r="D40" s="66" t="s">
        <v>98</v>
      </c>
      <c r="F40" s="75"/>
      <c r="G40" s="66" t="s">
        <v>160</v>
      </c>
      <c r="H40" s="66" t="s">
        <v>100</v>
      </c>
      <c r="I40" s="33" t="str">
        <f ca="1"/>
        <v>25,14</v>
      </c>
      <c r="J40" s="2">
        <v>40</v>
      </c>
      <c r="K40" s="2" t="str">
        <v>No Match</v>
      </c>
      <c r="M40" s="33">
        <f ca="1"/>
        <v>25.14</v>
      </c>
      <c r="N40" s="2" t="e">
        <f ca="1"/>
        <v>#N/A</v>
      </c>
      <c r="O40" s="2" t="e">
        <f ca="1"/>
        <v>#N/A</v>
      </c>
      <c r="P40" s="2" t="e">
        <f ca="1"/>
        <v>#N/A</v>
      </c>
      <c r="Q40" s="33" t="e">
        <f ca="1"/>
        <v>#N/A</v>
      </c>
      <c r="R40" s="33" t="e">
        <f ca="1"/>
        <v>#N/A</v>
      </c>
    </row>
    <row r="41" spans="1:18" x14ac:dyDescent="0.2">
      <c r="A41" s="2">
        <v>40</v>
      </c>
      <c r="B41" s="65">
        <v>45728</v>
      </c>
      <c r="C41" s="70">
        <v>0.86609953703703701</v>
      </c>
      <c r="D41" s="66" t="s">
        <v>98</v>
      </c>
      <c r="F41" s="75"/>
      <c r="G41" s="66" t="s">
        <v>132</v>
      </c>
      <c r="H41" s="66" t="s">
        <v>100</v>
      </c>
      <c r="I41" s="33" t="str">
        <f ca="1"/>
        <v>25,57</v>
      </c>
      <c r="J41" s="2">
        <v>41</v>
      </c>
      <c r="K41" s="2" t="str">
        <v>No Match</v>
      </c>
      <c r="M41" s="33">
        <f ca="1"/>
        <v>25.57</v>
      </c>
      <c r="N41" s="2">
        <f ca="1"/>
        <v>25</v>
      </c>
      <c r="O41" s="2">
        <f ca="1"/>
        <v>24.625</v>
      </c>
      <c r="P41" s="2">
        <f ca="1"/>
        <v>25.375</v>
      </c>
      <c r="Q41" s="33">
        <f ca="1"/>
        <v>25.321000000000005</v>
      </c>
      <c r="R41" s="33">
        <f ca="1"/>
        <v>25.277999999999999</v>
      </c>
    </row>
    <row r="42" spans="1:18" x14ac:dyDescent="0.2">
      <c r="A42" s="2">
        <v>41</v>
      </c>
      <c r="B42" s="65">
        <v>45729</v>
      </c>
      <c r="C42" s="70">
        <v>0.23777777777777778</v>
      </c>
      <c r="D42" s="66" t="s">
        <v>98</v>
      </c>
      <c r="F42" s="75"/>
      <c r="G42" s="66" t="s">
        <v>169</v>
      </c>
      <c r="H42" s="66" t="s">
        <v>100</v>
      </c>
      <c r="I42" s="33" t="str">
        <f ca="1"/>
        <v>25,11</v>
      </c>
      <c r="J42" s="2">
        <v>42</v>
      </c>
      <c r="K42" s="2" t="str">
        <v>No Match</v>
      </c>
      <c r="M42" s="33">
        <f ca="1"/>
        <v>25.11</v>
      </c>
      <c r="N42" s="2" t="e">
        <f ca="1"/>
        <v>#N/A</v>
      </c>
      <c r="O42" s="2" t="e">
        <f ca="1"/>
        <v>#N/A</v>
      </c>
      <c r="P42" s="2" t="e">
        <f ca="1"/>
        <v>#N/A</v>
      </c>
      <c r="Q42" s="33" t="e">
        <f ca="1"/>
        <v>#N/A</v>
      </c>
      <c r="R42" s="33" t="e">
        <f ca="1"/>
        <v>#N/A</v>
      </c>
    </row>
    <row r="43" spans="1:18" x14ac:dyDescent="0.2">
      <c r="A43" s="2">
        <v>42</v>
      </c>
      <c r="B43" s="65">
        <v>45729</v>
      </c>
      <c r="C43" s="70">
        <v>0.23791666666666667</v>
      </c>
      <c r="D43" s="66" t="s">
        <v>98</v>
      </c>
      <c r="F43" s="75"/>
      <c r="G43" s="66" t="s">
        <v>99</v>
      </c>
      <c r="H43" s="66" t="s">
        <v>100</v>
      </c>
      <c r="I43" s="33" t="str">
        <f ca="1"/>
        <v>25,16</v>
      </c>
      <c r="J43" s="2">
        <v>43</v>
      </c>
      <c r="K43" s="2" t="str">
        <v>No Match</v>
      </c>
      <c r="M43" s="33">
        <f ca="1"/>
        <v>25.16</v>
      </c>
      <c r="N43" s="2" t="e">
        <f ca="1"/>
        <v>#N/A</v>
      </c>
      <c r="O43" s="2" t="e">
        <f ca="1"/>
        <v>#N/A</v>
      </c>
      <c r="P43" s="2" t="e">
        <f ca="1"/>
        <v>#N/A</v>
      </c>
      <c r="Q43" s="33" t="e">
        <f ca="1"/>
        <v>#N/A</v>
      </c>
      <c r="R43" s="33" t="e">
        <f ca="1"/>
        <v>#N/A</v>
      </c>
    </row>
    <row r="44" spans="1:18" x14ac:dyDescent="0.2">
      <c r="A44" s="2">
        <v>43</v>
      </c>
      <c r="B44" s="65">
        <v>45729</v>
      </c>
      <c r="C44" s="70">
        <v>0.23829861111111111</v>
      </c>
      <c r="D44" s="66" t="s">
        <v>98</v>
      </c>
      <c r="F44" s="75"/>
      <c r="G44" s="66" t="s">
        <v>99</v>
      </c>
      <c r="H44" s="66" t="s">
        <v>100</v>
      </c>
      <c r="I44" s="33" t="str">
        <f ca="1"/>
        <v>25,16</v>
      </c>
      <c r="J44" s="2">
        <v>44</v>
      </c>
      <c r="K44" s="2" t="str">
        <v>No Match</v>
      </c>
      <c r="M44" s="33">
        <f ca="1"/>
        <v>25.16</v>
      </c>
      <c r="N44" s="2" t="e">
        <f ca="1"/>
        <v>#N/A</v>
      </c>
      <c r="O44" s="2" t="e">
        <f ca="1"/>
        <v>#N/A</v>
      </c>
      <c r="P44" s="2" t="e">
        <f ca="1"/>
        <v>#N/A</v>
      </c>
      <c r="Q44" s="33" t="e">
        <f ca="1"/>
        <v>#N/A</v>
      </c>
      <c r="R44" s="33" t="e">
        <f ca="1"/>
        <v>#N/A</v>
      </c>
    </row>
    <row r="45" spans="1:18" x14ac:dyDescent="0.2">
      <c r="A45" s="2">
        <v>44</v>
      </c>
      <c r="B45" s="65">
        <v>45729</v>
      </c>
      <c r="C45" s="70">
        <v>0.23833333333333334</v>
      </c>
      <c r="D45" s="66" t="s">
        <v>98</v>
      </c>
      <c r="F45" s="75"/>
      <c r="G45" s="66" t="s">
        <v>190</v>
      </c>
      <c r="H45" s="66" t="s">
        <v>100</v>
      </c>
      <c r="I45" s="33" t="str">
        <f ca="1"/>
        <v>25,19</v>
      </c>
      <c r="J45" s="2">
        <v>45</v>
      </c>
      <c r="K45" s="2" t="str">
        <v>No Match</v>
      </c>
      <c r="M45" s="33">
        <f ca="1"/>
        <v>25.19</v>
      </c>
      <c r="N45" s="2" t="e">
        <f ca="1"/>
        <v>#N/A</v>
      </c>
      <c r="O45" s="2" t="e">
        <f ca="1"/>
        <v>#N/A</v>
      </c>
      <c r="P45" s="2" t="e">
        <f ca="1"/>
        <v>#N/A</v>
      </c>
      <c r="Q45" s="33" t="e">
        <f ca="1"/>
        <v>#N/A</v>
      </c>
      <c r="R45" s="33" t="e">
        <f ca="1"/>
        <v>#N/A</v>
      </c>
    </row>
    <row r="46" spans="1:18" x14ac:dyDescent="0.2">
      <c r="A46" s="2">
        <v>45</v>
      </c>
      <c r="B46" s="65">
        <v>45729</v>
      </c>
      <c r="C46" s="70">
        <v>0.23857638888888888</v>
      </c>
      <c r="D46" s="66" t="s">
        <v>98</v>
      </c>
      <c r="F46" s="75"/>
      <c r="G46" s="66" t="s">
        <v>138</v>
      </c>
      <c r="H46" s="66" t="s">
        <v>100</v>
      </c>
      <c r="I46" s="33" t="str">
        <f ca="1"/>
        <v>25,32</v>
      </c>
      <c r="J46" s="2">
        <v>46</v>
      </c>
      <c r="K46" s="2" t="str">
        <v>No Match</v>
      </c>
      <c r="M46" s="33">
        <f ca="1"/>
        <v>25.32</v>
      </c>
      <c r="N46" s="2" t="e">
        <f ca="1"/>
        <v>#N/A</v>
      </c>
      <c r="O46" s="2" t="e">
        <f ca="1"/>
        <v>#N/A</v>
      </c>
      <c r="P46" s="2" t="e">
        <f ca="1"/>
        <v>#N/A</v>
      </c>
      <c r="Q46" s="33" t="e">
        <f ca="1"/>
        <v>#N/A</v>
      </c>
      <c r="R46" s="33" t="e">
        <f ca="1"/>
        <v>#N/A</v>
      </c>
    </row>
    <row r="47" spans="1:18" x14ac:dyDescent="0.2">
      <c r="A47" s="2">
        <v>46</v>
      </c>
      <c r="B47" s="65">
        <v>45729</v>
      </c>
      <c r="C47" s="70">
        <v>0.23863425925925927</v>
      </c>
      <c r="D47" s="66" t="s">
        <v>98</v>
      </c>
      <c r="F47" s="75"/>
      <c r="G47" s="66" t="s">
        <v>102</v>
      </c>
      <c r="H47" s="66" t="s">
        <v>100</v>
      </c>
      <c r="I47" s="33" t="str">
        <f ca="1"/>
        <v>25,06</v>
      </c>
      <c r="J47" s="2">
        <v>47</v>
      </c>
      <c r="K47" s="2" t="str">
        <v>No Match</v>
      </c>
      <c r="M47" s="33">
        <f ca="1"/>
        <v>25.06</v>
      </c>
      <c r="N47" s="2" t="e">
        <f ca="1"/>
        <v>#N/A</v>
      </c>
      <c r="O47" s="2" t="e">
        <f ca="1"/>
        <v>#N/A</v>
      </c>
      <c r="P47" s="2" t="e">
        <f ca="1"/>
        <v>#N/A</v>
      </c>
      <c r="Q47" s="33" t="e">
        <f ca="1"/>
        <v>#N/A</v>
      </c>
      <c r="R47" s="33" t="e">
        <f ca="1"/>
        <v>#N/A</v>
      </c>
    </row>
    <row r="48" spans="1:18" x14ac:dyDescent="0.2">
      <c r="A48" s="2">
        <v>47</v>
      </c>
      <c r="B48" s="65">
        <v>45729</v>
      </c>
      <c r="C48" s="70">
        <v>0.23871527777777779</v>
      </c>
      <c r="D48" s="66" t="s">
        <v>98</v>
      </c>
      <c r="F48" s="75"/>
      <c r="G48" s="66" t="s">
        <v>200</v>
      </c>
      <c r="H48" s="66" t="s">
        <v>100</v>
      </c>
      <c r="I48" s="33" t="str">
        <f ca="1"/>
        <v>25,21</v>
      </c>
      <c r="J48" s="2">
        <v>48</v>
      </c>
      <c r="K48" s="2" t="str">
        <v>No Match</v>
      </c>
      <c r="M48" s="33">
        <f ca="1"/>
        <v>25.21</v>
      </c>
      <c r="N48" s="2" t="e">
        <f ca="1"/>
        <v>#N/A</v>
      </c>
      <c r="O48" s="2" t="e">
        <f ca="1"/>
        <v>#N/A</v>
      </c>
      <c r="P48" s="2" t="e">
        <f ca="1"/>
        <v>#N/A</v>
      </c>
      <c r="Q48" s="33" t="e">
        <f ca="1"/>
        <v>#N/A</v>
      </c>
      <c r="R48" s="33" t="e">
        <f ca="1"/>
        <v>#N/A</v>
      </c>
    </row>
    <row r="49" spans="1:18" x14ac:dyDescent="0.2">
      <c r="A49" s="2">
        <v>48</v>
      </c>
      <c r="B49" s="65">
        <v>45729</v>
      </c>
      <c r="C49" s="70">
        <v>0.23873842592592592</v>
      </c>
      <c r="D49" s="66" t="s">
        <v>98</v>
      </c>
      <c r="F49" s="75"/>
      <c r="G49" s="66" t="s">
        <v>202</v>
      </c>
      <c r="H49" s="66" t="s">
        <v>100</v>
      </c>
      <c r="I49" s="33" t="str">
        <f ca="1"/>
        <v>25,31</v>
      </c>
      <c r="J49" s="2">
        <v>49</v>
      </c>
      <c r="K49" s="2" t="str">
        <v>No Match</v>
      </c>
      <c r="M49" s="33">
        <f ca="1"/>
        <v>25.31</v>
      </c>
      <c r="N49" s="2" t="e">
        <f ca="1"/>
        <v>#N/A</v>
      </c>
      <c r="O49" s="2" t="e">
        <f ca="1"/>
        <v>#N/A</v>
      </c>
      <c r="P49" s="2" t="e">
        <f ca="1"/>
        <v>#N/A</v>
      </c>
      <c r="Q49" s="33" t="e">
        <f ca="1"/>
        <v>#N/A</v>
      </c>
      <c r="R49" s="33" t="e">
        <f ca="1"/>
        <v>#N/A</v>
      </c>
    </row>
    <row r="50" spans="1:18" x14ac:dyDescent="0.2">
      <c r="A50" s="2">
        <v>49</v>
      </c>
      <c r="B50" s="73">
        <v>45729</v>
      </c>
      <c r="C50" s="74">
        <v>0.23877314814814815</v>
      </c>
      <c r="D50" s="75" t="s">
        <v>98</v>
      </c>
      <c r="E50" s="75"/>
      <c r="F50" s="75"/>
      <c r="G50" s="75" t="s">
        <v>123</v>
      </c>
      <c r="H50" s="66" t="s">
        <v>100</v>
      </c>
      <c r="I50" s="33" t="str">
        <f ca="1"/>
        <v>25,13</v>
      </c>
      <c r="J50" s="2">
        <v>50</v>
      </c>
      <c r="K50" s="2" t="str">
        <v>No Match</v>
      </c>
      <c r="M50" s="33">
        <f ca="1"/>
        <v>25.13</v>
      </c>
      <c r="N50" s="2" t="e">
        <f ca="1"/>
        <v>#N/A</v>
      </c>
      <c r="O50" s="2" t="e">
        <f ca="1"/>
        <v>#N/A</v>
      </c>
      <c r="P50" s="2" t="e">
        <f ca="1"/>
        <v>#N/A</v>
      </c>
      <c r="Q50" s="33" t="e">
        <f ca="1"/>
        <v>#N/A</v>
      </c>
      <c r="R50" s="33" t="e">
        <f ca="1"/>
        <v>#N/A</v>
      </c>
    </row>
    <row r="51" spans="1:18" x14ac:dyDescent="0.2">
      <c r="A51" s="2">
        <v>50</v>
      </c>
      <c r="B51" s="73">
        <v>45729</v>
      </c>
      <c r="C51" s="74">
        <v>0.23883101851851851</v>
      </c>
      <c r="D51" s="75" t="s">
        <v>98</v>
      </c>
      <c r="E51" s="75"/>
      <c r="F51" s="75"/>
      <c r="G51" s="75" t="s">
        <v>129</v>
      </c>
      <c r="H51" s="66" t="s">
        <v>100</v>
      </c>
      <c r="I51" s="33" t="str">
        <f ca="1"/>
        <v>25,08</v>
      </c>
      <c r="J51" s="2">
        <v>51</v>
      </c>
      <c r="K51" s="2" t="str">
        <v>No Match</v>
      </c>
      <c r="M51" s="33">
        <f ca="1"/>
        <v>25.08</v>
      </c>
      <c r="N51" s="2">
        <f ca="1"/>
        <v>25</v>
      </c>
      <c r="O51" s="2">
        <f ca="1"/>
        <v>24.625</v>
      </c>
      <c r="P51" s="2">
        <f ca="1"/>
        <v>25.375</v>
      </c>
      <c r="Q51" s="33">
        <f ca="1"/>
        <v>25.291400000000003</v>
      </c>
      <c r="R51" s="33">
        <f ca="1"/>
        <v>25.173000000000002</v>
      </c>
    </row>
    <row r="52" spans="1:18" x14ac:dyDescent="0.2">
      <c r="A52" s="2">
        <v>51</v>
      </c>
      <c r="B52" s="73">
        <v>45729</v>
      </c>
      <c r="C52" s="74">
        <v>0.23906250000000001</v>
      </c>
      <c r="D52" s="75" t="s">
        <v>98</v>
      </c>
      <c r="E52" s="75"/>
      <c r="F52" s="75"/>
      <c r="G52" s="75" t="s">
        <v>182</v>
      </c>
      <c r="H52" s="66" t="s">
        <v>100</v>
      </c>
      <c r="I52" s="33" t="str">
        <f ca="1"/>
        <v>25,29</v>
      </c>
      <c r="J52" s="2">
        <v>52</v>
      </c>
      <c r="K52" s="2" t="str">
        <v>No Match</v>
      </c>
      <c r="M52" s="33">
        <f ca="1"/>
        <v>25.29</v>
      </c>
      <c r="N52" s="2" t="e">
        <f ca="1"/>
        <v>#N/A</v>
      </c>
      <c r="O52" s="2" t="e">
        <f ca="1"/>
        <v>#N/A</v>
      </c>
      <c r="P52" s="2" t="e">
        <f ca="1"/>
        <v>#N/A</v>
      </c>
      <c r="Q52" s="33" t="e">
        <f ca="1"/>
        <v>#N/A</v>
      </c>
      <c r="R52" s="33" t="e">
        <f ca="1"/>
        <v>#N/A</v>
      </c>
    </row>
    <row r="53" spans="1:18" x14ac:dyDescent="0.2">
      <c r="A53" s="2">
        <v>52</v>
      </c>
      <c r="B53" s="73">
        <v>45729</v>
      </c>
      <c r="C53" s="74">
        <v>0.24230324074074075</v>
      </c>
      <c r="D53" s="75" t="s">
        <v>98</v>
      </c>
      <c r="E53" s="75"/>
      <c r="F53" s="75"/>
      <c r="G53" s="75" t="s">
        <v>233</v>
      </c>
      <c r="H53" s="66" t="s">
        <v>100</v>
      </c>
      <c r="I53" s="33" t="str">
        <f ca="1"/>
        <v>24,32</v>
      </c>
      <c r="J53" s="2">
        <v>53</v>
      </c>
      <c r="K53" s="2" t="str">
        <v>No Match</v>
      </c>
      <c r="M53" s="33">
        <f ca="1"/>
        <v>24.32</v>
      </c>
      <c r="N53" s="2" t="e">
        <f ca="1"/>
        <v>#N/A</v>
      </c>
      <c r="O53" s="2" t="e">
        <f ca="1"/>
        <v>#N/A</v>
      </c>
      <c r="P53" s="2" t="e">
        <f ca="1"/>
        <v>#N/A</v>
      </c>
      <c r="Q53" s="33" t="e">
        <f ca="1"/>
        <v>#N/A</v>
      </c>
      <c r="R53" s="33" t="e">
        <f ca="1"/>
        <v>#N/A</v>
      </c>
    </row>
    <row r="54" spans="1:18" x14ac:dyDescent="0.2">
      <c r="A54" s="2">
        <v>53</v>
      </c>
      <c r="B54" s="73">
        <v>45729</v>
      </c>
      <c r="C54" s="74">
        <v>0.24461805555555555</v>
      </c>
      <c r="D54" s="75" t="s">
        <v>98</v>
      </c>
      <c r="E54" s="75"/>
      <c r="F54" s="75"/>
      <c r="G54" s="75" t="s">
        <v>196</v>
      </c>
      <c r="H54" s="66" t="s">
        <v>100</v>
      </c>
      <c r="I54" s="33" t="str">
        <f ca="1"/>
        <v>24,81</v>
      </c>
      <c r="J54" s="2">
        <v>54</v>
      </c>
      <c r="K54" s="2" t="str">
        <v>No Match</v>
      </c>
      <c r="M54" s="33">
        <f ca="1"/>
        <v>24.81</v>
      </c>
      <c r="N54" s="2" t="e">
        <f ca="1"/>
        <v>#N/A</v>
      </c>
      <c r="O54" s="2" t="e">
        <f ca="1"/>
        <v>#N/A</v>
      </c>
      <c r="P54" s="2" t="e">
        <f ca="1"/>
        <v>#N/A</v>
      </c>
      <c r="Q54" s="33" t="e">
        <f ca="1"/>
        <v>#N/A</v>
      </c>
      <c r="R54" s="33" t="e">
        <f ca="1"/>
        <v>#N/A</v>
      </c>
    </row>
    <row r="55" spans="1:18" x14ac:dyDescent="0.2">
      <c r="A55" s="2">
        <v>54</v>
      </c>
      <c r="B55" s="73">
        <v>45729</v>
      </c>
      <c r="C55" s="74">
        <v>0.24579861111111112</v>
      </c>
      <c r="D55" s="75" t="s">
        <v>98</v>
      </c>
      <c r="E55" s="75"/>
      <c r="F55" s="75"/>
      <c r="G55" s="75" t="s">
        <v>215</v>
      </c>
      <c r="H55" s="66" t="s">
        <v>100</v>
      </c>
      <c r="I55" s="33" t="str">
        <f ca="1"/>
        <v>25,92</v>
      </c>
      <c r="J55" s="2">
        <v>55</v>
      </c>
      <c r="K55" s="2" t="str">
        <v>No Match</v>
      </c>
      <c r="M55" s="33">
        <f ca="1"/>
        <v>25.92</v>
      </c>
      <c r="N55" s="2" t="e">
        <f ca="1"/>
        <v>#N/A</v>
      </c>
      <c r="O55" s="2" t="e">
        <f ca="1"/>
        <v>#N/A</v>
      </c>
      <c r="P55" s="2" t="e">
        <f ca="1"/>
        <v>#N/A</v>
      </c>
      <c r="Q55" s="33" t="e">
        <f ca="1"/>
        <v>#N/A</v>
      </c>
      <c r="R55" s="33" t="e">
        <f ca="1"/>
        <v>#N/A</v>
      </c>
    </row>
    <row r="56" spans="1:18" x14ac:dyDescent="0.2">
      <c r="A56" s="2">
        <v>55</v>
      </c>
      <c r="B56" s="73">
        <v>45729</v>
      </c>
      <c r="C56" s="74">
        <v>0.25298611111111113</v>
      </c>
      <c r="D56" s="75" t="s">
        <v>98</v>
      </c>
      <c r="E56" s="75"/>
      <c r="F56" s="75"/>
      <c r="G56" s="75" t="s">
        <v>130</v>
      </c>
      <c r="H56" s="66" t="s">
        <v>100</v>
      </c>
      <c r="I56" s="33" t="str">
        <f ca="1"/>
        <v>25,93</v>
      </c>
      <c r="J56" s="2">
        <v>56</v>
      </c>
      <c r="K56" s="2" t="str">
        <v>No Match</v>
      </c>
      <c r="M56" s="33">
        <f ca="1"/>
        <v>25.93</v>
      </c>
      <c r="N56" s="2" t="e">
        <f ca="1"/>
        <v>#N/A</v>
      </c>
      <c r="O56" s="2" t="e">
        <f ca="1"/>
        <v>#N/A</v>
      </c>
      <c r="P56" s="2" t="e">
        <f ca="1"/>
        <v>#N/A</v>
      </c>
      <c r="Q56" s="33" t="e">
        <f ca="1"/>
        <v>#N/A</v>
      </c>
      <c r="R56" s="33" t="e">
        <f ca="1"/>
        <v>#N/A</v>
      </c>
    </row>
    <row r="57" spans="1:18" x14ac:dyDescent="0.2">
      <c r="A57" s="2">
        <v>56</v>
      </c>
      <c r="B57" s="73">
        <v>45729</v>
      </c>
      <c r="C57" s="74">
        <v>0.25408564814814816</v>
      </c>
      <c r="D57" s="75" t="s">
        <v>98</v>
      </c>
      <c r="E57" s="75"/>
      <c r="F57" s="75"/>
      <c r="G57" s="75" t="s">
        <v>113</v>
      </c>
      <c r="H57" s="66" t="s">
        <v>100</v>
      </c>
      <c r="I57" s="33" t="str">
        <f ca="1"/>
        <v>24,98</v>
      </c>
      <c r="J57" s="2">
        <v>57</v>
      </c>
      <c r="K57" s="2" t="str">
        <v>No Match</v>
      </c>
      <c r="M57" s="33">
        <f ca="1"/>
        <v>24.98</v>
      </c>
      <c r="N57" s="2" t="e">
        <f ca="1"/>
        <v>#N/A</v>
      </c>
      <c r="O57" s="2" t="e">
        <f ca="1"/>
        <v>#N/A</v>
      </c>
      <c r="P57" s="2" t="e">
        <f ca="1"/>
        <v>#N/A</v>
      </c>
      <c r="Q57" s="33" t="e">
        <f ca="1"/>
        <v>#N/A</v>
      </c>
      <c r="R57" s="33" t="e">
        <f ca="1"/>
        <v>#N/A</v>
      </c>
    </row>
    <row r="58" spans="1:18" x14ac:dyDescent="0.2">
      <c r="A58" s="2">
        <v>57</v>
      </c>
      <c r="B58" s="73">
        <v>45729</v>
      </c>
      <c r="C58" s="74">
        <v>0.25410879629629629</v>
      </c>
      <c r="D58" s="75" t="s">
        <v>98</v>
      </c>
      <c r="E58" s="75"/>
      <c r="F58" s="75"/>
      <c r="G58" s="75" t="s">
        <v>234</v>
      </c>
      <c r="H58" s="66" t="s">
        <v>100</v>
      </c>
      <c r="I58" s="33" t="str">
        <f ca="1"/>
        <v>24,78</v>
      </c>
      <c r="J58" s="2">
        <v>58</v>
      </c>
      <c r="K58" s="2" t="str">
        <v>No Match</v>
      </c>
      <c r="M58" s="33">
        <f ca="1"/>
        <v>24.78</v>
      </c>
      <c r="N58" s="2" t="e">
        <f ca="1"/>
        <v>#N/A</v>
      </c>
      <c r="O58" s="2" t="e">
        <f ca="1"/>
        <v>#N/A</v>
      </c>
      <c r="P58" s="2" t="e">
        <f ca="1"/>
        <v>#N/A</v>
      </c>
      <c r="Q58" s="33" t="e">
        <f ca="1"/>
        <v>#N/A</v>
      </c>
      <c r="R58" s="33" t="e">
        <f ca="1"/>
        <v>#N/A</v>
      </c>
    </row>
    <row r="59" spans="1:18" x14ac:dyDescent="0.2">
      <c r="A59" s="2">
        <v>58</v>
      </c>
      <c r="B59" s="73">
        <v>45729</v>
      </c>
      <c r="C59" s="74">
        <v>0.25414351851851852</v>
      </c>
      <c r="D59" s="75" t="s">
        <v>98</v>
      </c>
      <c r="E59" s="75"/>
      <c r="F59" s="75"/>
      <c r="G59" s="75" t="s">
        <v>210</v>
      </c>
      <c r="H59" s="66" t="s">
        <v>100</v>
      </c>
      <c r="I59" s="33" t="str">
        <f ca="1"/>
        <v>24,93</v>
      </c>
      <c r="J59" s="2">
        <v>59</v>
      </c>
      <c r="K59" s="2" t="str">
        <v>No Match</v>
      </c>
      <c r="M59" s="33">
        <f ca="1"/>
        <v>24.93</v>
      </c>
      <c r="N59" s="2" t="e">
        <f ca="1"/>
        <v>#N/A</v>
      </c>
      <c r="O59" s="2" t="e">
        <f ca="1"/>
        <v>#N/A</v>
      </c>
      <c r="P59" s="2" t="e">
        <f ca="1"/>
        <v>#N/A</v>
      </c>
      <c r="Q59" s="33" t="e">
        <f ca="1"/>
        <v>#N/A</v>
      </c>
      <c r="R59" s="33" t="e">
        <f ca="1"/>
        <v>#N/A</v>
      </c>
    </row>
    <row r="60" spans="1:18" x14ac:dyDescent="0.2">
      <c r="A60" s="2">
        <v>59</v>
      </c>
      <c r="B60" s="73">
        <v>45729</v>
      </c>
      <c r="C60" s="74">
        <v>0.25425925925925924</v>
      </c>
      <c r="D60" s="75" t="s">
        <v>98</v>
      </c>
      <c r="E60" s="75"/>
      <c r="G60" s="75" t="s">
        <v>122</v>
      </c>
      <c r="H60" s="66" t="s">
        <v>100</v>
      </c>
      <c r="I60" s="33" t="str">
        <f ca="1"/>
        <v>25,27</v>
      </c>
      <c r="J60" s="2">
        <v>60</v>
      </c>
      <c r="K60" s="2" t="str">
        <v>No Match</v>
      </c>
      <c r="M60" s="33">
        <f ca="1"/>
        <v>25.27</v>
      </c>
      <c r="N60" s="2" t="e">
        <f ca="1"/>
        <v>#N/A</v>
      </c>
      <c r="O60" s="2" t="e">
        <f ca="1"/>
        <v>#N/A</v>
      </c>
      <c r="P60" s="2" t="e">
        <f ca="1"/>
        <v>#N/A</v>
      </c>
      <c r="Q60" s="33" t="e">
        <f ca="1"/>
        <v>#N/A</v>
      </c>
      <c r="R60" s="33" t="e">
        <f ca="1"/>
        <v>#N/A</v>
      </c>
    </row>
    <row r="61" spans="1:18" x14ac:dyDescent="0.2">
      <c r="A61" s="2">
        <v>60</v>
      </c>
      <c r="B61" s="73">
        <v>45729</v>
      </c>
      <c r="C61" s="74">
        <v>0.25495370370370368</v>
      </c>
      <c r="D61" s="75" t="s">
        <v>98</v>
      </c>
      <c r="E61" s="75"/>
      <c r="G61" s="75" t="s">
        <v>142</v>
      </c>
      <c r="H61" s="66" t="s">
        <v>100</v>
      </c>
      <c r="I61" s="33" t="str">
        <f ca="1"/>
        <v>25,03</v>
      </c>
      <c r="J61" s="2">
        <v>61</v>
      </c>
      <c r="K61" s="2" t="str">
        <v>No Match</v>
      </c>
      <c r="M61" s="33">
        <f ca="1"/>
        <v>25.03</v>
      </c>
      <c r="N61" s="2">
        <f ca="1"/>
        <v>25</v>
      </c>
      <c r="O61" s="2">
        <f ca="1"/>
        <v>24.625</v>
      </c>
      <c r="P61" s="2">
        <f ca="1"/>
        <v>25.375</v>
      </c>
      <c r="Q61" s="33">
        <f ca="1"/>
        <v>25.263833333333334</v>
      </c>
      <c r="R61" s="33">
        <f ca="1"/>
        <v>25.126000000000001</v>
      </c>
    </row>
    <row r="62" spans="1:18" x14ac:dyDescent="0.2">
      <c r="A62" s="2">
        <v>61</v>
      </c>
      <c r="B62" s="73">
        <v>45729</v>
      </c>
      <c r="C62" s="74">
        <v>0.25559027777777776</v>
      </c>
      <c r="D62" s="75" t="s">
        <v>98</v>
      </c>
      <c r="E62" s="75"/>
      <c r="G62" s="75" t="s">
        <v>109</v>
      </c>
      <c r="H62" s="66" t="s">
        <v>100</v>
      </c>
      <c r="I62" s="33" t="str">
        <f ca="1"/>
        <v>24,88</v>
      </c>
      <c r="J62" s="2">
        <v>62</v>
      </c>
      <c r="K62" s="2" t="str">
        <v>No Match</v>
      </c>
      <c r="M62" s="33">
        <f ca="1"/>
        <v>24.88</v>
      </c>
      <c r="N62" s="2" t="e">
        <f ca="1"/>
        <v>#N/A</v>
      </c>
      <c r="O62" s="2" t="e">
        <f ca="1"/>
        <v>#N/A</v>
      </c>
      <c r="P62" s="2" t="e">
        <f ca="1"/>
        <v>#N/A</v>
      </c>
      <c r="Q62" s="33" t="e">
        <f ca="1"/>
        <v>#N/A</v>
      </c>
      <c r="R62" s="33" t="e">
        <f ca="1"/>
        <v>#N/A</v>
      </c>
    </row>
    <row r="63" spans="1:18" x14ac:dyDescent="0.2">
      <c r="A63" s="2">
        <v>62</v>
      </c>
      <c r="B63" s="73">
        <v>45729</v>
      </c>
      <c r="C63" s="74">
        <v>0.2582638888888889</v>
      </c>
      <c r="D63" s="75" t="s">
        <v>98</v>
      </c>
      <c r="E63" s="75"/>
      <c r="G63" s="75" t="s">
        <v>235</v>
      </c>
      <c r="H63" s="66" t="s">
        <v>100</v>
      </c>
      <c r="I63" s="33" t="str">
        <f ca="1"/>
        <v>24,77</v>
      </c>
      <c r="J63" s="2">
        <v>63</v>
      </c>
      <c r="K63" s="2" t="str">
        <v>No Match</v>
      </c>
      <c r="M63" s="33">
        <f ca="1"/>
        <v>24.77</v>
      </c>
      <c r="N63" s="2" t="e">
        <f ca="1"/>
        <v>#N/A</v>
      </c>
      <c r="O63" s="2" t="e">
        <f ca="1"/>
        <v>#N/A</v>
      </c>
      <c r="P63" s="2" t="e">
        <f ca="1"/>
        <v>#N/A</v>
      </c>
      <c r="Q63" s="33" t="e">
        <f ca="1"/>
        <v>#N/A</v>
      </c>
      <c r="R63" s="33" t="e">
        <f ca="1"/>
        <v>#N/A</v>
      </c>
    </row>
    <row r="64" spans="1:18" x14ac:dyDescent="0.2">
      <c r="A64" s="2">
        <v>63</v>
      </c>
      <c r="B64" s="73">
        <v>45729</v>
      </c>
      <c r="C64" s="74">
        <v>0.26064814814814813</v>
      </c>
      <c r="D64" s="75" t="s">
        <v>98</v>
      </c>
      <c r="E64" s="75"/>
      <c r="G64" s="75" t="s">
        <v>176</v>
      </c>
      <c r="H64" s="66" t="s">
        <v>100</v>
      </c>
      <c r="I64" s="33" t="str">
        <f ca="1"/>
        <v>25,18</v>
      </c>
      <c r="J64" s="2">
        <v>64</v>
      </c>
      <c r="K64" s="2" t="str">
        <v>No Match</v>
      </c>
      <c r="M64" s="33">
        <f ca="1"/>
        <v>25.18</v>
      </c>
      <c r="N64" s="2" t="e">
        <f ca="1"/>
        <v>#N/A</v>
      </c>
      <c r="O64" s="2" t="e">
        <f ca="1"/>
        <v>#N/A</v>
      </c>
      <c r="P64" s="2" t="e">
        <f ca="1"/>
        <v>#N/A</v>
      </c>
      <c r="Q64" s="33" t="e">
        <f ca="1"/>
        <v>#N/A</v>
      </c>
      <c r="R64" s="33" t="e">
        <f ca="1"/>
        <v>#N/A</v>
      </c>
    </row>
    <row r="65" spans="1:18" x14ac:dyDescent="0.2">
      <c r="A65" s="2">
        <v>64</v>
      </c>
      <c r="B65" s="73">
        <v>45729</v>
      </c>
      <c r="C65" s="74">
        <v>0.26069444444444445</v>
      </c>
      <c r="D65" s="75" t="s">
        <v>98</v>
      </c>
      <c r="E65" s="75"/>
      <c r="G65" s="75" t="s">
        <v>197</v>
      </c>
      <c r="H65" s="66" t="s">
        <v>100</v>
      </c>
      <c r="I65" s="33" t="str">
        <f ca="1"/>
        <v>24,80</v>
      </c>
      <c r="J65" s="2">
        <v>65</v>
      </c>
      <c r="K65" s="2" t="str">
        <v>No Match</v>
      </c>
      <c r="M65" s="33">
        <f ca="1"/>
        <v>24.8</v>
      </c>
      <c r="N65" s="2" t="e">
        <f ca="1"/>
        <v>#N/A</v>
      </c>
      <c r="O65" s="2" t="e">
        <f ca="1"/>
        <v>#N/A</v>
      </c>
      <c r="P65" s="2" t="e">
        <f ca="1"/>
        <v>#N/A</v>
      </c>
      <c r="Q65" s="33" t="e">
        <f ca="1"/>
        <v>#N/A</v>
      </c>
      <c r="R65" s="33" t="e">
        <f ca="1"/>
        <v>#N/A</v>
      </c>
    </row>
    <row r="66" spans="1:18" x14ac:dyDescent="0.2">
      <c r="A66" s="2">
        <v>65</v>
      </c>
      <c r="B66" s="73">
        <v>45729</v>
      </c>
      <c r="C66" s="74">
        <v>0.26076388888888891</v>
      </c>
      <c r="D66" s="75" t="s">
        <v>98</v>
      </c>
      <c r="E66" s="75"/>
      <c r="G66" s="75" t="s">
        <v>121</v>
      </c>
      <c r="H66" s="66" t="s">
        <v>100</v>
      </c>
      <c r="I66" s="33" t="str">
        <f ca="1"/>
        <v>24,99</v>
      </c>
      <c r="J66" s="2">
        <v>66</v>
      </c>
      <c r="K66" s="2" t="str">
        <v>No Match</v>
      </c>
      <c r="M66" s="33">
        <f ca="1"/>
        <v>24.99</v>
      </c>
      <c r="N66" s="2" t="e">
        <f ca="1"/>
        <v>#N/A</v>
      </c>
      <c r="O66" s="2" t="e">
        <f ca="1"/>
        <v>#N/A</v>
      </c>
      <c r="P66" s="2" t="e">
        <f ca="1"/>
        <v>#N/A</v>
      </c>
      <c r="Q66" s="33" t="e">
        <f ca="1"/>
        <v>#N/A</v>
      </c>
      <c r="R66" s="33" t="e">
        <f ca="1"/>
        <v>#N/A</v>
      </c>
    </row>
    <row r="67" spans="1:18" x14ac:dyDescent="0.2">
      <c r="A67" s="2">
        <v>66</v>
      </c>
      <c r="B67" s="73">
        <v>45729</v>
      </c>
      <c r="C67" s="74">
        <v>0.26980324074074075</v>
      </c>
      <c r="D67" s="75" t="s">
        <v>98</v>
      </c>
      <c r="E67" s="75"/>
      <c r="G67" s="75" t="s">
        <v>134</v>
      </c>
      <c r="H67" s="66" t="s">
        <v>100</v>
      </c>
      <c r="I67" s="33" t="str">
        <f ca="1"/>
        <v>24,94</v>
      </c>
      <c r="J67" s="2">
        <v>67</v>
      </c>
      <c r="K67" s="2" t="str">
        <v>No Match</v>
      </c>
      <c r="M67" s="33">
        <f ca="1"/>
        <v>24.94</v>
      </c>
      <c r="N67" s="2" t="e">
        <f ca="1"/>
        <v>#N/A</v>
      </c>
      <c r="O67" s="2" t="e">
        <f ca="1"/>
        <v>#N/A</v>
      </c>
      <c r="P67" s="2" t="e">
        <f ca="1"/>
        <v>#N/A</v>
      </c>
      <c r="Q67" s="33" t="e">
        <f ca="1"/>
        <v>#N/A</v>
      </c>
      <c r="R67" s="33" t="e">
        <f ca="1"/>
        <v>#N/A</v>
      </c>
    </row>
    <row r="68" spans="1:18" x14ac:dyDescent="0.2">
      <c r="A68" s="2">
        <v>67</v>
      </c>
      <c r="B68" s="73">
        <v>45729</v>
      </c>
      <c r="C68" s="74">
        <v>0.26984953703703701</v>
      </c>
      <c r="D68" s="75" t="s">
        <v>98</v>
      </c>
      <c r="E68" s="75"/>
      <c r="G68" s="75" t="s">
        <v>207</v>
      </c>
      <c r="H68" s="66" t="s">
        <v>100</v>
      </c>
      <c r="I68" s="33" t="str">
        <f ca="1"/>
        <v>25,07</v>
      </c>
      <c r="J68" s="2">
        <v>68</v>
      </c>
      <c r="K68" s="2" t="str">
        <v>No Match</v>
      </c>
      <c r="M68" s="33">
        <f ca="1"/>
        <v>25.07</v>
      </c>
      <c r="N68" s="2" t="e">
        <f ca="1"/>
        <v>#N/A</v>
      </c>
      <c r="O68" s="2" t="e">
        <f ca="1"/>
        <v>#N/A</v>
      </c>
      <c r="P68" s="2" t="e">
        <f ca="1"/>
        <v>#N/A</v>
      </c>
      <c r="Q68" s="33" t="e">
        <f ca="1"/>
        <v>#N/A</v>
      </c>
      <c r="R68" s="33" t="e">
        <f ca="1"/>
        <v>#N/A</v>
      </c>
    </row>
    <row r="69" spans="1:18" x14ac:dyDescent="0.2">
      <c r="A69" s="2">
        <v>68</v>
      </c>
      <c r="B69" s="73">
        <v>45729</v>
      </c>
      <c r="C69" s="74">
        <v>0.26991898148148147</v>
      </c>
      <c r="D69" s="75" t="s">
        <v>98</v>
      </c>
      <c r="E69" s="75"/>
      <c r="G69" s="75" t="s">
        <v>208</v>
      </c>
      <c r="H69" s="66" t="s">
        <v>100</v>
      </c>
      <c r="I69" s="33" t="str">
        <f ca="1"/>
        <v>25,17</v>
      </c>
      <c r="J69" s="2">
        <v>69</v>
      </c>
      <c r="K69" s="2" t="str">
        <v>No Match</v>
      </c>
      <c r="M69" s="33">
        <f ca="1"/>
        <v>25.17</v>
      </c>
      <c r="N69" s="2" t="e">
        <f ca="1"/>
        <v>#N/A</v>
      </c>
      <c r="O69" s="2" t="e">
        <f ca="1"/>
        <v>#N/A</v>
      </c>
      <c r="P69" s="2" t="e">
        <f ca="1"/>
        <v>#N/A</v>
      </c>
      <c r="Q69" s="33" t="e">
        <f ca="1"/>
        <v>#N/A</v>
      </c>
      <c r="R69" s="33" t="e">
        <f ca="1"/>
        <v>#N/A</v>
      </c>
    </row>
    <row r="70" spans="1:18" x14ac:dyDescent="0.2">
      <c r="A70" s="2">
        <v>69</v>
      </c>
      <c r="B70" s="65">
        <v>45729</v>
      </c>
      <c r="C70" s="70">
        <v>0.2706365740740741</v>
      </c>
      <c r="D70" s="66" t="s">
        <v>98</v>
      </c>
      <c r="G70" s="66" t="s">
        <v>127</v>
      </c>
      <c r="H70" s="66" t="s">
        <v>100</v>
      </c>
      <c r="I70" s="33" t="str">
        <f ca="1"/>
        <v>25,28</v>
      </c>
      <c r="J70" s="2">
        <v>70</v>
      </c>
      <c r="K70" s="2" t="str">
        <v>No Match</v>
      </c>
      <c r="M70" s="33">
        <f ca="1"/>
        <v>25.28</v>
      </c>
      <c r="N70" s="2" t="e">
        <f ca="1"/>
        <v>#N/A</v>
      </c>
      <c r="O70" s="2" t="e">
        <f ca="1"/>
        <v>#N/A</v>
      </c>
      <c r="P70" s="2" t="e">
        <f ca="1"/>
        <v>#N/A</v>
      </c>
      <c r="Q70" s="33" t="e">
        <f ca="1"/>
        <v>#N/A</v>
      </c>
      <c r="R70" s="33" t="e">
        <f ca="1"/>
        <v>#N/A</v>
      </c>
    </row>
    <row r="71" spans="1:18" x14ac:dyDescent="0.2">
      <c r="A71" s="2">
        <v>70</v>
      </c>
      <c r="B71" s="65">
        <v>45729</v>
      </c>
      <c r="C71" s="70">
        <v>0.27067129629629627</v>
      </c>
      <c r="D71" s="66" t="s">
        <v>98</v>
      </c>
      <c r="G71" s="66" t="s">
        <v>136</v>
      </c>
      <c r="H71" s="66" t="s">
        <v>100</v>
      </c>
      <c r="I71" s="33" t="str">
        <f ca="1"/>
        <v>25,22</v>
      </c>
      <c r="J71" s="2">
        <v>71</v>
      </c>
      <c r="K71" s="2" t="str">
        <v>No Match</v>
      </c>
      <c r="M71" s="33">
        <f ca="1"/>
        <v>25.22</v>
      </c>
      <c r="N71" s="2">
        <f ca="1"/>
        <v>25</v>
      </c>
      <c r="O71" s="2">
        <f ca="1"/>
        <v>24.625</v>
      </c>
      <c r="P71" s="2">
        <f ca="1"/>
        <v>25.375</v>
      </c>
      <c r="Q71" s="33">
        <f ca="1"/>
        <v>25.230428571428575</v>
      </c>
      <c r="R71" s="33">
        <f ca="1"/>
        <v>25.03</v>
      </c>
    </row>
    <row r="72" spans="1:18" x14ac:dyDescent="0.2">
      <c r="A72" s="2">
        <v>71</v>
      </c>
      <c r="B72" s="65">
        <v>45729</v>
      </c>
      <c r="C72" s="70">
        <v>0.27075231481481482</v>
      </c>
      <c r="D72" s="66" t="s">
        <v>98</v>
      </c>
      <c r="G72" s="66" t="s">
        <v>122</v>
      </c>
      <c r="H72" s="66" t="s">
        <v>100</v>
      </c>
      <c r="I72" s="33" t="str">
        <f ca="1"/>
        <v>25,27</v>
      </c>
      <c r="J72" s="2">
        <v>72</v>
      </c>
      <c r="K72" s="2" t="str">
        <v>No Match</v>
      </c>
      <c r="M72" s="33">
        <f ca="1"/>
        <v>25.27</v>
      </c>
      <c r="N72" s="2" t="e">
        <f ca="1"/>
        <v>#N/A</v>
      </c>
      <c r="O72" s="2" t="e">
        <f ca="1"/>
        <v>#N/A</v>
      </c>
      <c r="P72" s="2" t="e">
        <f ca="1"/>
        <v>#N/A</v>
      </c>
      <c r="Q72" s="33" t="e">
        <f ca="1"/>
        <v>#N/A</v>
      </c>
      <c r="R72" s="33" t="e">
        <f ca="1"/>
        <v>#N/A</v>
      </c>
    </row>
    <row r="73" spans="1:18" x14ac:dyDescent="0.2">
      <c r="A73" s="2">
        <v>72</v>
      </c>
      <c r="B73" s="65">
        <v>45729</v>
      </c>
      <c r="C73" s="70">
        <v>0.27187499999999998</v>
      </c>
      <c r="D73" s="66" t="s">
        <v>98</v>
      </c>
      <c r="G73" s="66" t="s">
        <v>113</v>
      </c>
      <c r="H73" s="66" t="s">
        <v>100</v>
      </c>
      <c r="I73" s="33" t="str">
        <f ca="1"/>
        <v>24,98</v>
      </c>
      <c r="J73" s="2">
        <v>73</v>
      </c>
      <c r="K73" s="2" t="str">
        <v>No Match</v>
      </c>
      <c r="M73" s="33">
        <f ca="1"/>
        <v>24.98</v>
      </c>
      <c r="N73" s="2" t="e">
        <f ca="1"/>
        <v>#N/A</v>
      </c>
      <c r="O73" s="2" t="e">
        <f ca="1"/>
        <v>#N/A</v>
      </c>
      <c r="P73" s="2" t="e">
        <f ca="1"/>
        <v>#N/A</v>
      </c>
      <c r="Q73" s="33" t="e">
        <f ca="1"/>
        <v>#N/A</v>
      </c>
      <c r="R73" s="33" t="e">
        <f ca="1"/>
        <v>#N/A</v>
      </c>
    </row>
    <row r="74" spans="1:18" x14ac:dyDescent="0.2">
      <c r="A74" s="2">
        <v>73</v>
      </c>
      <c r="B74" s="65">
        <v>45729</v>
      </c>
      <c r="C74" s="70">
        <v>0.27428240740740739</v>
      </c>
      <c r="D74" s="66" t="s">
        <v>98</v>
      </c>
      <c r="G74" s="66" t="s">
        <v>190</v>
      </c>
      <c r="H74" s="66" t="s">
        <v>100</v>
      </c>
      <c r="I74" s="33" t="str">
        <f ca="1"/>
        <v>25,19</v>
      </c>
      <c r="J74" s="2">
        <v>74</v>
      </c>
      <c r="K74" s="2" t="str">
        <v>No Match</v>
      </c>
      <c r="M74" s="33">
        <f ca="1"/>
        <v>25.19</v>
      </c>
      <c r="N74" s="2" t="e">
        <f ca="1"/>
        <v>#N/A</v>
      </c>
      <c r="O74" s="2" t="e">
        <f ca="1"/>
        <v>#N/A</v>
      </c>
      <c r="P74" s="2" t="e">
        <f ca="1"/>
        <v>#N/A</v>
      </c>
      <c r="Q74" s="33" t="e">
        <f ca="1"/>
        <v>#N/A</v>
      </c>
      <c r="R74" s="33" t="e">
        <f ca="1"/>
        <v>#N/A</v>
      </c>
    </row>
    <row r="75" spans="1:18" x14ac:dyDescent="0.2">
      <c r="A75" s="2">
        <v>74</v>
      </c>
      <c r="B75" s="65">
        <v>45729</v>
      </c>
      <c r="C75" s="70">
        <v>0.27539351851851851</v>
      </c>
      <c r="D75" s="66" t="s">
        <v>98</v>
      </c>
      <c r="G75" s="66" t="s">
        <v>224</v>
      </c>
      <c r="H75" s="66" t="s">
        <v>100</v>
      </c>
      <c r="I75" s="33" t="str">
        <f ca="1"/>
        <v>24,90</v>
      </c>
      <c r="J75" s="2">
        <v>75</v>
      </c>
      <c r="K75" s="2" t="str">
        <v>No Match</v>
      </c>
      <c r="M75" s="33">
        <f ca="1"/>
        <v>24.9</v>
      </c>
      <c r="N75" s="2" t="e">
        <f ca="1"/>
        <v>#N/A</v>
      </c>
      <c r="O75" s="2" t="e">
        <f ca="1"/>
        <v>#N/A</v>
      </c>
      <c r="P75" s="2" t="e">
        <f ca="1"/>
        <v>#N/A</v>
      </c>
      <c r="Q75" s="33" t="e">
        <f ca="1"/>
        <v>#N/A</v>
      </c>
      <c r="R75" s="33" t="e">
        <f ca="1"/>
        <v>#N/A</v>
      </c>
    </row>
    <row r="76" spans="1:18" x14ac:dyDescent="0.2">
      <c r="A76" s="2">
        <v>75</v>
      </c>
      <c r="B76" s="65">
        <v>45729</v>
      </c>
      <c r="C76" s="70">
        <v>0.27619212962962963</v>
      </c>
      <c r="D76" s="66" t="s">
        <v>98</v>
      </c>
      <c r="G76" s="66" t="s">
        <v>123</v>
      </c>
      <c r="H76" s="66" t="s">
        <v>100</v>
      </c>
      <c r="I76" s="33" t="str">
        <f ca="1"/>
        <v>25,13</v>
      </c>
      <c r="J76" s="2">
        <v>76</v>
      </c>
      <c r="K76" s="2" t="str">
        <v>No Match</v>
      </c>
      <c r="M76" s="33">
        <f ca="1"/>
        <v>25.13</v>
      </c>
      <c r="N76" s="2" t="e">
        <f ca="1"/>
        <v>#N/A</v>
      </c>
      <c r="O76" s="2" t="e">
        <f ca="1"/>
        <v>#N/A</v>
      </c>
      <c r="P76" s="2" t="e">
        <f ca="1"/>
        <v>#N/A</v>
      </c>
      <c r="Q76" s="33" t="e">
        <f ca="1"/>
        <v>#N/A</v>
      </c>
      <c r="R76" s="33" t="e">
        <f ca="1"/>
        <v>#N/A</v>
      </c>
    </row>
    <row r="77" spans="1:18" x14ac:dyDescent="0.2">
      <c r="A77" s="2">
        <v>76</v>
      </c>
      <c r="B77" s="65">
        <v>45729</v>
      </c>
      <c r="C77" s="70">
        <v>0.27853009259259259</v>
      </c>
      <c r="D77" s="66" t="s">
        <v>98</v>
      </c>
      <c r="G77" s="66" t="s">
        <v>121</v>
      </c>
      <c r="H77" s="66" t="s">
        <v>100</v>
      </c>
      <c r="I77" s="33" t="str">
        <f ca="1"/>
        <v>24,99</v>
      </c>
      <c r="J77" s="2">
        <v>77</v>
      </c>
      <c r="K77" s="2" t="str">
        <v>No Match</v>
      </c>
      <c r="M77" s="33">
        <f ca="1"/>
        <v>24.99</v>
      </c>
      <c r="N77" s="2" t="e">
        <f ca="1"/>
        <v>#N/A</v>
      </c>
      <c r="O77" s="2" t="e">
        <f ca="1"/>
        <v>#N/A</v>
      </c>
      <c r="P77" s="2" t="e">
        <f ca="1"/>
        <v>#N/A</v>
      </c>
      <c r="Q77" s="33" t="e">
        <f ca="1"/>
        <v>#N/A</v>
      </c>
      <c r="R77" s="33" t="e">
        <f ca="1"/>
        <v>#N/A</v>
      </c>
    </row>
    <row r="78" spans="1:18" x14ac:dyDescent="0.2">
      <c r="A78" s="2">
        <v>77</v>
      </c>
      <c r="B78" s="65">
        <v>45729</v>
      </c>
      <c r="C78" s="70">
        <v>0.27856481481481482</v>
      </c>
      <c r="D78" s="66" t="s">
        <v>98</v>
      </c>
      <c r="G78" s="66" t="s">
        <v>140</v>
      </c>
      <c r="H78" s="66" t="s">
        <v>100</v>
      </c>
      <c r="I78" s="33" t="str">
        <f ca="1"/>
        <v>25,10</v>
      </c>
      <c r="J78" s="2">
        <v>78</v>
      </c>
      <c r="K78" s="2" t="str">
        <v>No Match</v>
      </c>
      <c r="M78" s="33">
        <f ca="1"/>
        <v>25.1</v>
      </c>
      <c r="N78" s="2" t="e">
        <f ca="1"/>
        <v>#N/A</v>
      </c>
      <c r="O78" s="2" t="e">
        <f ca="1"/>
        <v>#N/A</v>
      </c>
      <c r="P78" s="2" t="e">
        <f ca="1"/>
        <v>#N/A</v>
      </c>
      <c r="Q78" s="33" t="e">
        <f ca="1"/>
        <v>#N/A</v>
      </c>
      <c r="R78" s="33" t="e">
        <f ca="1"/>
        <v>#N/A</v>
      </c>
    </row>
    <row r="79" spans="1:18" x14ac:dyDescent="0.2">
      <c r="A79" s="2">
        <v>78</v>
      </c>
      <c r="B79" s="65">
        <v>45729</v>
      </c>
      <c r="C79" s="70">
        <v>0.27972222222222221</v>
      </c>
      <c r="D79" s="66" t="s">
        <v>98</v>
      </c>
      <c r="G79" s="66" t="s">
        <v>210</v>
      </c>
      <c r="H79" s="66" t="s">
        <v>100</v>
      </c>
      <c r="I79" s="33" t="str">
        <f ca="1"/>
        <v>24,93</v>
      </c>
      <c r="J79" s="2">
        <v>79</v>
      </c>
      <c r="K79" s="2" t="str">
        <v>No Match</v>
      </c>
      <c r="M79" s="33">
        <f ca="1"/>
        <v>24.93</v>
      </c>
      <c r="N79" s="2" t="e">
        <f ca="1"/>
        <v>#N/A</v>
      </c>
      <c r="O79" s="2" t="e">
        <f ca="1"/>
        <v>#N/A</v>
      </c>
      <c r="P79" s="2" t="e">
        <f ca="1"/>
        <v>#N/A</v>
      </c>
      <c r="Q79" s="33" t="e">
        <f ca="1"/>
        <v>#N/A</v>
      </c>
      <c r="R79" s="33" t="e">
        <f ca="1"/>
        <v>#N/A</v>
      </c>
    </row>
    <row r="80" spans="1:18" x14ac:dyDescent="0.2">
      <c r="A80" s="2">
        <v>79</v>
      </c>
      <c r="B80" s="65">
        <v>45729</v>
      </c>
      <c r="C80" s="70">
        <v>0.28053240740740742</v>
      </c>
      <c r="D80" s="66" t="s">
        <v>98</v>
      </c>
      <c r="G80" s="66" t="s">
        <v>110</v>
      </c>
      <c r="H80" s="66" t="s">
        <v>100</v>
      </c>
      <c r="I80" s="33" t="str">
        <f ca="1"/>
        <v>25,12</v>
      </c>
      <c r="J80" s="2">
        <v>80</v>
      </c>
      <c r="K80" s="2" t="str">
        <v>No Match</v>
      </c>
      <c r="M80" s="33">
        <f ca="1"/>
        <v>25.12</v>
      </c>
      <c r="N80" s="2" t="e">
        <f ca="1"/>
        <v>#N/A</v>
      </c>
      <c r="O80" s="2" t="e">
        <f ca="1"/>
        <v>#N/A</v>
      </c>
      <c r="P80" s="2" t="e">
        <f ca="1"/>
        <v>#N/A</v>
      </c>
      <c r="Q80" s="33" t="e">
        <f ca="1"/>
        <v>#N/A</v>
      </c>
      <c r="R80" s="33" t="e">
        <f ca="1"/>
        <v>#N/A</v>
      </c>
    </row>
    <row r="81" spans="1:18" x14ac:dyDescent="0.2">
      <c r="A81" s="2">
        <v>80</v>
      </c>
      <c r="B81" s="65">
        <v>45729</v>
      </c>
      <c r="C81" s="70">
        <v>0.28061342592592592</v>
      </c>
      <c r="D81" s="66" t="s">
        <v>98</v>
      </c>
      <c r="G81" s="66" t="s">
        <v>99</v>
      </c>
      <c r="H81" s="67" t="s">
        <v>100</v>
      </c>
      <c r="I81" s="33" t="str">
        <f ca="1"/>
        <v>25,16</v>
      </c>
      <c r="J81" s="2">
        <v>81</v>
      </c>
      <c r="K81" s="2" t="str">
        <v>No Match</v>
      </c>
      <c r="M81" s="33">
        <f ca="1"/>
        <v>25.16</v>
      </c>
      <c r="N81" s="2">
        <f ca="1"/>
        <v>25</v>
      </c>
      <c r="O81" s="2">
        <f ca="1"/>
        <v>24.625</v>
      </c>
      <c r="P81" s="2">
        <f ca="1"/>
        <v>25.375</v>
      </c>
      <c r="Q81" s="33">
        <f ca="1"/>
        <v>25.211250000000007</v>
      </c>
      <c r="R81" s="33">
        <f ca="1"/>
        <v>25.077000000000002</v>
      </c>
    </row>
    <row r="82" spans="1:18" x14ac:dyDescent="0.2">
      <c r="A82" s="2">
        <v>81</v>
      </c>
      <c r="B82" s="65">
        <v>45729</v>
      </c>
      <c r="C82" s="70">
        <v>0.28134259259259259</v>
      </c>
      <c r="D82" s="66" t="s">
        <v>98</v>
      </c>
      <c r="G82" s="66" t="s">
        <v>122</v>
      </c>
      <c r="H82" s="66" t="s">
        <v>100</v>
      </c>
      <c r="I82" s="33" t="str">
        <f ca="1"/>
        <v>25,27</v>
      </c>
      <c r="J82" s="2">
        <v>82</v>
      </c>
      <c r="K82" s="2" t="str">
        <v>No Match</v>
      </c>
      <c r="M82" s="33">
        <f ca="1"/>
        <v>25.27</v>
      </c>
      <c r="N82" s="2" t="e">
        <f ca="1"/>
        <v>#N/A</v>
      </c>
      <c r="O82" s="2" t="e">
        <f ca="1"/>
        <v>#N/A</v>
      </c>
      <c r="P82" s="2" t="e">
        <f ca="1"/>
        <v>#N/A</v>
      </c>
      <c r="Q82" s="33" t="e">
        <f ca="1"/>
        <v>#N/A</v>
      </c>
      <c r="R82" s="33" t="e">
        <f ca="1"/>
        <v>#N/A</v>
      </c>
    </row>
    <row r="83" spans="1:18" x14ac:dyDescent="0.2">
      <c r="A83" s="2">
        <v>82</v>
      </c>
      <c r="B83" s="65">
        <v>45729</v>
      </c>
      <c r="C83" s="70">
        <v>0.28145833333333331</v>
      </c>
      <c r="D83" s="66" t="s">
        <v>98</v>
      </c>
      <c r="G83" s="66" t="s">
        <v>200</v>
      </c>
      <c r="H83" s="66" t="s">
        <v>100</v>
      </c>
      <c r="I83" s="33" t="str">
        <f ca="1"/>
        <v>25,21</v>
      </c>
      <c r="J83" s="2">
        <v>83</v>
      </c>
      <c r="K83" s="2" t="str">
        <v>No Match</v>
      </c>
      <c r="M83" s="33">
        <f ca="1"/>
        <v>25.21</v>
      </c>
      <c r="N83" s="2" t="e">
        <f ca="1"/>
        <v>#N/A</v>
      </c>
      <c r="O83" s="2" t="e">
        <f ca="1"/>
        <v>#N/A</v>
      </c>
      <c r="P83" s="2" t="e">
        <f ca="1"/>
        <v>#N/A</v>
      </c>
      <c r="Q83" s="33" t="e">
        <f ca="1"/>
        <v>#N/A</v>
      </c>
      <c r="R83" s="33" t="e">
        <f ca="1"/>
        <v>#N/A</v>
      </c>
    </row>
    <row r="84" spans="1:18" x14ac:dyDescent="0.2">
      <c r="A84" s="2">
        <v>83</v>
      </c>
      <c r="B84" s="65">
        <v>45729</v>
      </c>
      <c r="C84" s="70">
        <v>0.28486111111111112</v>
      </c>
      <c r="D84" s="66" t="s">
        <v>98</v>
      </c>
      <c r="G84" s="66" t="s">
        <v>135</v>
      </c>
      <c r="H84" s="66" t="s">
        <v>100</v>
      </c>
      <c r="I84" s="33" t="str">
        <f ca="1"/>
        <v>25,15</v>
      </c>
      <c r="J84" s="2">
        <v>84</v>
      </c>
      <c r="K84" s="2" t="str">
        <v>No Match</v>
      </c>
      <c r="M84" s="33">
        <f ca="1"/>
        <v>25.15</v>
      </c>
      <c r="N84" s="2" t="e">
        <f ca="1"/>
        <v>#N/A</v>
      </c>
      <c r="O84" s="2" t="e">
        <f ca="1"/>
        <v>#N/A</v>
      </c>
      <c r="P84" s="2" t="e">
        <f ca="1"/>
        <v>#N/A</v>
      </c>
      <c r="Q84" s="33" t="e">
        <f ca="1"/>
        <v>#N/A</v>
      </c>
      <c r="R84" s="33" t="e">
        <f ca="1"/>
        <v>#N/A</v>
      </c>
    </row>
    <row r="85" spans="1:18" x14ac:dyDescent="0.2">
      <c r="A85" s="2">
        <v>84</v>
      </c>
      <c r="B85" s="65">
        <v>45729</v>
      </c>
      <c r="C85" s="70">
        <v>0.28649305555555554</v>
      </c>
      <c r="D85" s="66" t="s">
        <v>98</v>
      </c>
      <c r="G85" s="66" t="s">
        <v>160</v>
      </c>
      <c r="H85" s="67" t="s">
        <v>100</v>
      </c>
      <c r="I85" s="33" t="str">
        <f ca="1"/>
        <v>25,14</v>
      </c>
      <c r="J85" s="2">
        <v>85</v>
      </c>
      <c r="K85" s="2" t="str">
        <v>No Match</v>
      </c>
      <c r="M85" s="33">
        <f ca="1"/>
        <v>25.14</v>
      </c>
      <c r="N85" s="2" t="e">
        <f ca="1"/>
        <v>#N/A</v>
      </c>
      <c r="O85" s="2" t="e">
        <f ca="1"/>
        <v>#N/A</v>
      </c>
      <c r="P85" s="2" t="e">
        <f ca="1"/>
        <v>#N/A</v>
      </c>
      <c r="Q85" s="33" t="e">
        <f ca="1"/>
        <v>#N/A</v>
      </c>
      <c r="R85" s="33" t="e">
        <f ca="1"/>
        <v>#N/A</v>
      </c>
    </row>
    <row r="86" spans="1:18" x14ac:dyDescent="0.2">
      <c r="A86" s="2">
        <v>85</v>
      </c>
      <c r="B86" s="65">
        <v>45729</v>
      </c>
      <c r="C86" s="70">
        <v>0.28787037037037039</v>
      </c>
      <c r="D86" s="66" t="s">
        <v>98</v>
      </c>
      <c r="G86" s="66" t="s">
        <v>121</v>
      </c>
      <c r="H86" s="66" t="s">
        <v>100</v>
      </c>
      <c r="I86" s="33" t="str">
        <f ca="1"/>
        <v>24,99</v>
      </c>
      <c r="J86" s="2">
        <v>86</v>
      </c>
      <c r="K86" s="2" t="str">
        <v>No Match</v>
      </c>
      <c r="M86" s="33">
        <f ca="1"/>
        <v>24.99</v>
      </c>
      <c r="N86" s="2" t="e">
        <f ca="1"/>
        <v>#N/A</v>
      </c>
      <c r="O86" s="2" t="e">
        <f ca="1"/>
        <v>#N/A</v>
      </c>
      <c r="P86" s="2" t="e">
        <f ca="1"/>
        <v>#N/A</v>
      </c>
      <c r="Q86" s="33" t="e">
        <f ca="1"/>
        <v>#N/A</v>
      </c>
      <c r="R86" s="33" t="e">
        <f ca="1"/>
        <v>#N/A</v>
      </c>
    </row>
    <row r="87" spans="1:18" x14ac:dyDescent="0.2">
      <c r="A87" s="2">
        <v>86</v>
      </c>
      <c r="B87" s="65">
        <v>45729</v>
      </c>
      <c r="C87" s="70">
        <v>0.28962962962962963</v>
      </c>
      <c r="D87" s="66" t="s">
        <v>98</v>
      </c>
      <c r="G87" s="66" t="s">
        <v>110</v>
      </c>
      <c r="H87" s="66" t="s">
        <v>100</v>
      </c>
      <c r="I87" s="33" t="str">
        <f ca="1"/>
        <v>25,12</v>
      </c>
      <c r="J87" s="2">
        <v>87</v>
      </c>
      <c r="K87" s="2" t="str">
        <v>No Match</v>
      </c>
      <c r="M87" s="33">
        <f ca="1"/>
        <v>25.12</v>
      </c>
      <c r="N87" s="2" t="e">
        <f ca="1"/>
        <v>#N/A</v>
      </c>
      <c r="O87" s="2" t="e">
        <f ca="1"/>
        <v>#N/A</v>
      </c>
      <c r="P87" s="2" t="e">
        <f ca="1"/>
        <v>#N/A</v>
      </c>
      <c r="Q87" s="33" t="e">
        <f ca="1"/>
        <v>#N/A</v>
      </c>
      <c r="R87" s="33" t="e">
        <f ca="1"/>
        <v>#N/A</v>
      </c>
    </row>
    <row r="88" spans="1:18" x14ac:dyDescent="0.2">
      <c r="A88" s="2">
        <v>87</v>
      </c>
      <c r="B88" s="65">
        <v>45729</v>
      </c>
      <c r="C88" s="70">
        <v>0.29060185185185183</v>
      </c>
      <c r="D88" s="66" t="s">
        <v>98</v>
      </c>
      <c r="G88" s="66" t="s">
        <v>122</v>
      </c>
      <c r="H88" s="66" t="s">
        <v>100</v>
      </c>
      <c r="I88" s="33" t="str">
        <f ca="1"/>
        <v>25,27</v>
      </c>
      <c r="J88" s="2">
        <v>88</v>
      </c>
      <c r="K88" s="2" t="str">
        <v>No Match</v>
      </c>
      <c r="M88" s="33">
        <f ca="1"/>
        <v>25.27</v>
      </c>
      <c r="N88" s="2" t="e">
        <f ca="1"/>
        <v>#N/A</v>
      </c>
      <c r="O88" s="2" t="e">
        <f ca="1"/>
        <v>#N/A</v>
      </c>
      <c r="P88" s="2" t="e">
        <f ca="1"/>
        <v>#N/A</v>
      </c>
      <c r="Q88" s="33" t="e">
        <f ca="1"/>
        <v>#N/A</v>
      </c>
      <c r="R88" s="33" t="e">
        <f ca="1"/>
        <v>#N/A</v>
      </c>
    </row>
    <row r="89" spans="1:18" x14ac:dyDescent="0.2">
      <c r="A89" s="2">
        <v>88</v>
      </c>
      <c r="B89" s="65">
        <v>45729</v>
      </c>
      <c r="C89" s="70">
        <v>0.29092592592592592</v>
      </c>
      <c r="D89" s="66" t="s">
        <v>98</v>
      </c>
      <c r="G89" s="66" t="s">
        <v>186</v>
      </c>
      <c r="H89" s="67" t="s">
        <v>100</v>
      </c>
      <c r="I89" s="33" t="str">
        <f ca="1"/>
        <v>24,89</v>
      </c>
      <c r="J89" s="2">
        <v>89</v>
      </c>
      <c r="K89" s="2" t="str">
        <v>No Match</v>
      </c>
      <c r="M89" s="33">
        <f ca="1"/>
        <v>24.89</v>
      </c>
      <c r="N89" s="2" t="e">
        <f ca="1"/>
        <v>#N/A</v>
      </c>
      <c r="O89" s="2" t="e">
        <f ca="1"/>
        <v>#N/A</v>
      </c>
      <c r="P89" s="2" t="e">
        <f ca="1"/>
        <v>#N/A</v>
      </c>
      <c r="Q89" s="33" t="e">
        <f ca="1"/>
        <v>#N/A</v>
      </c>
      <c r="R89" s="33" t="e">
        <f ca="1"/>
        <v>#N/A</v>
      </c>
    </row>
    <row r="90" spans="1:18" x14ac:dyDescent="0.2">
      <c r="A90" s="2">
        <v>89</v>
      </c>
      <c r="B90" s="65">
        <v>45729</v>
      </c>
      <c r="C90" s="70">
        <v>0.29099537037037038</v>
      </c>
      <c r="D90" s="66" t="s">
        <v>98</v>
      </c>
      <c r="G90" s="66" t="s">
        <v>125</v>
      </c>
      <c r="H90" s="66" t="s">
        <v>100</v>
      </c>
      <c r="I90" s="33" t="str">
        <f ca="1"/>
        <v>25,20</v>
      </c>
      <c r="J90" s="2">
        <v>90</v>
      </c>
      <c r="K90" s="2" t="str">
        <v>No Match</v>
      </c>
      <c r="M90" s="33">
        <f ca="1"/>
        <v>25.2</v>
      </c>
      <c r="N90" s="2" t="e">
        <f ca="1"/>
        <v>#N/A</v>
      </c>
      <c r="O90" s="2" t="e">
        <f ca="1"/>
        <v>#N/A</v>
      </c>
      <c r="P90" s="2" t="e">
        <f ca="1"/>
        <v>#N/A</v>
      </c>
      <c r="Q90" s="33" t="e">
        <f ca="1"/>
        <v>#N/A</v>
      </c>
      <c r="R90" s="33" t="e">
        <f ca="1"/>
        <v>#N/A</v>
      </c>
    </row>
    <row r="91" spans="1:18" x14ac:dyDescent="0.2">
      <c r="A91" s="2">
        <v>90</v>
      </c>
      <c r="B91" s="65">
        <v>45729</v>
      </c>
      <c r="C91" s="70">
        <v>0.29224537037037035</v>
      </c>
      <c r="D91" s="66" t="s">
        <v>98</v>
      </c>
      <c r="G91" s="66" t="s">
        <v>135</v>
      </c>
      <c r="H91" s="66" t="s">
        <v>100</v>
      </c>
      <c r="I91" s="33" t="str">
        <f ca="1"/>
        <v>25,15</v>
      </c>
      <c r="J91" s="2">
        <v>91</v>
      </c>
      <c r="K91" s="2" t="str">
        <v>No Match</v>
      </c>
      <c r="M91" s="33">
        <f ca="1"/>
        <v>25.15</v>
      </c>
      <c r="N91" s="2">
        <f ca="1"/>
        <v>25</v>
      </c>
      <c r="O91" s="2">
        <f ca="1"/>
        <v>24.625</v>
      </c>
      <c r="P91" s="2">
        <f ca="1"/>
        <v>25.375</v>
      </c>
      <c r="Q91" s="33">
        <f ca="1"/>
        <v>25.203222222222223</v>
      </c>
      <c r="R91" s="33">
        <f ca="1"/>
        <v>25.139000000000003</v>
      </c>
    </row>
    <row r="92" spans="1:18" x14ac:dyDescent="0.2">
      <c r="A92" s="2">
        <v>91</v>
      </c>
      <c r="B92" s="65">
        <v>45729</v>
      </c>
      <c r="C92" s="70">
        <v>0.29321759259259261</v>
      </c>
      <c r="D92" s="66" t="s">
        <v>98</v>
      </c>
      <c r="G92" s="66" t="s">
        <v>209</v>
      </c>
      <c r="H92" s="66" t="s">
        <v>100</v>
      </c>
      <c r="I92" s="33" t="str">
        <f ca="1"/>
        <v>24,95</v>
      </c>
      <c r="J92" s="2">
        <v>92</v>
      </c>
      <c r="K92" s="2" t="str">
        <v>No Match</v>
      </c>
      <c r="M92" s="33">
        <f ca="1"/>
        <v>24.95</v>
      </c>
      <c r="N92" s="2" t="e">
        <f ca="1"/>
        <v>#N/A</v>
      </c>
      <c r="O92" s="2" t="e">
        <f ca="1"/>
        <v>#N/A</v>
      </c>
      <c r="P92" s="2" t="e">
        <f ca="1"/>
        <v>#N/A</v>
      </c>
      <c r="Q92" s="33" t="e">
        <f ca="1"/>
        <v>#N/A</v>
      </c>
      <c r="R92" s="33" t="e">
        <f ca="1"/>
        <v>#N/A</v>
      </c>
    </row>
    <row r="93" spans="1:18" x14ac:dyDescent="0.2">
      <c r="A93" s="2">
        <v>92</v>
      </c>
      <c r="B93" s="65">
        <v>45729</v>
      </c>
      <c r="C93" s="70">
        <v>0.29381944444444447</v>
      </c>
      <c r="D93" s="66" t="s">
        <v>98</v>
      </c>
      <c r="G93" s="66" t="s">
        <v>180</v>
      </c>
      <c r="H93" s="66" t="s">
        <v>100</v>
      </c>
      <c r="I93" s="33" t="str">
        <f ca="1"/>
        <v>25,04</v>
      </c>
      <c r="J93" s="2">
        <v>93</v>
      </c>
      <c r="K93" s="2" t="str">
        <v>No Match</v>
      </c>
      <c r="M93" s="33">
        <f ca="1"/>
        <v>25.04</v>
      </c>
      <c r="N93" s="2" t="e">
        <f ca="1"/>
        <v>#N/A</v>
      </c>
      <c r="O93" s="2" t="e">
        <f ca="1"/>
        <v>#N/A</v>
      </c>
      <c r="P93" s="2" t="e">
        <f ca="1"/>
        <v>#N/A</v>
      </c>
      <c r="Q93" s="33" t="e">
        <f ca="1"/>
        <v>#N/A</v>
      </c>
      <c r="R93" s="33" t="e">
        <f ca="1"/>
        <v>#N/A</v>
      </c>
    </row>
    <row r="94" spans="1:18" x14ac:dyDescent="0.2">
      <c r="A94" s="2">
        <v>93</v>
      </c>
      <c r="B94" s="65">
        <v>45729</v>
      </c>
      <c r="C94" s="70">
        <v>0.29650462962962965</v>
      </c>
      <c r="D94" s="66" t="s">
        <v>98</v>
      </c>
      <c r="G94" s="66" t="s">
        <v>207</v>
      </c>
      <c r="H94" s="66" t="s">
        <v>100</v>
      </c>
      <c r="I94" s="33" t="str">
        <f ca="1"/>
        <v>25,07</v>
      </c>
      <c r="J94" s="2">
        <v>94</v>
      </c>
      <c r="K94" s="2" t="str">
        <v>No Match</v>
      </c>
      <c r="M94" s="33">
        <f ca="1"/>
        <v>25.07</v>
      </c>
      <c r="N94" s="2" t="e">
        <f ca="1"/>
        <v>#N/A</v>
      </c>
      <c r="O94" s="2" t="e">
        <f ca="1"/>
        <v>#N/A</v>
      </c>
      <c r="P94" s="2" t="e">
        <f ca="1"/>
        <v>#N/A</v>
      </c>
      <c r="Q94" s="33" t="e">
        <f ca="1"/>
        <v>#N/A</v>
      </c>
      <c r="R94" s="33" t="e">
        <f ca="1"/>
        <v>#N/A</v>
      </c>
    </row>
    <row r="95" spans="1:18" x14ac:dyDescent="0.2">
      <c r="A95" s="2">
        <v>94</v>
      </c>
      <c r="B95" s="65">
        <v>45729</v>
      </c>
      <c r="C95" s="70">
        <v>0.29804398148148148</v>
      </c>
      <c r="D95" s="66" t="s">
        <v>98</v>
      </c>
      <c r="G95" s="66" t="s">
        <v>113</v>
      </c>
      <c r="H95" s="66" t="s">
        <v>100</v>
      </c>
      <c r="I95" s="33" t="str">
        <f ca="1"/>
        <v>24,98</v>
      </c>
      <c r="J95" s="2">
        <v>95</v>
      </c>
      <c r="K95" s="2" t="str">
        <v>No Match</v>
      </c>
      <c r="M95" s="33">
        <f ca="1"/>
        <v>24.98</v>
      </c>
      <c r="N95" s="2" t="e">
        <f ca="1"/>
        <v>#N/A</v>
      </c>
      <c r="O95" s="2" t="e">
        <f ca="1"/>
        <v>#N/A</v>
      </c>
      <c r="P95" s="2" t="e">
        <f ca="1"/>
        <v>#N/A</v>
      </c>
      <c r="Q95" s="33" t="e">
        <f ca="1"/>
        <v>#N/A</v>
      </c>
      <c r="R95" s="33" t="e">
        <f ca="1"/>
        <v>#N/A</v>
      </c>
    </row>
    <row r="96" spans="1:18" x14ac:dyDescent="0.2">
      <c r="A96" s="2">
        <v>95</v>
      </c>
      <c r="B96" s="65">
        <v>45729</v>
      </c>
      <c r="C96" s="70">
        <v>0.30303240740740739</v>
      </c>
      <c r="D96" s="66" t="s">
        <v>98</v>
      </c>
      <c r="G96" s="66" t="s">
        <v>111</v>
      </c>
      <c r="H96" s="66" t="s">
        <v>100</v>
      </c>
      <c r="I96" s="33" t="str">
        <f ca="1"/>
        <v>25,44</v>
      </c>
      <c r="J96" s="2">
        <v>96</v>
      </c>
      <c r="K96" s="2" t="str">
        <v>No Match</v>
      </c>
      <c r="M96" s="33">
        <f ca="1"/>
        <v>25.44</v>
      </c>
      <c r="N96" s="2" t="e">
        <f ca="1"/>
        <v>#N/A</v>
      </c>
      <c r="O96" s="2" t="e">
        <f ca="1"/>
        <v>#N/A</v>
      </c>
      <c r="P96" s="2" t="e">
        <f ca="1"/>
        <v>#N/A</v>
      </c>
      <c r="Q96" s="33" t="e">
        <f ca="1"/>
        <v>#N/A</v>
      </c>
      <c r="R96" s="33" t="e">
        <f ca="1"/>
        <v>#N/A</v>
      </c>
    </row>
    <row r="97" spans="1:18" x14ac:dyDescent="0.2">
      <c r="A97" s="2">
        <v>96</v>
      </c>
      <c r="B97" s="65">
        <v>45729</v>
      </c>
      <c r="C97" s="70">
        <v>0.30460648148148151</v>
      </c>
      <c r="D97" s="66" t="s">
        <v>98</v>
      </c>
      <c r="G97" s="66" t="s">
        <v>235</v>
      </c>
      <c r="H97" s="66" t="s">
        <v>100</v>
      </c>
      <c r="I97" s="33" t="str">
        <f ca="1"/>
        <v>24,77</v>
      </c>
      <c r="J97" s="2">
        <v>97</v>
      </c>
      <c r="K97" s="2" t="str">
        <v>No Match</v>
      </c>
      <c r="M97" s="33">
        <f ca="1"/>
        <v>24.77</v>
      </c>
      <c r="N97" s="2" t="e">
        <f ca="1"/>
        <v>#N/A</v>
      </c>
      <c r="O97" s="2" t="e">
        <f ca="1"/>
        <v>#N/A</v>
      </c>
      <c r="P97" s="2" t="e">
        <f ca="1"/>
        <v>#N/A</v>
      </c>
      <c r="Q97" s="33" t="e">
        <f ca="1"/>
        <v>#N/A</v>
      </c>
      <c r="R97" s="33" t="e">
        <f ca="1"/>
        <v>#N/A</v>
      </c>
    </row>
    <row r="98" spans="1:18" x14ac:dyDescent="0.2">
      <c r="A98" s="2">
        <v>97</v>
      </c>
      <c r="B98" s="65">
        <v>45729</v>
      </c>
      <c r="C98" s="70">
        <v>0.30509259259259258</v>
      </c>
      <c r="D98" s="66" t="s">
        <v>98</v>
      </c>
      <c r="G98" s="66" t="s">
        <v>142</v>
      </c>
      <c r="H98" s="66" t="s">
        <v>100</v>
      </c>
      <c r="I98" s="33" t="str">
        <f ca="1"/>
        <v>25,03</v>
      </c>
      <c r="J98" s="2">
        <v>98</v>
      </c>
      <c r="K98" s="2" t="str">
        <v>No Match</v>
      </c>
      <c r="M98" s="33">
        <f ca="1"/>
        <v>25.03</v>
      </c>
      <c r="N98" s="2" t="e">
        <f ca="1"/>
        <v>#N/A</v>
      </c>
      <c r="O98" s="2" t="e">
        <f ca="1"/>
        <v>#N/A</v>
      </c>
      <c r="P98" s="2" t="e">
        <f ca="1"/>
        <v>#N/A</v>
      </c>
      <c r="Q98" s="33" t="e">
        <f ca="1"/>
        <v>#N/A</v>
      </c>
      <c r="R98" s="33" t="e">
        <f ca="1"/>
        <v>#N/A</v>
      </c>
    </row>
    <row r="99" spans="1:18" x14ac:dyDescent="0.2">
      <c r="A99" s="2">
        <v>98</v>
      </c>
      <c r="B99" s="65">
        <v>45729</v>
      </c>
      <c r="C99" s="70">
        <v>0.30578703703703702</v>
      </c>
      <c r="D99" s="66" t="s">
        <v>98</v>
      </c>
      <c r="G99" s="66" t="s">
        <v>129</v>
      </c>
      <c r="H99" s="66" t="s">
        <v>100</v>
      </c>
      <c r="I99" s="33" t="str">
        <f ca="1"/>
        <v>25,08</v>
      </c>
      <c r="J99" s="2">
        <v>99</v>
      </c>
      <c r="K99" s="2" t="str">
        <v>No Match</v>
      </c>
      <c r="M99" s="33">
        <f ca="1"/>
        <v>25.08</v>
      </c>
      <c r="N99" s="2" t="e">
        <f ca="1"/>
        <v>#N/A</v>
      </c>
      <c r="O99" s="2" t="e">
        <f ca="1"/>
        <v>#N/A</v>
      </c>
      <c r="P99" s="2" t="e">
        <f ca="1"/>
        <v>#N/A</v>
      </c>
      <c r="Q99" s="33" t="e">
        <f ca="1"/>
        <v>#N/A</v>
      </c>
      <c r="R99" s="33" t="e">
        <f ca="1"/>
        <v>#N/A</v>
      </c>
    </row>
    <row r="100" spans="1:18" x14ac:dyDescent="0.2">
      <c r="A100" s="2">
        <v>99</v>
      </c>
      <c r="B100" s="65">
        <v>45729</v>
      </c>
      <c r="C100" s="70">
        <v>0.30582175925925925</v>
      </c>
      <c r="D100" s="66" t="s">
        <v>98</v>
      </c>
      <c r="G100" s="66" t="s">
        <v>204</v>
      </c>
      <c r="H100" s="66" t="s">
        <v>100</v>
      </c>
      <c r="I100" s="33" t="str">
        <f ca="1"/>
        <v>25,01</v>
      </c>
      <c r="J100" s="2">
        <v>100</v>
      </c>
      <c r="K100" s="2" t="str">
        <v>No Match</v>
      </c>
      <c r="M100" s="33">
        <f ca="1"/>
        <v>25.01</v>
      </c>
      <c r="N100" s="2" t="e">
        <f ca="1"/>
        <v>#N/A</v>
      </c>
      <c r="O100" s="2" t="e">
        <f ca="1"/>
        <v>#N/A</v>
      </c>
      <c r="P100" s="2" t="e">
        <f ca="1"/>
        <v>#N/A</v>
      </c>
      <c r="Q100" s="33" t="e">
        <f ca="1"/>
        <v>#N/A</v>
      </c>
      <c r="R100" s="33" t="e">
        <f ca="1"/>
        <v>#N/A</v>
      </c>
    </row>
    <row r="101" spans="1:18" x14ac:dyDescent="0.2">
      <c r="A101" s="2">
        <v>100</v>
      </c>
      <c r="B101" s="65">
        <v>45729</v>
      </c>
      <c r="C101" s="70">
        <v>0.30584490740740738</v>
      </c>
      <c r="D101" s="66" t="s">
        <v>98</v>
      </c>
      <c r="G101" s="66" t="s">
        <v>108</v>
      </c>
      <c r="H101" s="66" t="s">
        <v>100</v>
      </c>
      <c r="I101" s="33" t="str">
        <f ca="1"/>
        <v>24,96</v>
      </c>
      <c r="J101" s="2">
        <v>101</v>
      </c>
      <c r="K101" s="2" t="str">
        <v>No Match</v>
      </c>
      <c r="M101" s="33">
        <f ca="1"/>
        <v>24.96</v>
      </c>
      <c r="N101" s="2">
        <f ca="1"/>
        <v>25</v>
      </c>
      <c r="O101" s="2">
        <f ca="1"/>
        <v>24.625</v>
      </c>
      <c r="P101" s="2">
        <f ca="1"/>
        <v>25.375</v>
      </c>
      <c r="Q101" s="33">
        <f ca="1"/>
        <v>25.186200000000003</v>
      </c>
      <c r="R101" s="33">
        <f ca="1"/>
        <v>25.033000000000001</v>
      </c>
    </row>
    <row r="102" spans="1:18" x14ac:dyDescent="0.2">
      <c r="A102" s="2">
        <v>101</v>
      </c>
      <c r="B102" s="65">
        <v>45729</v>
      </c>
      <c r="C102" s="70">
        <v>0.30834490740740739</v>
      </c>
      <c r="D102" s="66" t="s">
        <v>98</v>
      </c>
      <c r="G102" s="66" t="s">
        <v>134</v>
      </c>
      <c r="H102" s="66" t="s">
        <v>100</v>
      </c>
      <c r="I102" s="33" t="str">
        <f ca="1"/>
        <v>24,94</v>
      </c>
      <c r="J102" s="2">
        <v>102</v>
      </c>
      <c r="K102" s="2" t="str">
        <v>No Match</v>
      </c>
      <c r="M102" s="33">
        <f ca="1"/>
        <v>24.94</v>
      </c>
      <c r="N102" s="2" t="e">
        <f ca="1"/>
        <v>#N/A</v>
      </c>
      <c r="O102" s="2" t="e">
        <f ca="1"/>
        <v>#N/A</v>
      </c>
      <c r="P102" s="2" t="e">
        <f ca="1"/>
        <v>#N/A</v>
      </c>
      <c r="Q102" s="33" t="e">
        <f ca="1"/>
        <v>#N/A</v>
      </c>
      <c r="R102" s="33" t="e">
        <f ca="1"/>
        <v>#N/A</v>
      </c>
    </row>
    <row r="103" spans="1:18" x14ac:dyDescent="0.2">
      <c r="A103" s="2">
        <v>102</v>
      </c>
      <c r="B103" s="65">
        <v>45729</v>
      </c>
      <c r="C103" s="70">
        <v>0.30995370370370373</v>
      </c>
      <c r="D103" s="66" t="s">
        <v>98</v>
      </c>
      <c r="G103" s="66" t="s">
        <v>131</v>
      </c>
      <c r="H103" s="66" t="s">
        <v>100</v>
      </c>
      <c r="I103" s="33" t="str">
        <f ca="1"/>
        <v>25,24</v>
      </c>
      <c r="J103" s="2">
        <v>103</v>
      </c>
      <c r="K103" s="2" t="str">
        <v>No Match</v>
      </c>
      <c r="M103" s="33">
        <f ca="1"/>
        <v>25.24</v>
      </c>
      <c r="N103" s="2" t="e">
        <f ca="1"/>
        <v>#N/A</v>
      </c>
      <c r="O103" s="2" t="e">
        <f ca="1"/>
        <v>#N/A</v>
      </c>
      <c r="P103" s="2" t="e">
        <f ca="1"/>
        <v>#N/A</v>
      </c>
      <c r="Q103" s="33" t="e">
        <f ca="1"/>
        <v>#N/A</v>
      </c>
      <c r="R103" s="33" t="e">
        <f ca="1"/>
        <v>#N/A</v>
      </c>
    </row>
    <row r="104" spans="1:18" x14ac:dyDescent="0.2">
      <c r="A104" s="2">
        <v>103</v>
      </c>
      <c r="B104" s="65">
        <v>45729</v>
      </c>
      <c r="C104" s="70">
        <v>0.31267361111111114</v>
      </c>
      <c r="D104" s="66" t="s">
        <v>98</v>
      </c>
      <c r="G104" s="66" t="s">
        <v>236</v>
      </c>
      <c r="H104" s="66" t="s">
        <v>100</v>
      </c>
      <c r="I104" s="33" t="str">
        <f ca="1"/>
        <v>24,72</v>
      </c>
      <c r="J104" s="2">
        <v>104</v>
      </c>
      <c r="K104" s="2" t="str">
        <v>No Match</v>
      </c>
      <c r="M104" s="33">
        <f ca="1"/>
        <v>24.72</v>
      </c>
      <c r="N104" s="2" t="e">
        <f ca="1"/>
        <v>#N/A</v>
      </c>
      <c r="O104" s="2" t="e">
        <f ca="1"/>
        <v>#N/A</v>
      </c>
      <c r="P104" s="2" t="e">
        <f ca="1"/>
        <v>#N/A</v>
      </c>
      <c r="Q104" s="33" t="e">
        <f ca="1"/>
        <v>#N/A</v>
      </c>
      <c r="R104" s="33" t="e">
        <f ca="1"/>
        <v>#N/A</v>
      </c>
    </row>
    <row r="105" spans="1:18" x14ac:dyDescent="0.2">
      <c r="A105" s="2">
        <v>104</v>
      </c>
      <c r="B105" s="65">
        <v>45729</v>
      </c>
      <c r="C105" s="70">
        <v>0.31283564814814813</v>
      </c>
      <c r="D105" s="66" t="s">
        <v>98</v>
      </c>
      <c r="G105" s="66" t="s">
        <v>195</v>
      </c>
      <c r="H105" s="66" t="s">
        <v>100</v>
      </c>
      <c r="I105" s="33" t="str">
        <f ca="1"/>
        <v>25,60</v>
      </c>
      <c r="J105" s="2">
        <v>105</v>
      </c>
      <c r="K105" s="2" t="str">
        <v>No Match</v>
      </c>
      <c r="M105" s="33">
        <f ca="1"/>
        <v>25.6</v>
      </c>
      <c r="N105" s="2" t="e">
        <f ca="1"/>
        <v>#N/A</v>
      </c>
      <c r="O105" s="2" t="e">
        <f ca="1"/>
        <v>#N/A</v>
      </c>
      <c r="P105" s="2" t="e">
        <f ca="1"/>
        <v>#N/A</v>
      </c>
      <c r="Q105" s="33" t="e">
        <f ca="1"/>
        <v>#N/A</v>
      </c>
      <c r="R105" s="33" t="e">
        <f ca="1"/>
        <v>#N/A</v>
      </c>
    </row>
    <row r="106" spans="1:18" x14ac:dyDescent="0.2">
      <c r="A106" s="2">
        <v>105</v>
      </c>
      <c r="B106" s="65">
        <v>45729</v>
      </c>
      <c r="C106" s="70">
        <v>0.31287037037037035</v>
      </c>
      <c r="D106" s="66" t="s">
        <v>98</v>
      </c>
      <c r="G106" s="66" t="s">
        <v>101</v>
      </c>
      <c r="H106" s="66" t="s">
        <v>100</v>
      </c>
      <c r="I106" s="33" t="str">
        <f ca="1"/>
        <v>25,64</v>
      </c>
      <c r="J106" s="2">
        <v>106</v>
      </c>
      <c r="K106" s="2" t="str">
        <v>No Match</v>
      </c>
      <c r="M106" s="33">
        <f ca="1"/>
        <v>25.64</v>
      </c>
      <c r="N106" s="2" t="e">
        <f ca="1"/>
        <v>#N/A</v>
      </c>
      <c r="O106" s="2" t="e">
        <f ca="1"/>
        <v>#N/A</v>
      </c>
      <c r="P106" s="2" t="e">
        <f ca="1"/>
        <v>#N/A</v>
      </c>
      <c r="Q106" s="33" t="e">
        <f ca="1"/>
        <v>#N/A</v>
      </c>
      <c r="R106" s="33" t="e">
        <f ca="1"/>
        <v>#N/A</v>
      </c>
    </row>
    <row r="107" spans="1:18" x14ac:dyDescent="0.2">
      <c r="A107" s="2">
        <v>106</v>
      </c>
      <c r="B107" s="65">
        <v>45729</v>
      </c>
      <c r="C107" s="70">
        <v>0.31297453703703704</v>
      </c>
      <c r="D107" s="66" t="s">
        <v>98</v>
      </c>
      <c r="G107" s="66" t="s">
        <v>213</v>
      </c>
      <c r="H107" s="66" t="s">
        <v>100</v>
      </c>
      <c r="I107" s="33" t="str">
        <f ca="1"/>
        <v>25,85</v>
      </c>
      <c r="J107" s="2">
        <v>107</v>
      </c>
      <c r="K107" s="2" t="str">
        <v>No Match</v>
      </c>
      <c r="M107" s="33">
        <f ca="1"/>
        <v>25.85</v>
      </c>
      <c r="N107" s="2" t="e">
        <f ca="1"/>
        <v>#N/A</v>
      </c>
      <c r="O107" s="2" t="e">
        <f ca="1"/>
        <v>#N/A</v>
      </c>
      <c r="P107" s="2" t="e">
        <f ca="1"/>
        <v>#N/A</v>
      </c>
      <c r="Q107" s="33" t="e">
        <f ca="1"/>
        <v>#N/A</v>
      </c>
      <c r="R107" s="33" t="e">
        <f ca="1"/>
        <v>#N/A</v>
      </c>
    </row>
    <row r="108" spans="1:18" x14ac:dyDescent="0.2">
      <c r="A108" s="2">
        <v>107</v>
      </c>
      <c r="B108" s="65">
        <v>45729</v>
      </c>
      <c r="C108" s="70">
        <v>0.31427083333333333</v>
      </c>
      <c r="D108" s="66" t="s">
        <v>98</v>
      </c>
      <c r="G108" s="66" t="s">
        <v>234</v>
      </c>
      <c r="H108" s="66" t="s">
        <v>100</v>
      </c>
      <c r="I108" s="33" t="str">
        <f ca="1"/>
        <v>24,78</v>
      </c>
      <c r="J108" s="2">
        <v>108</v>
      </c>
      <c r="K108" s="2" t="str">
        <v>No Match</v>
      </c>
      <c r="M108" s="33">
        <f ca="1"/>
        <v>24.78</v>
      </c>
      <c r="N108" s="2" t="e">
        <f ca="1"/>
        <v>#N/A</v>
      </c>
      <c r="O108" s="2" t="e">
        <f ca="1"/>
        <v>#N/A</v>
      </c>
      <c r="P108" s="2" t="e">
        <f ca="1"/>
        <v>#N/A</v>
      </c>
      <c r="Q108" s="33" t="e">
        <f ca="1"/>
        <v>#N/A</v>
      </c>
      <c r="R108" s="33" t="e">
        <f ca="1"/>
        <v>#N/A</v>
      </c>
    </row>
    <row r="109" spans="1:18" x14ac:dyDescent="0.2">
      <c r="A109" s="2">
        <v>108</v>
      </c>
      <c r="B109" s="65">
        <v>45729</v>
      </c>
      <c r="C109" s="70">
        <v>0.31429398148148147</v>
      </c>
      <c r="D109" s="66" t="s">
        <v>98</v>
      </c>
      <c r="G109" s="66" t="s">
        <v>186</v>
      </c>
      <c r="H109" s="66" t="s">
        <v>100</v>
      </c>
      <c r="I109" s="33" t="str">
        <f ca="1"/>
        <v>24,89</v>
      </c>
      <c r="J109" s="2">
        <v>109</v>
      </c>
      <c r="K109" s="2" t="str">
        <v>No Match</v>
      </c>
      <c r="M109" s="33">
        <f ca="1"/>
        <v>24.89</v>
      </c>
      <c r="N109" s="2" t="e">
        <f ca="1"/>
        <v>#N/A</v>
      </c>
      <c r="O109" s="2" t="e">
        <f ca="1"/>
        <v>#N/A</v>
      </c>
      <c r="P109" s="2" t="e">
        <f ca="1"/>
        <v>#N/A</v>
      </c>
      <c r="Q109" s="33" t="e">
        <f ca="1"/>
        <v>#N/A</v>
      </c>
      <c r="R109" s="33" t="e">
        <f ca="1"/>
        <v>#N/A</v>
      </c>
    </row>
    <row r="110" spans="1:18" x14ac:dyDescent="0.2">
      <c r="A110" s="2">
        <v>109</v>
      </c>
      <c r="B110" s="65">
        <v>45729</v>
      </c>
      <c r="C110" s="70">
        <v>0.31432870370370369</v>
      </c>
      <c r="D110" s="66" t="s">
        <v>98</v>
      </c>
      <c r="G110" s="66" t="s">
        <v>203</v>
      </c>
      <c r="H110" s="66" t="s">
        <v>100</v>
      </c>
      <c r="I110" s="33" t="str">
        <f ca="1"/>
        <v>24,86</v>
      </c>
      <c r="J110" s="2">
        <v>110</v>
      </c>
      <c r="K110" s="2" t="str">
        <v>No Match</v>
      </c>
      <c r="M110" s="33">
        <f ca="1"/>
        <v>24.86</v>
      </c>
      <c r="N110" s="2" t="e">
        <f ca="1"/>
        <v>#N/A</v>
      </c>
      <c r="O110" s="2" t="e">
        <f ca="1"/>
        <v>#N/A</v>
      </c>
      <c r="P110" s="2" t="e">
        <f ca="1"/>
        <v>#N/A</v>
      </c>
      <c r="Q110" s="33" t="e">
        <f ca="1"/>
        <v>#N/A</v>
      </c>
      <c r="R110" s="33" t="e">
        <f ca="1"/>
        <v>#N/A</v>
      </c>
    </row>
    <row r="111" spans="1:18" x14ac:dyDescent="0.2">
      <c r="A111" s="2">
        <v>110</v>
      </c>
      <c r="B111" s="65">
        <v>45729</v>
      </c>
      <c r="C111" s="70">
        <v>0.31440972222222224</v>
      </c>
      <c r="D111" s="66" t="s">
        <v>98</v>
      </c>
      <c r="G111" s="66" t="s">
        <v>236</v>
      </c>
      <c r="H111" s="66" t="s">
        <v>100</v>
      </c>
      <c r="I111" s="33" t="str">
        <f ca="1"/>
        <v>24,72</v>
      </c>
      <c r="J111" s="2">
        <v>111</v>
      </c>
      <c r="K111" s="2" t="str">
        <v>No Match</v>
      </c>
      <c r="M111" s="33">
        <f ca="1"/>
        <v>24.72</v>
      </c>
      <c r="N111" s="2">
        <f ca="1"/>
        <v>25</v>
      </c>
      <c r="O111" s="2">
        <f ca="1"/>
        <v>24.625</v>
      </c>
      <c r="P111" s="2">
        <f ca="1"/>
        <v>25.375</v>
      </c>
      <c r="Q111" s="33">
        <f ca="1"/>
        <v>25.180545454545452</v>
      </c>
      <c r="R111" s="33">
        <f ca="1"/>
        <v>25.124000000000002</v>
      </c>
    </row>
    <row r="112" spans="1:18" x14ac:dyDescent="0.2">
      <c r="A112" s="2">
        <v>111</v>
      </c>
      <c r="B112" s="65">
        <v>45729</v>
      </c>
      <c r="C112" s="70">
        <v>0.31596064814814817</v>
      </c>
      <c r="D112" s="66" t="s">
        <v>98</v>
      </c>
      <c r="G112" s="66" t="s">
        <v>237</v>
      </c>
      <c r="H112" s="66" t="s">
        <v>100</v>
      </c>
      <c r="I112" s="33" t="str">
        <f ca="1"/>
        <v>24,85</v>
      </c>
      <c r="J112" s="2">
        <v>112</v>
      </c>
      <c r="K112" s="2" t="str">
        <v>No Match</v>
      </c>
      <c r="M112" s="33">
        <f ca="1"/>
        <v>24.85</v>
      </c>
      <c r="N112" s="2" t="e">
        <f ca="1"/>
        <v>#N/A</v>
      </c>
      <c r="O112" s="2" t="e">
        <f ca="1"/>
        <v>#N/A</v>
      </c>
      <c r="P112" s="2" t="e">
        <f ca="1"/>
        <v>#N/A</v>
      </c>
      <c r="Q112" s="33" t="e">
        <f ca="1"/>
        <v>#N/A</v>
      </c>
      <c r="R112" s="33" t="e">
        <f ca="1"/>
        <v>#N/A</v>
      </c>
    </row>
    <row r="113" spans="1:18" x14ac:dyDescent="0.2">
      <c r="A113" s="2">
        <v>112</v>
      </c>
      <c r="B113" s="65">
        <v>45729</v>
      </c>
      <c r="C113" s="70">
        <v>0.32233796296296297</v>
      </c>
      <c r="D113" s="66" t="s">
        <v>98</v>
      </c>
      <c r="G113" s="66" t="s">
        <v>104</v>
      </c>
      <c r="H113" s="66" t="s">
        <v>100</v>
      </c>
      <c r="I113" s="33" t="str">
        <f ca="1"/>
        <v>25,40</v>
      </c>
      <c r="J113" s="2">
        <v>113</v>
      </c>
      <c r="K113" s="2" t="str">
        <v>No Match</v>
      </c>
      <c r="M113" s="33">
        <f ca="1"/>
        <v>25.4</v>
      </c>
      <c r="N113" s="2" t="e">
        <f ca="1"/>
        <v>#N/A</v>
      </c>
      <c r="O113" s="2" t="e">
        <f ca="1"/>
        <v>#N/A</v>
      </c>
      <c r="P113" s="2" t="e">
        <f ca="1"/>
        <v>#N/A</v>
      </c>
      <c r="Q113" s="33" t="e">
        <f ca="1"/>
        <v>#N/A</v>
      </c>
      <c r="R113" s="33" t="e">
        <f ca="1"/>
        <v>#N/A</v>
      </c>
    </row>
    <row r="114" spans="1:18" x14ac:dyDescent="0.2">
      <c r="A114" s="2">
        <v>113</v>
      </c>
      <c r="B114" s="65">
        <v>45729</v>
      </c>
      <c r="C114" s="70">
        <v>0.32295138888888891</v>
      </c>
      <c r="D114" s="66" t="s">
        <v>98</v>
      </c>
      <c r="G114" s="66" t="s">
        <v>125</v>
      </c>
      <c r="H114" s="66" t="s">
        <v>100</v>
      </c>
      <c r="I114" s="33" t="str">
        <f ca="1"/>
        <v>25,20</v>
      </c>
      <c r="J114" s="2">
        <v>114</v>
      </c>
      <c r="K114" s="2" t="str">
        <v>No Match</v>
      </c>
      <c r="M114" s="33">
        <f ca="1"/>
        <v>25.2</v>
      </c>
      <c r="N114" s="2" t="e">
        <f ca="1"/>
        <v>#N/A</v>
      </c>
      <c r="O114" s="2" t="e">
        <f ca="1"/>
        <v>#N/A</v>
      </c>
      <c r="P114" s="2" t="e">
        <f ca="1"/>
        <v>#N/A</v>
      </c>
      <c r="Q114" s="33" t="e">
        <f ca="1"/>
        <v>#N/A</v>
      </c>
      <c r="R114" s="33" t="e">
        <f ca="1"/>
        <v>#N/A</v>
      </c>
    </row>
    <row r="115" spans="1:18" x14ac:dyDescent="0.2">
      <c r="A115" s="2">
        <v>114</v>
      </c>
      <c r="B115" s="65">
        <v>45729</v>
      </c>
      <c r="C115" s="70">
        <v>0.32716435185185183</v>
      </c>
      <c r="D115" s="66" t="s">
        <v>98</v>
      </c>
      <c r="G115" s="66" t="s">
        <v>116</v>
      </c>
      <c r="H115" s="66" t="s">
        <v>100</v>
      </c>
      <c r="I115" s="33" t="str">
        <f ca="1"/>
        <v>25,33</v>
      </c>
      <c r="J115" s="2">
        <v>115</v>
      </c>
      <c r="K115" s="2" t="str">
        <v>No Match</v>
      </c>
      <c r="M115" s="33">
        <f ca="1"/>
        <v>25.33</v>
      </c>
      <c r="N115" s="2" t="e">
        <f ca="1"/>
        <v>#N/A</v>
      </c>
      <c r="O115" s="2" t="e">
        <f ca="1"/>
        <v>#N/A</v>
      </c>
      <c r="P115" s="2" t="e">
        <f ca="1"/>
        <v>#N/A</v>
      </c>
      <c r="Q115" s="33" t="e">
        <f ca="1"/>
        <v>#N/A</v>
      </c>
      <c r="R115" s="33" t="e">
        <f ca="1"/>
        <v>#N/A</v>
      </c>
    </row>
    <row r="116" spans="1:18" x14ac:dyDescent="0.2">
      <c r="A116" s="2">
        <v>115</v>
      </c>
      <c r="B116" s="65">
        <v>45729</v>
      </c>
      <c r="C116" s="70">
        <v>0.33253472222222225</v>
      </c>
      <c r="D116" s="66" t="s">
        <v>98</v>
      </c>
      <c r="G116" s="66" t="s">
        <v>169</v>
      </c>
      <c r="H116" s="66" t="s">
        <v>100</v>
      </c>
      <c r="I116" s="33" t="str">
        <f ca="1"/>
        <v>25,11</v>
      </c>
      <c r="J116" s="2">
        <v>116</v>
      </c>
      <c r="K116" s="2" t="str">
        <v>No Match</v>
      </c>
      <c r="M116" s="33">
        <f ca="1"/>
        <v>25.11</v>
      </c>
      <c r="N116" s="2" t="e">
        <f ca="1"/>
        <v>#N/A</v>
      </c>
      <c r="O116" s="2" t="e">
        <f ca="1"/>
        <v>#N/A</v>
      </c>
      <c r="P116" s="2" t="e">
        <f ca="1"/>
        <v>#N/A</v>
      </c>
      <c r="Q116" s="33" t="e">
        <f ca="1"/>
        <v>#N/A</v>
      </c>
      <c r="R116" s="33" t="e">
        <f ca="1"/>
        <v>#N/A</v>
      </c>
    </row>
    <row r="117" spans="1:18" x14ac:dyDescent="0.2">
      <c r="A117" s="2">
        <v>116</v>
      </c>
      <c r="B117" s="65">
        <v>45729</v>
      </c>
      <c r="C117" s="70">
        <v>0.33314814814814814</v>
      </c>
      <c r="D117" s="66" t="s">
        <v>98</v>
      </c>
      <c r="G117" s="66" t="s">
        <v>135</v>
      </c>
      <c r="H117" s="66" t="s">
        <v>100</v>
      </c>
      <c r="I117" s="33" t="str">
        <f ca="1"/>
        <v>25,15</v>
      </c>
      <c r="J117" s="2">
        <v>117</v>
      </c>
      <c r="K117" s="2" t="str">
        <v>No Match</v>
      </c>
      <c r="M117" s="33">
        <f ca="1"/>
        <v>25.15</v>
      </c>
      <c r="N117" s="2" t="e">
        <f ca="1"/>
        <v>#N/A</v>
      </c>
      <c r="O117" s="2" t="e">
        <f ca="1"/>
        <v>#N/A</v>
      </c>
      <c r="P117" s="2" t="e">
        <f ca="1"/>
        <v>#N/A</v>
      </c>
      <c r="Q117" s="33" t="e">
        <f ca="1"/>
        <v>#N/A</v>
      </c>
      <c r="R117" s="33" t="e">
        <f ca="1"/>
        <v>#N/A</v>
      </c>
    </row>
    <row r="118" spans="1:18" x14ac:dyDescent="0.2">
      <c r="A118" s="2">
        <v>117</v>
      </c>
      <c r="B118" s="65">
        <v>45729</v>
      </c>
      <c r="C118" s="70">
        <v>0.33327546296296295</v>
      </c>
      <c r="D118" s="66" t="s">
        <v>98</v>
      </c>
      <c r="G118" s="66" t="s">
        <v>99</v>
      </c>
      <c r="H118" s="66" t="s">
        <v>100</v>
      </c>
      <c r="I118" s="33" t="str">
        <f ca="1"/>
        <v>25,16</v>
      </c>
      <c r="J118" s="2">
        <v>118</v>
      </c>
      <c r="K118" s="2" t="str">
        <v>No Match</v>
      </c>
      <c r="M118" s="33">
        <f ca="1"/>
        <v>25.16</v>
      </c>
      <c r="N118" s="2" t="e">
        <f ca="1"/>
        <v>#N/A</v>
      </c>
      <c r="O118" s="2" t="e">
        <f ca="1"/>
        <v>#N/A</v>
      </c>
      <c r="P118" s="2" t="e">
        <f ca="1"/>
        <v>#N/A</v>
      </c>
      <c r="Q118" s="33" t="e">
        <f ca="1"/>
        <v>#N/A</v>
      </c>
      <c r="R118" s="33" t="e">
        <f ca="1"/>
        <v>#N/A</v>
      </c>
    </row>
    <row r="119" spans="1:18" x14ac:dyDescent="0.2">
      <c r="A119" s="2">
        <v>118</v>
      </c>
      <c r="B119" s="65">
        <v>45729</v>
      </c>
      <c r="C119" s="70">
        <v>0.33332175925925928</v>
      </c>
      <c r="D119" s="66" t="s">
        <v>98</v>
      </c>
      <c r="G119" s="66" t="s">
        <v>136</v>
      </c>
      <c r="H119" s="66" t="s">
        <v>100</v>
      </c>
      <c r="I119" s="33" t="str">
        <f ca="1"/>
        <v>25,22</v>
      </c>
      <c r="J119" s="2">
        <v>119</v>
      </c>
      <c r="K119" s="2" t="str">
        <v>No Match</v>
      </c>
      <c r="M119" s="33">
        <f ca="1"/>
        <v>25.22</v>
      </c>
      <c r="N119" s="2" t="e">
        <f ca="1"/>
        <v>#N/A</v>
      </c>
      <c r="O119" s="2" t="e">
        <f ca="1"/>
        <v>#N/A</v>
      </c>
      <c r="P119" s="2" t="e">
        <f ca="1"/>
        <v>#N/A</v>
      </c>
      <c r="Q119" s="33" t="e">
        <f ca="1"/>
        <v>#N/A</v>
      </c>
      <c r="R119" s="33" t="e">
        <f ca="1"/>
        <v>#N/A</v>
      </c>
    </row>
    <row r="120" spans="1:18" x14ac:dyDescent="0.2">
      <c r="A120" s="2">
        <v>119</v>
      </c>
      <c r="B120" s="65">
        <v>45729</v>
      </c>
      <c r="C120" s="70">
        <v>0.33336805555555554</v>
      </c>
      <c r="D120" s="66" t="s">
        <v>98</v>
      </c>
      <c r="G120" s="66" t="s">
        <v>140</v>
      </c>
      <c r="H120" s="66" t="s">
        <v>100</v>
      </c>
      <c r="I120" s="33" t="str">
        <f ca="1"/>
        <v>25,10</v>
      </c>
      <c r="J120" s="2">
        <v>120</v>
      </c>
      <c r="K120" s="2" t="str">
        <v>No Match</v>
      </c>
      <c r="M120" s="33">
        <f ca="1"/>
        <v>25.1</v>
      </c>
      <c r="N120" s="2" t="e">
        <f ca="1"/>
        <v>#N/A</v>
      </c>
      <c r="O120" s="2" t="e">
        <f ca="1"/>
        <v>#N/A</v>
      </c>
      <c r="P120" s="2" t="e">
        <f ca="1"/>
        <v>#N/A</v>
      </c>
      <c r="Q120" s="33" t="e">
        <f ca="1"/>
        <v>#N/A</v>
      </c>
      <c r="R120" s="33" t="e">
        <f ca="1"/>
        <v>#N/A</v>
      </c>
    </row>
    <row r="121" spans="1:18" x14ac:dyDescent="0.2">
      <c r="A121" s="2">
        <v>120</v>
      </c>
      <c r="B121" s="65">
        <v>45729</v>
      </c>
      <c r="C121" s="70">
        <v>0.33416666666666667</v>
      </c>
      <c r="D121" s="66" t="s">
        <v>98</v>
      </c>
      <c r="G121" s="66" t="s">
        <v>116</v>
      </c>
      <c r="H121" s="66" t="s">
        <v>100</v>
      </c>
      <c r="I121" s="33" t="str">
        <f ca="1"/>
        <v>25,33</v>
      </c>
      <c r="J121" s="2">
        <v>121</v>
      </c>
      <c r="K121" s="2" t="str">
        <v>No Match</v>
      </c>
      <c r="M121" s="33">
        <f ca="1"/>
        <v>25.33</v>
      </c>
      <c r="N121" s="2">
        <f ca="1"/>
        <v>25</v>
      </c>
      <c r="O121" s="2">
        <f ca="1"/>
        <v>24.625</v>
      </c>
      <c r="P121" s="2">
        <f ca="1"/>
        <v>25.375</v>
      </c>
      <c r="Q121" s="33">
        <f ca="1"/>
        <v>25.180916666666658</v>
      </c>
      <c r="R121" s="33">
        <f ca="1"/>
        <v>25.184999999999995</v>
      </c>
    </row>
    <row r="122" spans="1:18" x14ac:dyDescent="0.2">
      <c r="A122" s="2">
        <v>121</v>
      </c>
      <c r="B122" s="65">
        <v>45729</v>
      </c>
      <c r="C122" s="70">
        <v>0.33456018518518521</v>
      </c>
      <c r="D122" s="66" t="s">
        <v>98</v>
      </c>
      <c r="G122" s="66" t="s">
        <v>120</v>
      </c>
      <c r="H122" s="66" t="s">
        <v>100</v>
      </c>
      <c r="I122" s="33" t="str">
        <f ca="1"/>
        <v>25,34</v>
      </c>
      <c r="J122" s="2">
        <v>122</v>
      </c>
      <c r="K122" s="2" t="str">
        <v>No Match</v>
      </c>
      <c r="M122" s="33">
        <f ca="1"/>
        <v>25.34</v>
      </c>
      <c r="N122" s="2" t="e">
        <f ca="1"/>
        <v>#N/A</v>
      </c>
      <c r="O122" s="2" t="e">
        <f ca="1"/>
        <v>#N/A</v>
      </c>
      <c r="P122" s="2" t="e">
        <f ca="1"/>
        <v>#N/A</v>
      </c>
      <c r="Q122" s="33" t="e">
        <f ca="1"/>
        <v>#N/A</v>
      </c>
      <c r="R122" s="33" t="e">
        <f ca="1"/>
        <v>#N/A</v>
      </c>
    </row>
    <row r="123" spans="1:18" x14ac:dyDescent="0.2">
      <c r="A123" s="2">
        <v>122</v>
      </c>
      <c r="B123" s="65">
        <v>45729</v>
      </c>
      <c r="C123" s="70">
        <v>0.33460648148148148</v>
      </c>
      <c r="D123" s="66" t="s">
        <v>98</v>
      </c>
      <c r="G123" s="66" t="s">
        <v>138</v>
      </c>
      <c r="H123" s="66" t="s">
        <v>100</v>
      </c>
      <c r="I123" s="33" t="str">
        <f ca="1"/>
        <v>25,32</v>
      </c>
      <c r="J123" s="2">
        <v>123</v>
      </c>
      <c r="K123" s="2" t="str">
        <v>No Match</v>
      </c>
      <c r="M123" s="33">
        <f ca="1"/>
        <v>25.32</v>
      </c>
      <c r="N123" s="2" t="e">
        <f ca="1"/>
        <v>#N/A</v>
      </c>
      <c r="O123" s="2" t="e">
        <f ca="1"/>
        <v>#N/A</v>
      </c>
      <c r="P123" s="2" t="e">
        <f ca="1"/>
        <v>#N/A</v>
      </c>
      <c r="Q123" s="33" t="e">
        <f ca="1"/>
        <v>#N/A</v>
      </c>
      <c r="R123" s="33" t="e">
        <f ca="1"/>
        <v>#N/A</v>
      </c>
    </row>
    <row r="124" spans="1:18" x14ac:dyDescent="0.2">
      <c r="A124" s="2">
        <v>123</v>
      </c>
      <c r="B124" s="65">
        <v>45729</v>
      </c>
      <c r="C124" s="70">
        <v>0.33662037037037035</v>
      </c>
      <c r="D124" s="66" t="s">
        <v>98</v>
      </c>
      <c r="G124" s="66" t="s">
        <v>237</v>
      </c>
      <c r="H124" s="66" t="s">
        <v>100</v>
      </c>
      <c r="I124" s="33" t="str">
        <f ca="1"/>
        <v>24,85</v>
      </c>
      <c r="J124" s="2">
        <v>124</v>
      </c>
      <c r="K124" s="2" t="str">
        <v>No Match</v>
      </c>
      <c r="M124" s="33">
        <f ca="1"/>
        <v>24.85</v>
      </c>
      <c r="N124" s="2" t="e">
        <f ca="1"/>
        <v>#N/A</v>
      </c>
      <c r="O124" s="2" t="e">
        <f ca="1"/>
        <v>#N/A</v>
      </c>
      <c r="P124" s="2" t="e">
        <f ca="1"/>
        <v>#N/A</v>
      </c>
      <c r="Q124" s="33" t="e">
        <f ca="1"/>
        <v>#N/A</v>
      </c>
      <c r="R124" s="33" t="e">
        <f ca="1"/>
        <v>#N/A</v>
      </c>
    </row>
    <row r="125" spans="1:18" x14ac:dyDescent="0.2">
      <c r="A125" s="2">
        <v>124</v>
      </c>
      <c r="B125" s="65">
        <v>45729</v>
      </c>
      <c r="C125" s="70">
        <v>0.3370023148148148</v>
      </c>
      <c r="D125" s="66" t="s">
        <v>98</v>
      </c>
      <c r="G125" s="66" t="s">
        <v>136</v>
      </c>
      <c r="H125" s="66" t="s">
        <v>100</v>
      </c>
      <c r="I125" s="33" t="str">
        <f ca="1"/>
        <v>25,22</v>
      </c>
      <c r="J125" s="2">
        <v>125</v>
      </c>
      <c r="K125" s="2" t="str">
        <v>No Match</v>
      </c>
      <c r="M125" s="33">
        <f ca="1"/>
        <v>25.22</v>
      </c>
      <c r="N125" s="2" t="e">
        <f ca="1"/>
        <v>#N/A</v>
      </c>
      <c r="O125" s="2" t="e">
        <f ca="1"/>
        <v>#N/A</v>
      </c>
      <c r="P125" s="2" t="e">
        <f ca="1"/>
        <v>#N/A</v>
      </c>
      <c r="Q125" s="33" t="e">
        <f ca="1"/>
        <v>#N/A</v>
      </c>
      <c r="R125" s="33" t="e">
        <f ca="1"/>
        <v>#N/A</v>
      </c>
    </row>
    <row r="126" spans="1:18" x14ac:dyDescent="0.2">
      <c r="A126" s="2">
        <v>125</v>
      </c>
      <c r="B126" s="65">
        <v>45729</v>
      </c>
      <c r="C126" s="70">
        <v>0.34715277777777775</v>
      </c>
      <c r="D126" s="66" t="s">
        <v>98</v>
      </c>
      <c r="G126" s="66" t="s">
        <v>237</v>
      </c>
      <c r="H126" s="66" t="s">
        <v>100</v>
      </c>
      <c r="I126" s="33" t="str">
        <f ca="1"/>
        <v>24,85</v>
      </c>
      <c r="J126" s="2">
        <v>126</v>
      </c>
      <c r="K126" s="2" t="str">
        <v>No Match</v>
      </c>
      <c r="M126" s="33">
        <f ca="1"/>
        <v>24.85</v>
      </c>
      <c r="N126" s="2" t="e">
        <f ca="1"/>
        <v>#N/A</v>
      </c>
      <c r="O126" s="2" t="e">
        <f ca="1"/>
        <v>#N/A</v>
      </c>
      <c r="P126" s="2" t="e">
        <f ca="1"/>
        <v>#N/A</v>
      </c>
      <c r="Q126" s="33" t="e">
        <f ca="1"/>
        <v>#N/A</v>
      </c>
      <c r="R126" s="33" t="e">
        <f ca="1"/>
        <v>#N/A</v>
      </c>
    </row>
    <row r="127" spans="1:18" x14ac:dyDescent="0.2">
      <c r="A127" s="2">
        <v>126</v>
      </c>
      <c r="B127" s="65">
        <v>45729</v>
      </c>
      <c r="C127" s="70">
        <v>0.34718749999999998</v>
      </c>
      <c r="D127" s="66" t="s">
        <v>98</v>
      </c>
      <c r="G127" s="66" t="s">
        <v>103</v>
      </c>
      <c r="H127" s="66" t="s">
        <v>100</v>
      </c>
      <c r="I127" s="33" t="str">
        <f ca="1"/>
        <v>24,97</v>
      </c>
      <c r="J127" s="2">
        <v>127</v>
      </c>
      <c r="K127" s="2" t="str">
        <v>No Match</v>
      </c>
      <c r="M127" s="33">
        <f ca="1"/>
        <v>24.97</v>
      </c>
      <c r="N127" s="2" t="e">
        <f ca="1"/>
        <v>#N/A</v>
      </c>
      <c r="O127" s="2" t="e">
        <f ca="1"/>
        <v>#N/A</v>
      </c>
      <c r="P127" s="2" t="e">
        <f ca="1"/>
        <v>#N/A</v>
      </c>
      <c r="Q127" s="33" t="e">
        <f ca="1"/>
        <v>#N/A</v>
      </c>
      <c r="R127" s="33" t="e">
        <f ca="1"/>
        <v>#N/A</v>
      </c>
    </row>
    <row r="128" spans="1:18" x14ac:dyDescent="0.2">
      <c r="A128" s="2">
        <v>127</v>
      </c>
      <c r="B128" s="65">
        <v>45729</v>
      </c>
      <c r="C128" s="70">
        <v>0.34847222222222224</v>
      </c>
      <c r="D128" s="66" t="s">
        <v>98</v>
      </c>
      <c r="G128" s="66" t="s">
        <v>128</v>
      </c>
      <c r="H128" s="66" t="s">
        <v>100</v>
      </c>
      <c r="I128" s="33" t="str">
        <f ca="1"/>
        <v>25,23</v>
      </c>
      <c r="J128" s="2">
        <v>128</v>
      </c>
      <c r="K128" s="2" t="str">
        <v>No Match</v>
      </c>
      <c r="M128" s="33">
        <f ca="1"/>
        <v>25.23</v>
      </c>
      <c r="N128" s="2" t="e">
        <f ca="1"/>
        <v>#N/A</v>
      </c>
      <c r="O128" s="2" t="e">
        <f ca="1"/>
        <v>#N/A</v>
      </c>
      <c r="P128" s="2" t="e">
        <f ca="1"/>
        <v>#N/A</v>
      </c>
      <c r="Q128" s="33" t="e">
        <f ca="1"/>
        <v>#N/A</v>
      </c>
      <c r="R128" s="33" t="e">
        <f ca="1"/>
        <v>#N/A</v>
      </c>
    </row>
    <row r="129" spans="1:18" x14ac:dyDescent="0.2">
      <c r="A129" s="2">
        <v>128</v>
      </c>
      <c r="B129" s="65">
        <v>45729</v>
      </c>
      <c r="C129" s="70">
        <v>0.34850694444444447</v>
      </c>
      <c r="D129" s="66" t="s">
        <v>98</v>
      </c>
      <c r="G129" s="66" t="s">
        <v>136</v>
      </c>
      <c r="H129" s="66" t="s">
        <v>100</v>
      </c>
      <c r="I129" s="33" t="str">
        <f ca="1"/>
        <v>25,22</v>
      </c>
      <c r="J129" s="2">
        <v>129</v>
      </c>
      <c r="K129" s="2" t="str">
        <v>No Match</v>
      </c>
      <c r="M129" s="33">
        <f ca="1"/>
        <v>25.22</v>
      </c>
      <c r="N129" s="2" t="e">
        <f ca="1"/>
        <v>#N/A</v>
      </c>
      <c r="O129" s="2" t="e">
        <f ca="1"/>
        <v>#N/A</v>
      </c>
      <c r="P129" s="2" t="e">
        <f ca="1"/>
        <v>#N/A</v>
      </c>
      <c r="Q129" s="33" t="e">
        <f ca="1"/>
        <v>#N/A</v>
      </c>
      <c r="R129" s="33" t="e">
        <f ca="1"/>
        <v>#N/A</v>
      </c>
    </row>
    <row r="130" spans="1:18" x14ac:dyDescent="0.2">
      <c r="A130" s="2">
        <v>129</v>
      </c>
      <c r="B130" s="65">
        <v>45729</v>
      </c>
      <c r="C130" s="70">
        <v>0.34854166666666669</v>
      </c>
      <c r="D130" s="66" t="s">
        <v>98</v>
      </c>
      <c r="G130" s="66" t="s">
        <v>128</v>
      </c>
      <c r="H130" s="66" t="s">
        <v>100</v>
      </c>
      <c r="I130" s="33" t="str">
        <f ca="1"/>
        <v>25,23</v>
      </c>
      <c r="J130" s="2">
        <v>130</v>
      </c>
      <c r="K130" s="2" t="str">
        <v>No Match</v>
      </c>
      <c r="M130" s="33">
        <f ca="1"/>
        <v>25.23</v>
      </c>
      <c r="N130" s="2" t="e">
        <f ca="1"/>
        <v>#N/A</v>
      </c>
      <c r="O130" s="2" t="e">
        <f ca="1"/>
        <v>#N/A</v>
      </c>
      <c r="P130" s="2" t="e">
        <f ca="1"/>
        <v>#N/A</v>
      </c>
      <c r="Q130" s="33" t="e">
        <f ca="1"/>
        <v>#N/A</v>
      </c>
      <c r="R130" s="33" t="e">
        <f ca="1"/>
        <v>#N/A</v>
      </c>
    </row>
    <row r="131" spans="1:18" x14ac:dyDescent="0.2">
      <c r="A131" s="2">
        <v>130</v>
      </c>
      <c r="B131" s="65">
        <v>45729</v>
      </c>
      <c r="C131" s="70">
        <v>0.34944444444444445</v>
      </c>
      <c r="D131" s="66" t="s">
        <v>98</v>
      </c>
      <c r="G131" s="66" t="s">
        <v>190</v>
      </c>
      <c r="H131" s="66" t="s">
        <v>100</v>
      </c>
      <c r="I131" s="33" t="str">
        <f ca="1"/>
        <v>25,19</v>
      </c>
      <c r="J131" s="2">
        <v>131</v>
      </c>
      <c r="K131" s="2" t="str">
        <v>No Match</v>
      </c>
      <c r="M131" s="33">
        <f ca="1"/>
        <v>25.19</v>
      </c>
      <c r="N131" s="2">
        <f ca="1"/>
        <v>25</v>
      </c>
      <c r="O131" s="2">
        <f ca="1"/>
        <v>24.625</v>
      </c>
      <c r="P131" s="2">
        <f ca="1"/>
        <v>25.375</v>
      </c>
      <c r="Q131" s="33">
        <f ca="1"/>
        <v>25.177923076923069</v>
      </c>
      <c r="R131" s="33">
        <f ca="1"/>
        <v>25.141999999999996</v>
      </c>
    </row>
    <row r="132" spans="1:18" x14ac:dyDescent="0.2">
      <c r="A132" s="2">
        <v>131</v>
      </c>
      <c r="B132" s="65">
        <v>45729</v>
      </c>
      <c r="C132" s="70">
        <v>0.34947916666666667</v>
      </c>
      <c r="D132" s="66" t="s">
        <v>98</v>
      </c>
      <c r="G132" s="66" t="s">
        <v>176</v>
      </c>
      <c r="H132" s="66" t="s">
        <v>100</v>
      </c>
      <c r="I132" s="33" t="str">
        <f ca="1"/>
        <v>25,18</v>
      </c>
      <c r="J132" s="2">
        <v>132</v>
      </c>
      <c r="K132" s="2" t="str">
        <v>No Match</v>
      </c>
      <c r="M132" s="33">
        <f ca="1"/>
        <v>25.18</v>
      </c>
      <c r="N132" s="2" t="e">
        <f ca="1"/>
        <v>#N/A</v>
      </c>
      <c r="O132" s="2" t="e">
        <f ca="1"/>
        <v>#N/A</v>
      </c>
      <c r="P132" s="2" t="e">
        <f ca="1"/>
        <v>#N/A</v>
      </c>
      <c r="Q132" s="33" t="e">
        <f ca="1"/>
        <v>#N/A</v>
      </c>
      <c r="R132" s="33" t="e">
        <f ca="1"/>
        <v>#N/A</v>
      </c>
    </row>
    <row r="133" spans="1:18" x14ac:dyDescent="0.2">
      <c r="A133" s="2">
        <v>132</v>
      </c>
      <c r="B133" s="65">
        <v>45729</v>
      </c>
      <c r="C133" s="70">
        <v>0.35577546296296297</v>
      </c>
      <c r="D133" s="66" t="s">
        <v>98</v>
      </c>
      <c r="G133" s="66" t="s">
        <v>124</v>
      </c>
      <c r="H133" s="66" t="s">
        <v>100</v>
      </c>
      <c r="I133" s="33" t="str">
        <f ca="1"/>
        <v>25,09</v>
      </c>
      <c r="J133" s="2">
        <v>133</v>
      </c>
      <c r="K133" s="2" t="str">
        <v>No Match</v>
      </c>
      <c r="M133" s="33">
        <f ca="1"/>
        <v>25.09</v>
      </c>
      <c r="N133" s="2" t="e">
        <f ca="1"/>
        <v>#N/A</v>
      </c>
      <c r="O133" s="2" t="e">
        <f ca="1"/>
        <v>#N/A</v>
      </c>
      <c r="P133" s="2" t="e">
        <f ca="1"/>
        <v>#N/A</v>
      </c>
      <c r="Q133" s="33" t="e">
        <f ca="1"/>
        <v>#N/A</v>
      </c>
      <c r="R133" s="33" t="e">
        <f ca="1"/>
        <v>#N/A</v>
      </c>
    </row>
    <row r="134" spans="1:18" x14ac:dyDescent="0.2">
      <c r="A134" s="2">
        <v>133</v>
      </c>
      <c r="B134" s="65">
        <v>45729</v>
      </c>
      <c r="C134" s="70">
        <v>0.36226851851851855</v>
      </c>
      <c r="D134" s="66" t="s">
        <v>98</v>
      </c>
      <c r="G134" s="66" t="s">
        <v>120</v>
      </c>
      <c r="H134" s="66" t="s">
        <v>100</v>
      </c>
      <c r="I134" s="33" t="str">
        <f ca="1"/>
        <v>25,34</v>
      </c>
      <c r="J134" s="2">
        <v>134</v>
      </c>
      <c r="K134" s="2" t="str">
        <v>No Match</v>
      </c>
      <c r="M134" s="33">
        <f ca="1"/>
        <v>25.34</v>
      </c>
      <c r="N134" s="2" t="e">
        <f ca="1"/>
        <v>#N/A</v>
      </c>
      <c r="O134" s="2" t="e">
        <f ca="1"/>
        <v>#N/A</v>
      </c>
      <c r="P134" s="2" t="e">
        <f ca="1"/>
        <v>#N/A</v>
      </c>
      <c r="Q134" s="33" t="e">
        <f ca="1"/>
        <v>#N/A</v>
      </c>
      <c r="R134" s="33" t="e">
        <f ca="1"/>
        <v>#N/A</v>
      </c>
    </row>
    <row r="135" spans="1:18" x14ac:dyDescent="0.2">
      <c r="A135" s="2">
        <v>134</v>
      </c>
      <c r="B135" s="65">
        <v>45729</v>
      </c>
      <c r="C135" s="70">
        <v>0.36734953703703704</v>
      </c>
      <c r="D135" s="66" t="s">
        <v>98</v>
      </c>
      <c r="G135" s="66" t="s">
        <v>214</v>
      </c>
      <c r="H135" s="66" t="s">
        <v>100</v>
      </c>
      <c r="I135" s="33" t="str">
        <f ca="1"/>
        <v>24,91</v>
      </c>
      <c r="J135" s="2">
        <v>135</v>
      </c>
      <c r="K135" s="2" t="str">
        <v>No Match</v>
      </c>
      <c r="M135" s="33">
        <f ca="1"/>
        <v>24.91</v>
      </c>
      <c r="N135" s="2" t="e">
        <f ca="1"/>
        <v>#N/A</v>
      </c>
      <c r="O135" s="2" t="e">
        <f ca="1"/>
        <v>#N/A</v>
      </c>
      <c r="P135" s="2" t="e">
        <f ca="1"/>
        <v>#N/A</v>
      </c>
      <c r="Q135" s="33" t="e">
        <f ca="1"/>
        <v>#N/A</v>
      </c>
      <c r="R135" s="33" t="e">
        <f ca="1"/>
        <v>#N/A</v>
      </c>
    </row>
    <row r="136" spans="1:18" x14ac:dyDescent="0.2">
      <c r="A136" s="2">
        <v>135</v>
      </c>
      <c r="B136" s="65">
        <v>45729</v>
      </c>
      <c r="C136" s="70">
        <v>0.36738425925925927</v>
      </c>
      <c r="D136" s="66" t="s">
        <v>98</v>
      </c>
      <c r="G136" s="66" t="s">
        <v>102</v>
      </c>
      <c r="H136" s="66" t="s">
        <v>100</v>
      </c>
      <c r="I136" s="33" t="str">
        <f ca="1"/>
        <v>25,06</v>
      </c>
      <c r="J136" s="2">
        <v>136</v>
      </c>
      <c r="K136" s="2" t="str">
        <v>No Match</v>
      </c>
      <c r="M136" s="33">
        <f ca="1"/>
        <v>25.06</v>
      </c>
      <c r="N136" s="2" t="e">
        <f ca="1"/>
        <v>#N/A</v>
      </c>
      <c r="O136" s="2" t="e">
        <f ca="1"/>
        <v>#N/A</v>
      </c>
      <c r="P136" s="2" t="e">
        <f ca="1"/>
        <v>#N/A</v>
      </c>
      <c r="Q136" s="33" t="e">
        <f ca="1"/>
        <v>#N/A</v>
      </c>
      <c r="R136" s="33" t="e">
        <f ca="1"/>
        <v>#N/A</v>
      </c>
    </row>
    <row r="137" spans="1:18" x14ac:dyDescent="0.2">
      <c r="A137" s="2">
        <v>136</v>
      </c>
      <c r="B137" s="65">
        <v>45729</v>
      </c>
      <c r="C137" s="70">
        <v>0.36758101851851854</v>
      </c>
      <c r="D137" s="66" t="s">
        <v>98</v>
      </c>
      <c r="G137" s="66" t="s">
        <v>214</v>
      </c>
      <c r="H137" s="66" t="s">
        <v>100</v>
      </c>
      <c r="I137" s="33" t="str">
        <f ca="1"/>
        <v>24,91</v>
      </c>
      <c r="J137" s="2">
        <v>137</v>
      </c>
      <c r="K137" s="2" t="str">
        <v>No Match</v>
      </c>
      <c r="M137" s="33">
        <f ca="1"/>
        <v>24.91</v>
      </c>
      <c r="N137" s="2" t="e">
        <f ca="1"/>
        <v>#N/A</v>
      </c>
      <c r="O137" s="2" t="e">
        <f ca="1"/>
        <v>#N/A</v>
      </c>
      <c r="P137" s="2" t="e">
        <f ca="1"/>
        <v>#N/A</v>
      </c>
      <c r="Q137" s="33" t="e">
        <f ca="1"/>
        <v>#N/A</v>
      </c>
      <c r="R137" s="33" t="e">
        <f ca="1"/>
        <v>#N/A</v>
      </c>
    </row>
    <row r="138" spans="1:18" x14ac:dyDescent="0.2">
      <c r="A138" s="2">
        <v>137</v>
      </c>
      <c r="B138" s="65">
        <v>45729</v>
      </c>
      <c r="C138" s="70">
        <v>0.3677199074074074</v>
      </c>
      <c r="D138" s="66" t="s">
        <v>98</v>
      </c>
      <c r="G138" s="66" t="s">
        <v>188</v>
      </c>
      <c r="H138" s="66" t="s">
        <v>100</v>
      </c>
      <c r="I138" s="33" t="str">
        <f ca="1"/>
        <v>24,68</v>
      </c>
      <c r="J138" s="2">
        <v>138</v>
      </c>
      <c r="K138" s="2" t="str">
        <v>No Match</v>
      </c>
      <c r="M138" s="33">
        <f ca="1"/>
        <v>24.68</v>
      </c>
      <c r="N138" s="2" t="e">
        <f ca="1"/>
        <v>#N/A</v>
      </c>
      <c r="O138" s="2" t="e">
        <f ca="1"/>
        <v>#N/A</v>
      </c>
      <c r="P138" s="2" t="e">
        <f ca="1"/>
        <v>#N/A</v>
      </c>
      <c r="Q138" s="33" t="e">
        <f ca="1"/>
        <v>#N/A</v>
      </c>
      <c r="R138" s="33" t="e">
        <f ca="1"/>
        <v>#N/A</v>
      </c>
    </row>
    <row r="139" spans="1:18" x14ac:dyDescent="0.2">
      <c r="A139" s="2">
        <v>138</v>
      </c>
      <c r="B139" s="65">
        <v>45729</v>
      </c>
      <c r="C139" s="70">
        <v>0.37232638888888892</v>
      </c>
      <c r="D139" s="66" t="s">
        <v>98</v>
      </c>
      <c r="G139" s="66" t="s">
        <v>222</v>
      </c>
      <c r="H139" s="66" t="s">
        <v>100</v>
      </c>
      <c r="I139" s="33" t="str">
        <f ca="1"/>
        <v>25,82</v>
      </c>
      <c r="J139" s="2">
        <v>139</v>
      </c>
      <c r="K139" s="2" t="str">
        <v>No Match</v>
      </c>
      <c r="M139" s="33">
        <f ca="1"/>
        <v>25.82</v>
      </c>
      <c r="N139" s="2" t="e">
        <f ca="1"/>
        <v>#N/A</v>
      </c>
      <c r="O139" s="2" t="e">
        <f ca="1"/>
        <v>#N/A</v>
      </c>
      <c r="P139" s="2" t="e">
        <f ca="1"/>
        <v>#N/A</v>
      </c>
      <c r="Q139" s="33" t="e">
        <f ca="1"/>
        <v>#N/A</v>
      </c>
      <c r="R139" s="33" t="e">
        <f ca="1"/>
        <v>#N/A</v>
      </c>
    </row>
    <row r="140" spans="1:18" x14ac:dyDescent="0.2">
      <c r="A140" s="2">
        <v>139</v>
      </c>
      <c r="B140" s="65">
        <v>45729</v>
      </c>
      <c r="C140" s="70">
        <v>0.37239583333333331</v>
      </c>
      <c r="D140" s="66" t="s">
        <v>98</v>
      </c>
      <c r="G140" s="66" t="s">
        <v>193</v>
      </c>
      <c r="H140" s="66" t="s">
        <v>100</v>
      </c>
      <c r="I140" s="33" t="str">
        <f ca="1"/>
        <v>25,81</v>
      </c>
      <c r="J140" s="2">
        <v>140</v>
      </c>
      <c r="K140" s="2" t="str">
        <v>No Match</v>
      </c>
      <c r="M140" s="33">
        <f ca="1"/>
        <v>25.81</v>
      </c>
      <c r="N140" s="2" t="e">
        <f ca="1"/>
        <v>#N/A</v>
      </c>
      <c r="O140" s="2" t="e">
        <f ca="1"/>
        <v>#N/A</v>
      </c>
      <c r="P140" s="2" t="e">
        <f ca="1"/>
        <v>#N/A</v>
      </c>
      <c r="Q140" s="33" t="e">
        <f ca="1"/>
        <v>#N/A</v>
      </c>
      <c r="R140" s="33" t="e">
        <f ca="1"/>
        <v>#N/A</v>
      </c>
    </row>
    <row r="141" spans="1:18" x14ac:dyDescent="0.2">
      <c r="A141" s="2">
        <v>140</v>
      </c>
      <c r="B141" s="65">
        <v>45729</v>
      </c>
      <c r="C141" s="70">
        <v>0.37244212962962964</v>
      </c>
      <c r="D141" s="66" t="s">
        <v>98</v>
      </c>
      <c r="G141" s="66" t="s">
        <v>185</v>
      </c>
      <c r="H141" s="66" t="s">
        <v>100</v>
      </c>
      <c r="I141" s="33" t="str">
        <f ca="1"/>
        <v>25,69</v>
      </c>
      <c r="J141" s="2">
        <v>141</v>
      </c>
      <c r="K141" s="2" t="str">
        <v>No Match</v>
      </c>
      <c r="M141" s="33">
        <f ca="1"/>
        <v>25.69</v>
      </c>
      <c r="N141" s="2">
        <f ca="1"/>
        <v>25</v>
      </c>
      <c r="O141" s="2">
        <f ca="1"/>
        <v>24.625</v>
      </c>
      <c r="P141" s="2">
        <f ca="1"/>
        <v>25.375</v>
      </c>
      <c r="Q141" s="33">
        <f ca="1"/>
        <v>25.182999999999989</v>
      </c>
      <c r="R141" s="33">
        <f ca="1"/>
        <v>25.249000000000002</v>
      </c>
    </row>
    <row r="142" spans="1:18" x14ac:dyDescent="0.2">
      <c r="A142" s="2">
        <v>141</v>
      </c>
      <c r="B142" s="65">
        <v>45729</v>
      </c>
      <c r="C142" s="70">
        <v>0.3932060185185185</v>
      </c>
      <c r="D142" s="66" t="s">
        <v>98</v>
      </c>
      <c r="G142" s="66" t="s">
        <v>108</v>
      </c>
      <c r="H142" s="66" t="s">
        <v>100</v>
      </c>
      <c r="I142" s="33" t="str">
        <f ca="1"/>
        <v>24,96</v>
      </c>
      <c r="J142" s="2">
        <v>142</v>
      </c>
      <c r="K142" s="2" t="str">
        <v>No Match</v>
      </c>
      <c r="M142" s="33">
        <f ca="1"/>
        <v>24.96</v>
      </c>
      <c r="N142" s="2" t="e">
        <f ca="1"/>
        <v>#N/A</v>
      </c>
      <c r="O142" s="2" t="e">
        <f ca="1"/>
        <v>#N/A</v>
      </c>
      <c r="P142" s="2" t="e">
        <f ca="1"/>
        <v>#N/A</v>
      </c>
      <c r="Q142" s="33" t="e">
        <f ca="1"/>
        <v>#N/A</v>
      </c>
      <c r="R142" s="33" t="e">
        <f ca="1"/>
        <v>#N/A</v>
      </c>
    </row>
    <row r="143" spans="1:18" x14ac:dyDescent="0.2">
      <c r="A143" s="2">
        <v>142</v>
      </c>
      <c r="B143" s="65">
        <v>45729</v>
      </c>
      <c r="C143" s="70">
        <v>0.39336805555555554</v>
      </c>
      <c r="D143" s="66" t="s">
        <v>98</v>
      </c>
      <c r="G143" s="66" t="s">
        <v>214</v>
      </c>
      <c r="H143" s="66" t="s">
        <v>100</v>
      </c>
      <c r="I143" s="33" t="str">
        <f ca="1"/>
        <v>24,91</v>
      </c>
      <c r="J143" s="2">
        <v>143</v>
      </c>
      <c r="K143" s="2" t="str">
        <v>No Match</v>
      </c>
      <c r="M143" s="33">
        <f ca="1"/>
        <v>24.91</v>
      </c>
      <c r="N143" s="2" t="e">
        <f ca="1"/>
        <v>#N/A</v>
      </c>
      <c r="O143" s="2" t="e">
        <f ca="1"/>
        <v>#N/A</v>
      </c>
      <c r="P143" s="2" t="e">
        <f ca="1"/>
        <v>#N/A</v>
      </c>
      <c r="Q143" s="33" t="e">
        <f ca="1"/>
        <v>#N/A</v>
      </c>
      <c r="R143" s="33" t="e">
        <f ca="1"/>
        <v>#N/A</v>
      </c>
    </row>
    <row r="144" spans="1:18" x14ac:dyDescent="0.2">
      <c r="A144" s="2">
        <v>143</v>
      </c>
      <c r="B144" s="65">
        <v>45729</v>
      </c>
      <c r="C144" s="70">
        <v>0.39359953703703704</v>
      </c>
      <c r="D144" s="66" t="s">
        <v>98</v>
      </c>
      <c r="G144" s="66" t="s">
        <v>194</v>
      </c>
      <c r="H144" s="66" t="s">
        <v>100</v>
      </c>
      <c r="I144" s="33" t="str">
        <f ca="1"/>
        <v>25,94</v>
      </c>
      <c r="J144" s="2">
        <v>144</v>
      </c>
      <c r="K144" s="2" t="str">
        <v>No Match</v>
      </c>
      <c r="M144" s="33">
        <f ca="1"/>
        <v>25.94</v>
      </c>
      <c r="N144" s="2" t="e">
        <f ca="1"/>
        <v>#N/A</v>
      </c>
      <c r="O144" s="2" t="e">
        <f ca="1"/>
        <v>#N/A</v>
      </c>
      <c r="P144" s="2" t="e">
        <f ca="1"/>
        <v>#N/A</v>
      </c>
      <c r="Q144" s="33" t="e">
        <f ca="1"/>
        <v>#N/A</v>
      </c>
      <c r="R144" s="33" t="e">
        <f ca="1"/>
        <v>#N/A</v>
      </c>
    </row>
    <row r="145" spans="1:18" x14ac:dyDescent="0.2">
      <c r="A145" s="2">
        <v>144</v>
      </c>
      <c r="B145" s="65">
        <v>45729</v>
      </c>
      <c r="C145" s="70">
        <v>0.39481481481481484</v>
      </c>
      <c r="D145" s="66" t="s">
        <v>98</v>
      </c>
      <c r="G145" s="66" t="s">
        <v>140</v>
      </c>
      <c r="H145" s="66" t="s">
        <v>100</v>
      </c>
      <c r="I145" s="33" t="str">
        <f ca="1"/>
        <v>25,10</v>
      </c>
      <c r="J145" s="2">
        <v>145</v>
      </c>
      <c r="K145" s="2" t="str">
        <v>No Match</v>
      </c>
      <c r="M145" s="33">
        <f ca="1"/>
        <v>25.1</v>
      </c>
      <c r="N145" s="2" t="e">
        <f ca="1"/>
        <v>#N/A</v>
      </c>
      <c r="O145" s="2" t="e">
        <f ca="1"/>
        <v>#N/A</v>
      </c>
      <c r="P145" s="2" t="e">
        <f ca="1"/>
        <v>#N/A</v>
      </c>
      <c r="Q145" s="33" t="e">
        <f ca="1"/>
        <v>#N/A</v>
      </c>
      <c r="R145" s="33" t="e">
        <f ca="1"/>
        <v>#N/A</v>
      </c>
    </row>
    <row r="146" spans="1:18" x14ac:dyDescent="0.2">
      <c r="A146" s="2">
        <v>145</v>
      </c>
      <c r="B146" s="65">
        <v>45729</v>
      </c>
      <c r="C146" s="70">
        <v>0.39484953703703701</v>
      </c>
      <c r="D146" s="66" t="s">
        <v>98</v>
      </c>
      <c r="G146" s="66" t="s">
        <v>190</v>
      </c>
      <c r="H146" s="66" t="s">
        <v>100</v>
      </c>
      <c r="I146" s="33" t="str">
        <f ca="1"/>
        <v>25,19</v>
      </c>
      <c r="J146" s="2">
        <v>146</v>
      </c>
      <c r="K146" s="2" t="str">
        <v>No Match</v>
      </c>
      <c r="M146" s="33">
        <f ca="1"/>
        <v>25.19</v>
      </c>
      <c r="N146" s="2" t="e">
        <f ca="1"/>
        <v>#N/A</v>
      </c>
      <c r="O146" s="2" t="e">
        <f ca="1"/>
        <v>#N/A</v>
      </c>
      <c r="P146" s="2" t="e">
        <f ca="1"/>
        <v>#N/A</v>
      </c>
      <c r="Q146" s="33" t="e">
        <f ca="1"/>
        <v>#N/A</v>
      </c>
      <c r="R146" s="33" t="e">
        <f ca="1"/>
        <v>#N/A</v>
      </c>
    </row>
    <row r="147" spans="1:18" x14ac:dyDescent="0.2">
      <c r="A147" s="2">
        <v>146</v>
      </c>
      <c r="B147" s="65">
        <v>45729</v>
      </c>
      <c r="C147" s="70">
        <v>0.39488425925925924</v>
      </c>
      <c r="D147" s="66" t="s">
        <v>98</v>
      </c>
      <c r="G147" s="66" t="s">
        <v>142</v>
      </c>
      <c r="H147" s="66" t="s">
        <v>100</v>
      </c>
      <c r="I147" s="33" t="str">
        <f ca="1"/>
        <v>25,03</v>
      </c>
      <c r="J147" s="2">
        <v>147</v>
      </c>
      <c r="K147" s="2" t="str">
        <v>No Match</v>
      </c>
      <c r="M147" s="33">
        <f ca="1"/>
        <v>25.03</v>
      </c>
      <c r="N147" s="2" t="e">
        <f ca="1"/>
        <v>#N/A</v>
      </c>
      <c r="O147" s="2" t="e">
        <f ca="1"/>
        <v>#N/A</v>
      </c>
      <c r="P147" s="2" t="e">
        <f ca="1"/>
        <v>#N/A</v>
      </c>
      <c r="Q147" s="33" t="e">
        <f ca="1"/>
        <v>#N/A</v>
      </c>
      <c r="R147" s="33" t="e">
        <f ca="1"/>
        <v>#N/A</v>
      </c>
    </row>
    <row r="148" spans="1:18" x14ac:dyDescent="0.2">
      <c r="A148" s="2">
        <v>147</v>
      </c>
      <c r="B148" s="65">
        <v>45729</v>
      </c>
      <c r="C148" s="70">
        <v>0.39493055555555556</v>
      </c>
      <c r="D148" s="66" t="s">
        <v>98</v>
      </c>
      <c r="G148" s="66" t="s">
        <v>125</v>
      </c>
      <c r="H148" s="66" t="s">
        <v>100</v>
      </c>
      <c r="I148" s="33" t="str">
        <f ca="1"/>
        <v>25,20</v>
      </c>
      <c r="J148" s="2">
        <v>148</v>
      </c>
      <c r="K148" s="2" t="str">
        <v>No Match</v>
      </c>
      <c r="M148" s="33">
        <f ca="1"/>
        <v>25.2</v>
      </c>
      <c r="N148" s="2" t="e">
        <f ca="1"/>
        <v>#N/A</v>
      </c>
      <c r="O148" s="2" t="e">
        <f ca="1"/>
        <v>#N/A</v>
      </c>
      <c r="P148" s="2" t="e">
        <f ca="1"/>
        <v>#N/A</v>
      </c>
      <c r="Q148" s="33" t="e">
        <f ca="1"/>
        <v>#N/A</v>
      </c>
      <c r="R148" s="33" t="e">
        <f ca="1"/>
        <v>#N/A</v>
      </c>
    </row>
    <row r="149" spans="1:18" x14ac:dyDescent="0.2">
      <c r="A149" s="2">
        <v>148</v>
      </c>
      <c r="B149" s="65">
        <v>45729</v>
      </c>
      <c r="C149" s="70">
        <v>0.39496527777777779</v>
      </c>
      <c r="D149" s="66" t="s">
        <v>98</v>
      </c>
      <c r="G149" s="66" t="s">
        <v>147</v>
      </c>
      <c r="H149" s="66" t="s">
        <v>100</v>
      </c>
      <c r="I149" s="33" t="str">
        <f ca="1"/>
        <v>25,00</v>
      </c>
      <c r="J149" s="2">
        <v>149</v>
      </c>
      <c r="K149" s="2" t="str">
        <v>No Match</v>
      </c>
      <c r="M149" s="33">
        <f ca="1"/>
        <v>25</v>
      </c>
      <c r="N149" s="2" t="e">
        <f ca="1"/>
        <v>#N/A</v>
      </c>
      <c r="O149" s="2" t="e">
        <f ca="1"/>
        <v>#N/A</v>
      </c>
      <c r="P149" s="2" t="e">
        <f ca="1"/>
        <v>#N/A</v>
      </c>
      <c r="Q149" s="33" t="e">
        <f ca="1"/>
        <v>#N/A</v>
      </c>
      <c r="R149" s="33" t="e">
        <f ca="1"/>
        <v>#N/A</v>
      </c>
    </row>
    <row r="150" spans="1:18" x14ac:dyDescent="0.2">
      <c r="A150" s="2">
        <v>149</v>
      </c>
      <c r="B150" s="65">
        <v>45729</v>
      </c>
      <c r="C150" s="70">
        <v>0.39709490740740738</v>
      </c>
      <c r="D150" s="66" t="s">
        <v>98</v>
      </c>
      <c r="G150" s="66" t="s">
        <v>169</v>
      </c>
      <c r="H150" s="66" t="s">
        <v>100</v>
      </c>
      <c r="I150" s="33" t="str">
        <f ca="1"/>
        <v>25,11</v>
      </c>
      <c r="J150" s="2">
        <v>150</v>
      </c>
      <c r="K150" s="2" t="str">
        <v>No Match</v>
      </c>
      <c r="M150" s="33">
        <f ca="1"/>
        <v>25.11</v>
      </c>
      <c r="N150" s="2" t="e">
        <f ca="1"/>
        <v>#N/A</v>
      </c>
      <c r="O150" s="2" t="e">
        <f ca="1"/>
        <v>#N/A</v>
      </c>
      <c r="P150" s="2" t="e">
        <f ca="1"/>
        <v>#N/A</v>
      </c>
      <c r="Q150" s="33" t="e">
        <f ca="1"/>
        <v>#N/A</v>
      </c>
      <c r="R150" s="33" t="e">
        <f ca="1"/>
        <v>#N/A</v>
      </c>
    </row>
    <row r="151" spans="1:18" x14ac:dyDescent="0.2">
      <c r="A151" s="2">
        <v>150</v>
      </c>
      <c r="B151" s="65">
        <v>45729</v>
      </c>
      <c r="C151" s="70">
        <v>0.39870370370370373</v>
      </c>
      <c r="D151" s="66" t="s">
        <v>98</v>
      </c>
      <c r="G151" s="66" t="s">
        <v>209</v>
      </c>
      <c r="H151" s="66" t="s">
        <v>100</v>
      </c>
      <c r="I151" s="33" t="str">
        <f ca="1"/>
        <v>24,95</v>
      </c>
      <c r="J151" s="2">
        <v>151</v>
      </c>
      <c r="K151" s="2" t="str">
        <v>No Match</v>
      </c>
      <c r="M151" s="33">
        <f ca="1"/>
        <v>24.95</v>
      </c>
      <c r="N151" s="2">
        <f ca="1"/>
        <v>25</v>
      </c>
      <c r="O151" s="2">
        <f ca="1"/>
        <v>24.625</v>
      </c>
      <c r="P151" s="2">
        <f ca="1"/>
        <v>25.375</v>
      </c>
      <c r="Q151" s="33">
        <f ca="1"/>
        <v>25.180066666666654</v>
      </c>
      <c r="R151" s="33">
        <f ca="1"/>
        <v>25.138999999999999</v>
      </c>
    </row>
    <row r="152" spans="1:18" x14ac:dyDescent="0.2">
      <c r="A152" s="2">
        <v>151</v>
      </c>
      <c r="B152" s="65">
        <v>45729</v>
      </c>
      <c r="C152" s="70">
        <v>0.39876157407407409</v>
      </c>
      <c r="D152" s="66" t="s">
        <v>98</v>
      </c>
      <c r="G152" s="66" t="s">
        <v>109</v>
      </c>
      <c r="H152" s="66" t="s">
        <v>100</v>
      </c>
      <c r="I152" s="33" t="str">
        <f ca="1"/>
        <v>24,88</v>
      </c>
      <c r="J152" s="2">
        <v>152</v>
      </c>
      <c r="K152" s="2" t="str">
        <v>No Match</v>
      </c>
      <c r="M152" s="33">
        <f ca="1"/>
        <v>24.88</v>
      </c>
      <c r="N152" s="2" t="e">
        <f ca="1"/>
        <v>#N/A</v>
      </c>
      <c r="O152" s="2" t="e">
        <f ca="1"/>
        <v>#N/A</v>
      </c>
      <c r="P152" s="2" t="e">
        <f ca="1"/>
        <v>#N/A</v>
      </c>
      <c r="Q152" s="33" t="e">
        <f ca="1"/>
        <v>#N/A</v>
      </c>
      <c r="R152" s="33" t="e">
        <f ca="1"/>
        <v>#N/A</v>
      </c>
    </row>
    <row r="153" spans="1:18" x14ac:dyDescent="0.2">
      <c r="A153" s="2">
        <v>152</v>
      </c>
      <c r="B153" s="65">
        <v>45729</v>
      </c>
      <c r="C153" s="70">
        <v>0.40266203703703701</v>
      </c>
      <c r="D153" s="66" t="s">
        <v>98</v>
      </c>
      <c r="G153" s="66" t="s">
        <v>176</v>
      </c>
      <c r="H153" s="66" t="s">
        <v>100</v>
      </c>
      <c r="I153" s="33" t="str">
        <f ca="1"/>
        <v>25,18</v>
      </c>
      <c r="J153" s="2">
        <v>153</v>
      </c>
      <c r="K153" s="2" t="str">
        <v>No Match</v>
      </c>
      <c r="M153" s="33">
        <f ca="1"/>
        <v>25.18</v>
      </c>
      <c r="N153" s="2" t="e">
        <f ca="1"/>
        <v>#N/A</v>
      </c>
      <c r="O153" s="2" t="e">
        <f ca="1"/>
        <v>#N/A</v>
      </c>
      <c r="P153" s="2" t="e">
        <f ca="1"/>
        <v>#N/A</v>
      </c>
      <c r="Q153" s="33" t="e">
        <f ca="1"/>
        <v>#N/A</v>
      </c>
      <c r="R153" s="33" t="e">
        <f ca="1"/>
        <v>#N/A</v>
      </c>
    </row>
    <row r="154" spans="1:18" x14ac:dyDescent="0.2">
      <c r="A154" s="2">
        <v>153</v>
      </c>
      <c r="B154" s="65">
        <v>45729</v>
      </c>
      <c r="C154" s="70">
        <v>0.40275462962962966</v>
      </c>
      <c r="D154" s="66" t="s">
        <v>98</v>
      </c>
      <c r="G154" s="66" t="s">
        <v>207</v>
      </c>
      <c r="H154" s="66" t="s">
        <v>100</v>
      </c>
      <c r="I154" s="33" t="str">
        <f ca="1"/>
        <v>25,07</v>
      </c>
      <c r="J154" s="2">
        <v>154</v>
      </c>
      <c r="K154" s="2" t="str">
        <v>No Match</v>
      </c>
      <c r="M154" s="33">
        <f ca="1"/>
        <v>25.07</v>
      </c>
      <c r="N154" s="2" t="e">
        <f ca="1"/>
        <v>#N/A</v>
      </c>
      <c r="O154" s="2" t="e">
        <f ca="1"/>
        <v>#N/A</v>
      </c>
      <c r="P154" s="2" t="e">
        <f ca="1"/>
        <v>#N/A</v>
      </c>
      <c r="Q154" s="33" t="e">
        <f ca="1"/>
        <v>#N/A</v>
      </c>
      <c r="R154" s="33" t="e">
        <f ca="1"/>
        <v>#N/A</v>
      </c>
    </row>
    <row r="155" spans="1:18" x14ac:dyDescent="0.2">
      <c r="A155" s="2">
        <v>154</v>
      </c>
      <c r="B155" s="65">
        <v>45729</v>
      </c>
      <c r="C155" s="70">
        <v>0.40513888888888888</v>
      </c>
      <c r="D155" s="66" t="s">
        <v>98</v>
      </c>
      <c r="G155" s="66" t="s">
        <v>230</v>
      </c>
      <c r="H155" s="66" t="s">
        <v>100</v>
      </c>
      <c r="I155" s="33" t="str">
        <f ca="1"/>
        <v>24,44</v>
      </c>
      <c r="J155" s="2">
        <v>155</v>
      </c>
      <c r="K155" s="2" t="str">
        <v>No Match</v>
      </c>
      <c r="M155" s="33">
        <f ca="1"/>
        <v>24.44</v>
      </c>
      <c r="N155" s="2" t="e">
        <f ca="1"/>
        <v>#N/A</v>
      </c>
      <c r="O155" s="2" t="e">
        <f ca="1"/>
        <v>#N/A</v>
      </c>
      <c r="P155" s="2" t="e">
        <f ca="1"/>
        <v>#N/A</v>
      </c>
      <c r="Q155" s="33" t="e">
        <f ca="1"/>
        <v>#N/A</v>
      </c>
      <c r="R155" s="33" t="e">
        <f ca="1"/>
        <v>#N/A</v>
      </c>
    </row>
    <row r="156" spans="1:18" x14ac:dyDescent="0.2">
      <c r="A156" s="2">
        <v>155</v>
      </c>
      <c r="B156" s="65">
        <v>45729</v>
      </c>
      <c r="C156" s="70">
        <v>0.40733796296296299</v>
      </c>
      <c r="D156" s="66" t="s">
        <v>98</v>
      </c>
      <c r="G156" s="66" t="s">
        <v>111</v>
      </c>
      <c r="H156" s="66" t="s">
        <v>100</v>
      </c>
      <c r="I156" s="33" t="str">
        <f ca="1"/>
        <v>25,44</v>
      </c>
      <c r="J156" s="2">
        <v>156</v>
      </c>
      <c r="K156" s="2" t="str">
        <v>No Match</v>
      </c>
      <c r="M156" s="33">
        <f ca="1"/>
        <v>25.44</v>
      </c>
      <c r="N156" s="2" t="e">
        <f ca="1"/>
        <v>#N/A</v>
      </c>
      <c r="O156" s="2" t="e">
        <f ca="1"/>
        <v>#N/A</v>
      </c>
      <c r="P156" s="2" t="e">
        <f ca="1"/>
        <v>#N/A</v>
      </c>
      <c r="Q156" s="33" t="e">
        <f ca="1"/>
        <v>#N/A</v>
      </c>
      <c r="R156" s="33" t="e">
        <f ca="1"/>
        <v>#N/A</v>
      </c>
    </row>
    <row r="157" spans="1:18" x14ac:dyDescent="0.2">
      <c r="A157" s="2">
        <v>156</v>
      </c>
      <c r="B157" s="65">
        <v>45729</v>
      </c>
      <c r="C157" s="70">
        <v>0.40969907407407408</v>
      </c>
      <c r="D157" s="66" t="s">
        <v>98</v>
      </c>
      <c r="G157" s="66" t="s">
        <v>195</v>
      </c>
      <c r="H157" s="66" t="s">
        <v>100</v>
      </c>
      <c r="I157" s="33" t="str">
        <f ca="1"/>
        <v>25,60</v>
      </c>
      <c r="J157" s="2">
        <v>157</v>
      </c>
      <c r="K157" s="2" t="str">
        <v>No Match</v>
      </c>
      <c r="M157" s="33">
        <f ca="1"/>
        <v>25.6</v>
      </c>
      <c r="N157" s="2" t="e">
        <f ca="1"/>
        <v>#N/A</v>
      </c>
      <c r="O157" s="2" t="e">
        <f ca="1"/>
        <v>#N/A</v>
      </c>
      <c r="P157" s="2" t="e">
        <f ca="1"/>
        <v>#N/A</v>
      </c>
      <c r="Q157" s="33" t="e">
        <f ca="1"/>
        <v>#N/A</v>
      </c>
      <c r="R157" s="33" t="e">
        <f ca="1"/>
        <v>#N/A</v>
      </c>
    </row>
    <row r="158" spans="1:18" x14ac:dyDescent="0.2">
      <c r="A158" s="2">
        <v>157</v>
      </c>
      <c r="B158" s="65">
        <v>45729</v>
      </c>
      <c r="C158" s="70">
        <v>0.40975694444444444</v>
      </c>
      <c r="D158" s="66" t="s">
        <v>98</v>
      </c>
      <c r="G158" s="66" t="s">
        <v>175</v>
      </c>
      <c r="H158" s="66" t="s">
        <v>100</v>
      </c>
      <c r="I158" s="33" t="str">
        <f ca="1"/>
        <v>25,58</v>
      </c>
      <c r="J158" s="2">
        <v>158</v>
      </c>
      <c r="K158" s="2" t="str">
        <v>No Match</v>
      </c>
      <c r="M158" s="33">
        <f ca="1"/>
        <v>25.58</v>
      </c>
      <c r="N158" s="2" t="e">
        <f ca="1"/>
        <v>#N/A</v>
      </c>
      <c r="O158" s="2" t="e">
        <f ca="1"/>
        <v>#N/A</v>
      </c>
      <c r="P158" s="2" t="e">
        <f ca="1"/>
        <v>#N/A</v>
      </c>
      <c r="Q158" s="33" t="e">
        <f ca="1"/>
        <v>#N/A</v>
      </c>
      <c r="R158" s="33" t="e">
        <f ca="1"/>
        <v>#N/A</v>
      </c>
    </row>
    <row r="159" spans="1:18" x14ac:dyDescent="0.2">
      <c r="A159" s="2">
        <v>158</v>
      </c>
      <c r="B159" s="65">
        <v>45729</v>
      </c>
      <c r="C159" s="70">
        <v>0.40986111111111112</v>
      </c>
      <c r="D159" s="66" t="s">
        <v>98</v>
      </c>
      <c r="G159" s="66" t="s">
        <v>141</v>
      </c>
      <c r="H159" s="66" t="s">
        <v>100</v>
      </c>
      <c r="I159" s="33" t="str">
        <f ca="1"/>
        <v>25,50</v>
      </c>
      <c r="J159" s="2">
        <v>159</v>
      </c>
      <c r="K159" s="2" t="str">
        <v>No Match</v>
      </c>
      <c r="M159" s="33">
        <f ca="1"/>
        <v>25.5</v>
      </c>
      <c r="N159" s="2" t="e">
        <f ca="1"/>
        <v>#N/A</v>
      </c>
      <c r="O159" s="2" t="e">
        <f ca="1"/>
        <v>#N/A</v>
      </c>
      <c r="P159" s="2" t="e">
        <f ca="1"/>
        <v>#N/A</v>
      </c>
      <c r="Q159" s="33" t="e">
        <f ca="1"/>
        <v>#N/A</v>
      </c>
      <c r="R159" s="33" t="e">
        <f ca="1"/>
        <v>#N/A</v>
      </c>
    </row>
    <row r="160" spans="1:18" x14ac:dyDescent="0.2">
      <c r="A160" s="2">
        <v>159</v>
      </c>
      <c r="B160" s="65">
        <v>45729</v>
      </c>
      <c r="C160" s="70">
        <v>0.41166666666666668</v>
      </c>
      <c r="D160" s="66" t="s">
        <v>98</v>
      </c>
      <c r="G160" s="66" t="s">
        <v>153</v>
      </c>
      <c r="H160" s="66" t="s">
        <v>100</v>
      </c>
      <c r="I160" s="33" t="str">
        <f ca="1"/>
        <v>25,71</v>
      </c>
      <c r="J160" s="2">
        <v>160</v>
      </c>
      <c r="K160" s="2" t="str">
        <v>No Match</v>
      </c>
      <c r="M160" s="33">
        <f ca="1"/>
        <v>25.71</v>
      </c>
      <c r="N160" s="2" t="e">
        <f ca="1"/>
        <v>#N/A</v>
      </c>
      <c r="O160" s="2" t="e">
        <f ca="1"/>
        <v>#N/A</v>
      </c>
      <c r="P160" s="2" t="e">
        <f ca="1"/>
        <v>#N/A</v>
      </c>
      <c r="Q160" s="33" t="e">
        <f ca="1"/>
        <v>#N/A</v>
      </c>
      <c r="R160" s="33" t="e">
        <f ca="1"/>
        <v>#N/A</v>
      </c>
    </row>
    <row r="161" spans="1:18" x14ac:dyDescent="0.2">
      <c r="A161" s="2">
        <v>160</v>
      </c>
      <c r="B161" s="65">
        <v>45729</v>
      </c>
      <c r="C161" s="70">
        <v>0.41711805555555553</v>
      </c>
      <c r="D161" s="66" t="s">
        <v>98</v>
      </c>
      <c r="G161" s="66" t="s">
        <v>143</v>
      </c>
      <c r="H161" s="66" t="s">
        <v>100</v>
      </c>
      <c r="I161" s="33" t="str">
        <f ca="1"/>
        <v>25,53</v>
      </c>
      <c r="J161" s="2">
        <v>161</v>
      </c>
      <c r="K161" s="2" t="str">
        <v>No Match</v>
      </c>
      <c r="M161" s="33">
        <f ca="1"/>
        <v>25.53</v>
      </c>
      <c r="N161" s="2">
        <f ca="1"/>
        <v>25</v>
      </c>
      <c r="O161" s="2">
        <f ca="1"/>
        <v>24.625</v>
      </c>
      <c r="P161" s="2">
        <f ca="1"/>
        <v>25.375</v>
      </c>
      <c r="Q161" s="33">
        <f ca="1"/>
        <v>25.187124999999991</v>
      </c>
      <c r="R161" s="33">
        <f ca="1"/>
        <v>25.292999999999999</v>
      </c>
    </row>
    <row r="162" spans="1:18" x14ac:dyDescent="0.2">
      <c r="A162" s="2">
        <v>161</v>
      </c>
      <c r="B162" s="65">
        <v>45729</v>
      </c>
      <c r="C162" s="70">
        <v>0.41961805555555554</v>
      </c>
      <c r="D162" s="66" t="s">
        <v>98</v>
      </c>
      <c r="G162" s="66" t="s">
        <v>182</v>
      </c>
      <c r="H162" s="66" t="s">
        <v>100</v>
      </c>
      <c r="I162" s="33" t="str">
        <f ca="1"/>
        <v>25,29</v>
      </c>
      <c r="J162" s="2">
        <v>162</v>
      </c>
      <c r="K162" s="2" t="str">
        <v>No Match</v>
      </c>
      <c r="M162" s="33">
        <f ca="1"/>
        <v>25.29</v>
      </c>
      <c r="N162" s="2" t="e">
        <f ca="1"/>
        <v>#N/A</v>
      </c>
      <c r="O162" s="2" t="e">
        <f ca="1"/>
        <v>#N/A</v>
      </c>
      <c r="P162" s="2" t="e">
        <f ca="1"/>
        <v>#N/A</v>
      </c>
      <c r="Q162" s="33" t="e">
        <f ca="1"/>
        <v>#N/A</v>
      </c>
      <c r="R162" s="33" t="e">
        <f ca="1"/>
        <v>#N/A</v>
      </c>
    </row>
    <row r="163" spans="1:18" x14ac:dyDescent="0.2">
      <c r="A163" s="2">
        <v>162</v>
      </c>
      <c r="B163" s="65">
        <v>45729</v>
      </c>
      <c r="C163" s="70">
        <v>0.42978009259259259</v>
      </c>
      <c r="D163" s="66" t="s">
        <v>98</v>
      </c>
      <c r="G163" s="66" t="s">
        <v>155</v>
      </c>
      <c r="H163" s="66" t="s">
        <v>100</v>
      </c>
      <c r="I163" s="33" t="str">
        <f ca="1"/>
        <v>25,49</v>
      </c>
      <c r="J163" s="2">
        <v>163</v>
      </c>
      <c r="K163" s="2" t="str">
        <v>No Match</v>
      </c>
      <c r="M163" s="33">
        <f ca="1"/>
        <v>25.49</v>
      </c>
      <c r="N163" s="2" t="e">
        <f ca="1"/>
        <v>#N/A</v>
      </c>
      <c r="O163" s="2" t="e">
        <f ca="1"/>
        <v>#N/A</v>
      </c>
      <c r="P163" s="2" t="e">
        <f ca="1"/>
        <v>#N/A</v>
      </c>
      <c r="Q163" s="33" t="e">
        <f ca="1"/>
        <v>#N/A</v>
      </c>
      <c r="R163" s="33" t="e">
        <f ca="1"/>
        <v>#N/A</v>
      </c>
    </row>
    <row r="164" spans="1:18" x14ac:dyDescent="0.2">
      <c r="A164" s="2">
        <v>163</v>
      </c>
      <c r="B164" s="65">
        <v>45729</v>
      </c>
      <c r="C164" s="70">
        <v>0.43152777777777779</v>
      </c>
      <c r="D164" s="66" t="s">
        <v>98</v>
      </c>
      <c r="G164" s="66" t="s">
        <v>226</v>
      </c>
      <c r="H164" s="66" t="s">
        <v>100</v>
      </c>
      <c r="I164" s="33" t="str">
        <f ca="1"/>
        <v>25,68</v>
      </c>
      <c r="J164" s="2">
        <v>164</v>
      </c>
      <c r="K164" s="2" t="str">
        <v>No Match</v>
      </c>
      <c r="M164" s="33">
        <f ca="1"/>
        <v>25.68</v>
      </c>
      <c r="N164" s="2" t="e">
        <f ca="1"/>
        <v>#N/A</v>
      </c>
      <c r="O164" s="2" t="e">
        <f ca="1"/>
        <v>#N/A</v>
      </c>
      <c r="P164" s="2" t="e">
        <f ca="1"/>
        <v>#N/A</v>
      </c>
      <c r="Q164" s="33" t="e">
        <f ca="1"/>
        <v>#N/A</v>
      </c>
      <c r="R164" s="33" t="e">
        <f ca="1"/>
        <v>#N/A</v>
      </c>
    </row>
    <row r="165" spans="1:18" x14ac:dyDescent="0.2">
      <c r="A165" s="2">
        <v>164</v>
      </c>
      <c r="B165" s="65">
        <v>45729</v>
      </c>
      <c r="C165" s="70">
        <v>0.43427083333333333</v>
      </c>
      <c r="D165" s="66" t="s">
        <v>98</v>
      </c>
      <c r="G165" s="66" t="s">
        <v>146</v>
      </c>
      <c r="H165" s="66" t="s">
        <v>100</v>
      </c>
      <c r="I165" s="33" t="str">
        <f ca="1"/>
        <v>25,37</v>
      </c>
      <c r="J165" s="2">
        <v>165</v>
      </c>
      <c r="K165" s="2" t="str">
        <v>No Match</v>
      </c>
      <c r="M165" s="33">
        <f ca="1"/>
        <v>25.37</v>
      </c>
      <c r="N165" s="2" t="e">
        <f ca="1"/>
        <v>#N/A</v>
      </c>
      <c r="O165" s="2" t="e">
        <f ca="1"/>
        <v>#N/A</v>
      </c>
      <c r="P165" s="2" t="e">
        <f ca="1"/>
        <v>#N/A</v>
      </c>
      <c r="Q165" s="33" t="e">
        <f ca="1"/>
        <v>#N/A</v>
      </c>
      <c r="R165" s="33" t="e">
        <f ca="1"/>
        <v>#N/A</v>
      </c>
    </row>
    <row r="166" spans="1:18" x14ac:dyDescent="0.2">
      <c r="A166" s="2">
        <v>165</v>
      </c>
      <c r="B166" s="65">
        <v>45729</v>
      </c>
      <c r="C166" s="70">
        <v>0.43429398148148146</v>
      </c>
      <c r="D166" s="66" t="s">
        <v>98</v>
      </c>
      <c r="G166" s="66" t="s">
        <v>112</v>
      </c>
      <c r="H166" s="66" t="s">
        <v>100</v>
      </c>
      <c r="I166" s="33" t="str">
        <f ca="1"/>
        <v>25,36</v>
      </c>
      <c r="J166" s="2">
        <v>166</v>
      </c>
      <c r="K166" s="2" t="str">
        <v>No Match</v>
      </c>
      <c r="M166" s="33">
        <f ca="1"/>
        <v>25.36</v>
      </c>
      <c r="N166" s="2" t="e">
        <f ca="1"/>
        <v>#N/A</v>
      </c>
      <c r="O166" s="2" t="e">
        <f ca="1"/>
        <v>#N/A</v>
      </c>
      <c r="P166" s="2" t="e">
        <f ca="1"/>
        <v>#N/A</v>
      </c>
      <c r="Q166" s="33" t="e">
        <f ca="1"/>
        <v>#N/A</v>
      </c>
      <c r="R166" s="33" t="e">
        <f ca="1"/>
        <v>#N/A</v>
      </c>
    </row>
    <row r="167" spans="1:18" x14ac:dyDescent="0.2">
      <c r="A167" s="2">
        <v>166</v>
      </c>
      <c r="B167" s="65">
        <v>45729</v>
      </c>
      <c r="C167" s="70">
        <v>0.43435185185185188</v>
      </c>
      <c r="D167" s="66" t="s">
        <v>98</v>
      </c>
      <c r="G167" s="66" t="s">
        <v>120</v>
      </c>
      <c r="H167" s="66" t="s">
        <v>100</v>
      </c>
      <c r="I167" s="33" t="str">
        <f ca="1"/>
        <v>25,34</v>
      </c>
      <c r="J167" s="2">
        <v>167</v>
      </c>
      <c r="K167" s="2" t="str">
        <v>No Match</v>
      </c>
      <c r="M167" s="33">
        <f ca="1"/>
        <v>25.34</v>
      </c>
      <c r="N167" s="2" t="e">
        <f ca="1"/>
        <v>#N/A</v>
      </c>
      <c r="O167" s="2" t="e">
        <f ca="1"/>
        <v>#N/A</v>
      </c>
      <c r="P167" s="2" t="e">
        <f ca="1"/>
        <v>#N/A</v>
      </c>
      <c r="Q167" s="33" t="e">
        <f ca="1"/>
        <v>#N/A</v>
      </c>
      <c r="R167" s="33" t="e">
        <f ca="1"/>
        <v>#N/A</v>
      </c>
    </row>
    <row r="168" spans="1:18" x14ac:dyDescent="0.2">
      <c r="A168" s="2">
        <v>167</v>
      </c>
      <c r="B168" s="65">
        <v>45729</v>
      </c>
      <c r="C168" s="70">
        <v>0.43488425925925928</v>
      </c>
      <c r="D168" s="66" t="s">
        <v>98</v>
      </c>
      <c r="G168" s="66" t="s">
        <v>143</v>
      </c>
      <c r="H168" s="66" t="s">
        <v>100</v>
      </c>
      <c r="I168" s="33" t="str">
        <f ca="1"/>
        <v>25,53</v>
      </c>
      <c r="J168" s="2">
        <v>168</v>
      </c>
      <c r="K168" s="2" t="str">
        <v>No Match</v>
      </c>
      <c r="M168" s="33">
        <f ca="1"/>
        <v>25.53</v>
      </c>
      <c r="N168" s="2" t="e">
        <f ca="1"/>
        <v>#N/A</v>
      </c>
      <c r="O168" s="2" t="e">
        <f ca="1"/>
        <v>#N/A</v>
      </c>
      <c r="P168" s="2" t="e">
        <f ca="1"/>
        <v>#N/A</v>
      </c>
      <c r="Q168" s="33" t="e">
        <f ca="1"/>
        <v>#N/A</v>
      </c>
      <c r="R168" s="33" t="e">
        <f ca="1"/>
        <v>#N/A</v>
      </c>
    </row>
    <row r="169" spans="1:18" x14ac:dyDescent="0.2">
      <c r="A169" s="2">
        <v>168</v>
      </c>
      <c r="B169" s="65">
        <v>45729</v>
      </c>
      <c r="C169" s="70">
        <v>0.43495370370370373</v>
      </c>
      <c r="D169" s="66" t="s">
        <v>98</v>
      </c>
      <c r="G169" s="66" t="s">
        <v>101</v>
      </c>
      <c r="H169" s="66" t="s">
        <v>100</v>
      </c>
      <c r="I169" s="33" t="str">
        <f ca="1"/>
        <v>25,64</v>
      </c>
      <c r="J169" s="2">
        <v>169</v>
      </c>
      <c r="K169" s="2" t="str">
        <v>No Match</v>
      </c>
      <c r="M169" s="33">
        <f ca="1"/>
        <v>25.64</v>
      </c>
      <c r="N169" s="2" t="e">
        <f ca="1"/>
        <v>#N/A</v>
      </c>
      <c r="O169" s="2" t="e">
        <f ca="1"/>
        <v>#N/A</v>
      </c>
      <c r="P169" s="2" t="e">
        <f ca="1"/>
        <v>#N/A</v>
      </c>
      <c r="Q169" s="33" t="e">
        <f ca="1"/>
        <v>#N/A</v>
      </c>
      <c r="R169" s="33" t="e">
        <f ca="1"/>
        <v>#N/A</v>
      </c>
    </row>
    <row r="170" spans="1:18" x14ac:dyDescent="0.2">
      <c r="A170" s="2">
        <v>169</v>
      </c>
      <c r="B170" s="65">
        <v>45729</v>
      </c>
      <c r="C170" s="70">
        <v>0.43528935185185186</v>
      </c>
      <c r="D170" s="66" t="s">
        <v>98</v>
      </c>
      <c r="G170" s="66" t="s">
        <v>227</v>
      </c>
      <c r="H170" s="66" t="s">
        <v>100</v>
      </c>
      <c r="I170" s="33" t="str">
        <f ca="1"/>
        <v>24,70</v>
      </c>
      <c r="J170" s="2">
        <v>170</v>
      </c>
      <c r="K170" s="2" t="str">
        <v>No Match</v>
      </c>
      <c r="M170" s="33">
        <f ca="1"/>
        <v>24.7</v>
      </c>
      <c r="N170" s="2" t="e">
        <f ca="1"/>
        <v>#N/A</v>
      </c>
      <c r="O170" s="2" t="e">
        <f ca="1"/>
        <v>#N/A</v>
      </c>
      <c r="P170" s="2" t="e">
        <f ca="1"/>
        <v>#N/A</v>
      </c>
      <c r="Q170" s="33" t="e">
        <f ca="1"/>
        <v>#N/A</v>
      </c>
      <c r="R170" s="33" t="e">
        <f ca="1"/>
        <v>#N/A</v>
      </c>
    </row>
    <row r="171" spans="1:18" x14ac:dyDescent="0.2">
      <c r="A171" s="2">
        <v>170</v>
      </c>
      <c r="B171" s="65">
        <v>45729</v>
      </c>
      <c r="C171" s="70">
        <v>0.43534722222222222</v>
      </c>
      <c r="D171" s="66" t="s">
        <v>98</v>
      </c>
      <c r="G171" s="66" t="s">
        <v>238</v>
      </c>
      <c r="H171" s="66" t="s">
        <v>100</v>
      </c>
      <c r="I171" s="33" t="str">
        <f ca="1"/>
        <v>24,54</v>
      </c>
      <c r="J171" s="2">
        <v>171</v>
      </c>
      <c r="K171" s="2" t="str">
        <v>No Match</v>
      </c>
      <c r="M171" s="33">
        <f ca="1"/>
        <v>24.54</v>
      </c>
      <c r="N171" s="2">
        <f ca="1"/>
        <v>25</v>
      </c>
      <c r="O171" s="2">
        <f ca="1"/>
        <v>24.625</v>
      </c>
      <c r="P171" s="2">
        <f ca="1"/>
        <v>25.375</v>
      </c>
      <c r="Q171" s="33">
        <f ca="1"/>
        <v>25.193411764705871</v>
      </c>
      <c r="R171" s="33">
        <f ca="1"/>
        <v>25.293999999999997</v>
      </c>
    </row>
    <row r="172" spans="1:18" x14ac:dyDescent="0.2">
      <c r="A172" s="2">
        <v>171</v>
      </c>
      <c r="B172" s="65">
        <v>45729</v>
      </c>
      <c r="C172" s="70">
        <v>0.43538194444444445</v>
      </c>
      <c r="D172" s="66" t="s">
        <v>98</v>
      </c>
      <c r="G172" s="66" t="s">
        <v>177</v>
      </c>
      <c r="H172" s="66" t="s">
        <v>100</v>
      </c>
      <c r="I172" s="33" t="str">
        <f ca="1"/>
        <v>24,49</v>
      </c>
      <c r="J172" s="2">
        <v>172</v>
      </c>
      <c r="K172" s="2" t="str">
        <v>No Match</v>
      </c>
      <c r="M172" s="33">
        <f ca="1"/>
        <v>24.49</v>
      </c>
      <c r="N172" s="2" t="e">
        <f ca="1"/>
        <v>#N/A</v>
      </c>
      <c r="O172" s="2" t="e">
        <f ca="1"/>
        <v>#N/A</v>
      </c>
      <c r="P172" s="2" t="e">
        <f ca="1"/>
        <v>#N/A</v>
      </c>
      <c r="Q172" s="33" t="e">
        <f ca="1"/>
        <v>#N/A</v>
      </c>
      <c r="R172" s="33" t="e">
        <f ca="1"/>
        <v>#N/A</v>
      </c>
    </row>
    <row r="173" spans="1:18" x14ac:dyDescent="0.2">
      <c r="A173" s="2">
        <v>172</v>
      </c>
      <c r="B173" s="65">
        <v>45729</v>
      </c>
      <c r="C173" s="70">
        <v>0.43710648148148146</v>
      </c>
      <c r="D173" s="66" t="s">
        <v>98</v>
      </c>
      <c r="G173" s="66" t="s">
        <v>181</v>
      </c>
      <c r="H173" s="66" t="s">
        <v>100</v>
      </c>
      <c r="I173" s="33" t="str">
        <f ca="1"/>
        <v>25,76</v>
      </c>
      <c r="J173" s="2">
        <v>173</v>
      </c>
      <c r="K173" s="2" t="str">
        <v>No Match</v>
      </c>
      <c r="M173" s="33">
        <f ca="1"/>
        <v>25.76</v>
      </c>
      <c r="N173" s="2" t="e">
        <f ca="1"/>
        <v>#N/A</v>
      </c>
      <c r="O173" s="2" t="e">
        <f ca="1"/>
        <v>#N/A</v>
      </c>
      <c r="P173" s="2" t="e">
        <f ca="1"/>
        <v>#N/A</v>
      </c>
      <c r="Q173" s="33" t="e">
        <f ca="1"/>
        <v>#N/A</v>
      </c>
      <c r="R173" s="33" t="e">
        <f ca="1"/>
        <v>#N/A</v>
      </c>
    </row>
    <row r="174" spans="1:18" x14ac:dyDescent="0.2">
      <c r="A174" s="2">
        <v>173</v>
      </c>
      <c r="B174" s="65">
        <v>45729</v>
      </c>
      <c r="C174" s="70">
        <v>0.4405324074074074</v>
      </c>
      <c r="D174" s="66" t="s">
        <v>98</v>
      </c>
      <c r="G174" s="66" t="s">
        <v>198</v>
      </c>
      <c r="H174" s="66" t="s">
        <v>100</v>
      </c>
      <c r="I174" s="33" t="str">
        <f ca="1"/>
        <v>25,45</v>
      </c>
      <c r="J174" s="2">
        <v>174</v>
      </c>
      <c r="K174" s="2" t="str">
        <v>No Match</v>
      </c>
      <c r="M174" s="33">
        <f ca="1"/>
        <v>25.45</v>
      </c>
      <c r="N174" s="2" t="e">
        <f ca="1"/>
        <v>#N/A</v>
      </c>
      <c r="O174" s="2" t="e">
        <f ca="1"/>
        <v>#N/A</v>
      </c>
      <c r="P174" s="2" t="e">
        <f ca="1"/>
        <v>#N/A</v>
      </c>
      <c r="Q174" s="33" t="e">
        <f ca="1"/>
        <v>#N/A</v>
      </c>
      <c r="R174" s="33" t="e">
        <f ca="1"/>
        <v>#N/A</v>
      </c>
    </row>
    <row r="175" spans="1:18" x14ac:dyDescent="0.2">
      <c r="A175" s="2">
        <v>174</v>
      </c>
      <c r="B175" s="65">
        <v>45729</v>
      </c>
      <c r="C175" s="70">
        <v>0.44060185185185186</v>
      </c>
      <c r="D175" s="66" t="s">
        <v>98</v>
      </c>
      <c r="G175" s="66" t="s">
        <v>146</v>
      </c>
      <c r="H175" s="66" t="s">
        <v>100</v>
      </c>
      <c r="I175" s="33" t="str">
        <f ca="1"/>
        <v>25,37</v>
      </c>
      <c r="J175" s="2">
        <v>175</v>
      </c>
      <c r="K175" s="2" t="str">
        <v>No Match</v>
      </c>
      <c r="M175" s="33">
        <f ca="1"/>
        <v>25.37</v>
      </c>
      <c r="N175" s="2" t="e">
        <f ca="1"/>
        <v>#N/A</v>
      </c>
      <c r="O175" s="2" t="e">
        <f ca="1"/>
        <v>#N/A</v>
      </c>
      <c r="P175" s="2" t="e">
        <f ca="1"/>
        <v>#N/A</v>
      </c>
      <c r="Q175" s="33" t="e">
        <f ca="1"/>
        <v>#N/A</v>
      </c>
      <c r="R175" s="33" t="e">
        <f ca="1"/>
        <v>#N/A</v>
      </c>
    </row>
    <row r="176" spans="1:18" x14ac:dyDescent="0.2">
      <c r="A176" s="2">
        <v>175</v>
      </c>
      <c r="B176" s="65">
        <v>45729</v>
      </c>
      <c r="C176" s="70">
        <v>0.44063657407407408</v>
      </c>
      <c r="D176" s="66" t="s">
        <v>98</v>
      </c>
      <c r="G176" s="66" t="s">
        <v>105</v>
      </c>
      <c r="H176" s="66" t="s">
        <v>100</v>
      </c>
      <c r="I176" s="33" t="str">
        <f ca="1"/>
        <v>25,39</v>
      </c>
      <c r="J176" s="2">
        <v>176</v>
      </c>
      <c r="K176" s="2" t="str">
        <v>No Match</v>
      </c>
      <c r="M176" s="33">
        <f ca="1"/>
        <v>25.39</v>
      </c>
      <c r="N176" s="2" t="e">
        <f ca="1"/>
        <v>#N/A</v>
      </c>
      <c r="O176" s="2" t="e">
        <f ca="1"/>
        <v>#N/A</v>
      </c>
      <c r="P176" s="2" t="e">
        <f ca="1"/>
        <v>#N/A</v>
      </c>
      <c r="Q176" s="33" t="e">
        <f ca="1"/>
        <v>#N/A</v>
      </c>
      <c r="R176" s="33" t="e">
        <f ca="1"/>
        <v>#N/A</v>
      </c>
    </row>
    <row r="177" spans="1:18" x14ac:dyDescent="0.2">
      <c r="A177" s="2">
        <v>176</v>
      </c>
      <c r="B177" s="65">
        <v>45729</v>
      </c>
      <c r="C177" s="70">
        <v>0.45746527777777779</v>
      </c>
      <c r="D177" s="66" t="s">
        <v>98</v>
      </c>
      <c r="G177" s="66" t="s">
        <v>135</v>
      </c>
      <c r="H177" s="66" t="s">
        <v>100</v>
      </c>
      <c r="I177" s="33" t="str">
        <f ca="1"/>
        <v>25,15</v>
      </c>
      <c r="J177" s="2">
        <v>177</v>
      </c>
      <c r="K177" s="2" t="str">
        <v>No Match</v>
      </c>
      <c r="M177" s="33">
        <f ca="1"/>
        <v>25.15</v>
      </c>
      <c r="N177" s="2" t="e">
        <f ca="1"/>
        <v>#N/A</v>
      </c>
      <c r="O177" s="2" t="e">
        <f ca="1"/>
        <v>#N/A</v>
      </c>
      <c r="P177" s="2" t="e">
        <f ca="1"/>
        <v>#N/A</v>
      </c>
      <c r="Q177" s="33" t="e">
        <f ca="1"/>
        <v>#N/A</v>
      </c>
      <c r="R177" s="33" t="e">
        <f ca="1"/>
        <v>#N/A</v>
      </c>
    </row>
    <row r="178" spans="1:18" x14ac:dyDescent="0.2">
      <c r="A178" s="2">
        <v>177</v>
      </c>
      <c r="B178" s="65">
        <v>45729</v>
      </c>
      <c r="C178" s="70">
        <v>0.46783564814814815</v>
      </c>
      <c r="D178" s="66" t="s">
        <v>98</v>
      </c>
      <c r="G178" s="66" t="s">
        <v>156</v>
      </c>
      <c r="H178" s="66" t="s">
        <v>100</v>
      </c>
      <c r="I178" s="33" t="str">
        <f ca="1"/>
        <v>25,83</v>
      </c>
      <c r="J178" s="2">
        <v>178</v>
      </c>
      <c r="K178" s="2" t="str">
        <v>No Match</v>
      </c>
      <c r="M178" s="33">
        <f ca="1"/>
        <v>25.83</v>
      </c>
      <c r="N178" s="2" t="e">
        <f ca="1"/>
        <v>#N/A</v>
      </c>
      <c r="O178" s="2" t="e">
        <f ca="1"/>
        <v>#N/A</v>
      </c>
      <c r="P178" s="2" t="e">
        <f ca="1"/>
        <v>#N/A</v>
      </c>
      <c r="Q178" s="33" t="e">
        <f ca="1"/>
        <v>#N/A</v>
      </c>
      <c r="R178" s="33" t="e">
        <f ca="1"/>
        <v>#N/A</v>
      </c>
    </row>
    <row r="179" spans="1:18" x14ac:dyDescent="0.2">
      <c r="A179" s="2">
        <v>178</v>
      </c>
      <c r="B179" s="65">
        <v>45729</v>
      </c>
      <c r="C179" s="70">
        <v>0.46903935185185186</v>
      </c>
      <c r="D179" s="66" t="s">
        <v>98</v>
      </c>
      <c r="G179" s="66" t="s">
        <v>107</v>
      </c>
      <c r="H179" s="66" t="s">
        <v>100</v>
      </c>
      <c r="I179" s="33" t="str">
        <f ca="1"/>
        <v>25,43</v>
      </c>
      <c r="J179" s="2">
        <v>179</v>
      </c>
      <c r="K179" s="2" t="str">
        <v>No Match</v>
      </c>
      <c r="M179" s="33">
        <f ca="1"/>
        <v>25.43</v>
      </c>
      <c r="N179" s="2" t="e">
        <f ca="1"/>
        <v>#N/A</v>
      </c>
      <c r="O179" s="2" t="e">
        <f ca="1"/>
        <v>#N/A</v>
      </c>
      <c r="P179" s="2" t="e">
        <f ca="1"/>
        <v>#N/A</v>
      </c>
      <c r="Q179" s="33" t="e">
        <f ca="1"/>
        <v>#N/A</v>
      </c>
      <c r="R179" s="33" t="e">
        <f ca="1"/>
        <v>#N/A</v>
      </c>
    </row>
    <row r="180" spans="1:18" x14ac:dyDescent="0.2">
      <c r="A180" s="2">
        <v>179</v>
      </c>
      <c r="B180" s="65">
        <v>45729</v>
      </c>
      <c r="C180" s="70">
        <v>0.47016203703703702</v>
      </c>
      <c r="D180" s="66" t="s">
        <v>98</v>
      </c>
      <c r="G180" s="66" t="s">
        <v>161</v>
      </c>
      <c r="H180" s="66" t="s">
        <v>100</v>
      </c>
      <c r="I180" s="33" t="str">
        <f ca="1"/>
        <v>25,38</v>
      </c>
      <c r="J180" s="2">
        <v>180</v>
      </c>
      <c r="K180" s="2" t="str">
        <v>No Match</v>
      </c>
      <c r="M180" s="33">
        <f ca="1"/>
        <v>25.38</v>
      </c>
      <c r="N180" s="2" t="e">
        <f ca="1"/>
        <v>#N/A</v>
      </c>
      <c r="O180" s="2" t="e">
        <f ca="1"/>
        <v>#N/A</v>
      </c>
      <c r="P180" s="2" t="e">
        <f ca="1"/>
        <v>#N/A</v>
      </c>
      <c r="Q180" s="33" t="e">
        <f ca="1"/>
        <v>#N/A</v>
      </c>
      <c r="R180" s="33" t="e">
        <f ca="1"/>
        <v>#N/A</v>
      </c>
    </row>
    <row r="181" spans="1:18" x14ac:dyDescent="0.2">
      <c r="A181" s="2">
        <v>180</v>
      </c>
      <c r="B181" s="65">
        <v>45729</v>
      </c>
      <c r="C181" s="70">
        <v>0.47128472222222223</v>
      </c>
      <c r="D181" s="66" t="s">
        <v>98</v>
      </c>
      <c r="G181" s="66" t="s">
        <v>165</v>
      </c>
      <c r="H181" s="66" t="s">
        <v>100</v>
      </c>
      <c r="I181" s="33" t="str">
        <f ca="1"/>
        <v>25,42</v>
      </c>
      <c r="J181" s="2">
        <v>181</v>
      </c>
      <c r="K181" s="2" t="str">
        <v>No Match</v>
      </c>
      <c r="M181" s="33">
        <f ca="1"/>
        <v>25.42</v>
      </c>
      <c r="N181" s="2">
        <f ca="1"/>
        <v>25</v>
      </c>
      <c r="O181" s="2">
        <f ca="1"/>
        <v>24.625</v>
      </c>
      <c r="P181" s="2">
        <f ca="1"/>
        <v>25.375</v>
      </c>
      <c r="Q181" s="33">
        <f ca="1"/>
        <v>25.203055555555547</v>
      </c>
      <c r="R181" s="33">
        <f ca="1"/>
        <v>25.367000000000001</v>
      </c>
    </row>
    <row r="182" spans="1:18" x14ac:dyDescent="0.2">
      <c r="A182" s="2">
        <v>181</v>
      </c>
      <c r="B182" s="65">
        <v>45729</v>
      </c>
      <c r="C182" s="70">
        <v>0.4725347222222222</v>
      </c>
      <c r="D182" s="66" t="s">
        <v>98</v>
      </c>
      <c r="G182" s="66" t="s">
        <v>116</v>
      </c>
      <c r="H182" s="66" t="s">
        <v>100</v>
      </c>
      <c r="I182" s="33" t="str">
        <f ca="1"/>
        <v>25,33</v>
      </c>
      <c r="J182" s="2">
        <v>182</v>
      </c>
      <c r="K182" s="2" t="str">
        <v>No Match</v>
      </c>
      <c r="M182" s="33">
        <f ca="1"/>
        <v>25.33</v>
      </c>
      <c r="N182" s="2" t="e">
        <f ca="1"/>
        <v>#N/A</v>
      </c>
      <c r="O182" s="2" t="e">
        <f ca="1"/>
        <v>#N/A</v>
      </c>
      <c r="P182" s="2" t="e">
        <f ca="1"/>
        <v>#N/A</v>
      </c>
      <c r="Q182" s="33" t="e">
        <f ca="1"/>
        <v>#N/A</v>
      </c>
      <c r="R182" s="33" t="e">
        <f ca="1"/>
        <v>#N/A</v>
      </c>
    </row>
    <row r="183" spans="1:18" x14ac:dyDescent="0.2">
      <c r="A183" s="2">
        <v>182</v>
      </c>
      <c r="B183" s="65">
        <v>45729</v>
      </c>
      <c r="C183" s="70">
        <v>0.47499999999999998</v>
      </c>
      <c r="D183" s="66" t="s">
        <v>98</v>
      </c>
      <c r="G183" s="66" t="s">
        <v>165</v>
      </c>
      <c r="H183" s="66" t="s">
        <v>100</v>
      </c>
      <c r="I183" s="33" t="str">
        <f ca="1"/>
        <v>25,42</v>
      </c>
      <c r="J183" s="2">
        <v>183</v>
      </c>
      <c r="K183" s="2" t="str">
        <v>No Match</v>
      </c>
      <c r="M183" s="33">
        <f ca="1"/>
        <v>25.42</v>
      </c>
      <c r="N183" s="2" t="e">
        <f ca="1"/>
        <v>#N/A</v>
      </c>
      <c r="O183" s="2" t="e">
        <f ca="1"/>
        <v>#N/A</v>
      </c>
      <c r="P183" s="2" t="e">
        <f ca="1"/>
        <v>#N/A</v>
      </c>
      <c r="Q183" s="33" t="e">
        <f ca="1"/>
        <v>#N/A</v>
      </c>
      <c r="R183" s="33" t="e">
        <f ca="1"/>
        <v>#N/A</v>
      </c>
    </row>
    <row r="184" spans="1:18" x14ac:dyDescent="0.2">
      <c r="A184" s="2">
        <v>183</v>
      </c>
      <c r="B184" s="65">
        <v>45729</v>
      </c>
      <c r="C184" s="70">
        <v>0.47714120370370372</v>
      </c>
      <c r="D184" s="66" t="s">
        <v>98</v>
      </c>
      <c r="G184" s="66" t="s">
        <v>111</v>
      </c>
      <c r="H184" s="66" t="s">
        <v>100</v>
      </c>
      <c r="I184" s="33" t="str">
        <f ca="1"/>
        <v>25,44</v>
      </c>
      <c r="J184" s="2">
        <v>184</v>
      </c>
      <c r="K184" s="2" t="str">
        <v>No Match</v>
      </c>
      <c r="M184" s="33">
        <f ca="1"/>
        <v>25.44</v>
      </c>
      <c r="N184" s="2" t="e">
        <f ca="1"/>
        <v>#N/A</v>
      </c>
      <c r="O184" s="2" t="e">
        <f ca="1"/>
        <v>#N/A</v>
      </c>
      <c r="P184" s="2" t="e">
        <f ca="1"/>
        <v>#N/A</v>
      </c>
      <c r="Q184" s="33" t="e">
        <f ca="1"/>
        <v>#N/A</v>
      </c>
      <c r="R184" s="33" t="e">
        <f ca="1"/>
        <v>#N/A</v>
      </c>
    </row>
    <row r="185" spans="1:18" x14ac:dyDescent="0.2">
      <c r="A185" s="2">
        <v>184</v>
      </c>
      <c r="B185" s="65">
        <v>45729</v>
      </c>
      <c r="C185" s="70">
        <v>0.47851851851851851</v>
      </c>
      <c r="D185" s="66" t="s">
        <v>98</v>
      </c>
      <c r="G185" s="66" t="s">
        <v>120</v>
      </c>
      <c r="H185" s="66" t="s">
        <v>100</v>
      </c>
      <c r="I185" s="33" t="str">
        <f ca="1"/>
        <v>25,34</v>
      </c>
      <c r="J185" s="2">
        <v>185</v>
      </c>
      <c r="K185" s="2" t="str">
        <v>No Match</v>
      </c>
      <c r="M185" s="33">
        <f ca="1"/>
        <v>25.34</v>
      </c>
      <c r="N185" s="2" t="e">
        <f ca="1"/>
        <v>#N/A</v>
      </c>
      <c r="O185" s="2" t="e">
        <f ca="1"/>
        <v>#N/A</v>
      </c>
      <c r="P185" s="2" t="e">
        <f ca="1"/>
        <v>#N/A</v>
      </c>
      <c r="Q185" s="33" t="e">
        <f ca="1"/>
        <v>#N/A</v>
      </c>
      <c r="R185" s="33" t="e">
        <f ca="1"/>
        <v>#N/A</v>
      </c>
    </row>
    <row r="186" spans="1:18" x14ac:dyDescent="0.2">
      <c r="A186" s="2">
        <v>185</v>
      </c>
      <c r="B186" s="65">
        <v>45729</v>
      </c>
      <c r="C186" s="70">
        <v>0.48015046296296299</v>
      </c>
      <c r="D186" s="66" t="s">
        <v>98</v>
      </c>
      <c r="G186" s="66" t="s">
        <v>101</v>
      </c>
      <c r="H186" s="66" t="s">
        <v>100</v>
      </c>
      <c r="I186" s="33" t="str">
        <f ca="1"/>
        <v>25,64</v>
      </c>
      <c r="J186" s="2">
        <v>186</v>
      </c>
      <c r="K186" s="2" t="str">
        <v>No Match</v>
      </c>
      <c r="M186" s="33">
        <f ca="1"/>
        <v>25.64</v>
      </c>
      <c r="N186" s="2" t="e">
        <f ca="1"/>
        <v>#N/A</v>
      </c>
      <c r="O186" s="2" t="e">
        <f ca="1"/>
        <v>#N/A</v>
      </c>
      <c r="P186" s="2" t="e">
        <f ca="1"/>
        <v>#N/A</v>
      </c>
      <c r="Q186" s="33" t="e">
        <f ca="1"/>
        <v>#N/A</v>
      </c>
      <c r="R186" s="33" t="e">
        <f ca="1"/>
        <v>#N/A</v>
      </c>
    </row>
    <row r="187" spans="1:18" x14ac:dyDescent="0.2">
      <c r="A187" s="2">
        <v>186</v>
      </c>
      <c r="B187" s="65">
        <v>45729</v>
      </c>
      <c r="C187" s="70">
        <v>0.48018518518518516</v>
      </c>
      <c r="D187" s="66" t="s">
        <v>98</v>
      </c>
      <c r="G187" s="66" t="s">
        <v>153</v>
      </c>
      <c r="H187" s="66" t="s">
        <v>100</v>
      </c>
      <c r="I187" s="33" t="str">
        <f ca="1"/>
        <v>25,71</v>
      </c>
      <c r="J187" s="2">
        <v>187</v>
      </c>
      <c r="K187" s="2" t="str">
        <v>No Match</v>
      </c>
      <c r="M187" s="33">
        <f ca="1"/>
        <v>25.71</v>
      </c>
      <c r="N187" s="2" t="e">
        <f ca="1"/>
        <v>#N/A</v>
      </c>
      <c r="O187" s="2" t="e">
        <f ca="1"/>
        <v>#N/A</v>
      </c>
      <c r="P187" s="2" t="e">
        <f ca="1"/>
        <v>#N/A</v>
      </c>
      <c r="Q187" s="33" t="e">
        <f ca="1"/>
        <v>#N/A</v>
      </c>
      <c r="R187" s="33" t="e">
        <f ca="1"/>
        <v>#N/A</v>
      </c>
    </row>
    <row r="188" spans="1:18" x14ac:dyDescent="0.2">
      <c r="A188" s="2">
        <v>187</v>
      </c>
      <c r="B188" s="65">
        <v>45729</v>
      </c>
      <c r="C188" s="70">
        <v>0.48021990740740739</v>
      </c>
      <c r="D188" s="66" t="s">
        <v>98</v>
      </c>
      <c r="G188" s="66" t="s">
        <v>168</v>
      </c>
      <c r="H188" s="66" t="s">
        <v>100</v>
      </c>
      <c r="I188" s="33" t="str">
        <f ca="1"/>
        <v>25,59</v>
      </c>
      <c r="J188" s="2">
        <v>188</v>
      </c>
      <c r="K188" s="2" t="str">
        <v>No Match</v>
      </c>
      <c r="M188" s="33">
        <f ca="1"/>
        <v>25.59</v>
      </c>
      <c r="N188" s="2" t="e">
        <f ca="1"/>
        <v>#N/A</v>
      </c>
      <c r="O188" s="2" t="e">
        <f ca="1"/>
        <v>#N/A</v>
      </c>
      <c r="P188" s="2" t="e">
        <f ca="1"/>
        <v>#N/A</v>
      </c>
      <c r="Q188" s="33" t="e">
        <f ca="1"/>
        <v>#N/A</v>
      </c>
      <c r="R188" s="33" t="e">
        <f ca="1"/>
        <v>#N/A</v>
      </c>
    </row>
    <row r="189" spans="1:18" x14ac:dyDescent="0.2">
      <c r="A189" s="2">
        <v>188</v>
      </c>
      <c r="B189" s="65">
        <v>45729</v>
      </c>
      <c r="C189" s="70">
        <v>0.48425925925925928</v>
      </c>
      <c r="D189" s="66" t="s">
        <v>98</v>
      </c>
      <c r="G189" s="66" t="s">
        <v>239</v>
      </c>
      <c r="H189" s="66" t="s">
        <v>100</v>
      </c>
      <c r="I189" s="33" t="str">
        <f ca="1"/>
        <v>24,56</v>
      </c>
      <c r="J189" s="2">
        <v>189</v>
      </c>
      <c r="K189" s="2" t="str">
        <v>No Match</v>
      </c>
      <c r="M189" s="33">
        <f ca="1"/>
        <v>24.56</v>
      </c>
      <c r="N189" s="2" t="e">
        <f ca="1"/>
        <v>#N/A</v>
      </c>
      <c r="O189" s="2" t="e">
        <f ca="1"/>
        <v>#N/A</v>
      </c>
      <c r="P189" s="2" t="e">
        <f ca="1"/>
        <v>#N/A</v>
      </c>
      <c r="Q189" s="33" t="e">
        <f ca="1"/>
        <v>#N/A</v>
      </c>
      <c r="R189" s="33" t="e">
        <f ca="1"/>
        <v>#N/A</v>
      </c>
    </row>
    <row r="190" spans="1:18" x14ac:dyDescent="0.2">
      <c r="A190" s="2">
        <v>189</v>
      </c>
      <c r="B190" s="65">
        <v>45729</v>
      </c>
      <c r="C190" s="70">
        <v>0.48518518518518516</v>
      </c>
      <c r="D190" s="66" t="s">
        <v>98</v>
      </c>
      <c r="G190" s="66" t="s">
        <v>240</v>
      </c>
      <c r="H190" s="66" t="s">
        <v>100</v>
      </c>
      <c r="I190" s="33" t="str">
        <f ca="1"/>
        <v>24,47</v>
      </c>
      <c r="J190" s="2">
        <v>190</v>
      </c>
      <c r="K190" s="2" t="str">
        <v>No Match</v>
      </c>
      <c r="M190" s="33">
        <f ca="1"/>
        <v>24.47</v>
      </c>
      <c r="N190" s="2" t="e">
        <f ca="1"/>
        <v>#N/A</v>
      </c>
      <c r="O190" s="2" t="e">
        <f ca="1"/>
        <v>#N/A</v>
      </c>
      <c r="P190" s="2" t="e">
        <f ca="1"/>
        <v>#N/A</v>
      </c>
      <c r="Q190" s="33" t="e">
        <f ca="1"/>
        <v>#N/A</v>
      </c>
      <c r="R190" s="33" t="e">
        <f ca="1"/>
        <v>#N/A</v>
      </c>
    </row>
    <row r="191" spans="1:18" x14ac:dyDescent="0.2">
      <c r="A191" s="2">
        <v>190</v>
      </c>
      <c r="B191" s="65">
        <v>45729</v>
      </c>
      <c r="C191" s="70">
        <v>0.48521990740740739</v>
      </c>
      <c r="D191" s="66" t="s">
        <v>98</v>
      </c>
      <c r="G191" s="66" t="s">
        <v>241</v>
      </c>
      <c r="H191" s="66" t="s">
        <v>100</v>
      </c>
      <c r="I191" s="33" t="str">
        <f ca="1"/>
        <v>24,53</v>
      </c>
      <c r="J191" s="2">
        <v>191</v>
      </c>
      <c r="K191" s="2" t="str">
        <v>No Match</v>
      </c>
      <c r="M191" s="33">
        <f ca="1"/>
        <v>24.53</v>
      </c>
      <c r="N191" s="2">
        <f ca="1"/>
        <v>25</v>
      </c>
      <c r="O191" s="2">
        <f ca="1"/>
        <v>24.625</v>
      </c>
      <c r="P191" s="2">
        <f ca="1"/>
        <v>25.375</v>
      </c>
      <c r="Q191" s="33">
        <f ca="1"/>
        <v>25.203052631578942</v>
      </c>
      <c r="R191" s="33">
        <f ca="1"/>
        <v>25.202999999999999</v>
      </c>
    </row>
    <row r="192" spans="1:18" x14ac:dyDescent="0.2">
      <c r="A192" s="2">
        <v>191</v>
      </c>
      <c r="B192" s="65">
        <v>45729</v>
      </c>
      <c r="C192" s="70">
        <v>0.48525462962962962</v>
      </c>
      <c r="D192" s="66" t="s">
        <v>98</v>
      </c>
      <c r="G192" s="66" t="s">
        <v>184</v>
      </c>
      <c r="H192" s="66" t="s">
        <v>100</v>
      </c>
      <c r="I192" s="33" t="str">
        <f ca="1"/>
        <v>24,51</v>
      </c>
      <c r="J192" s="2">
        <v>192</v>
      </c>
      <c r="K192" s="2" t="str">
        <v>No Match</v>
      </c>
      <c r="M192" s="33">
        <f ca="1"/>
        <v>24.51</v>
      </c>
      <c r="N192" s="2" t="e">
        <f ca="1"/>
        <v>#N/A</v>
      </c>
      <c r="O192" s="2" t="e">
        <f ca="1"/>
        <v>#N/A</v>
      </c>
      <c r="P192" s="2" t="e">
        <f ca="1"/>
        <v>#N/A</v>
      </c>
      <c r="Q192" s="33" t="e">
        <f ca="1"/>
        <v>#N/A</v>
      </c>
      <c r="R192" s="33" t="e">
        <f ca="1"/>
        <v>#N/A</v>
      </c>
    </row>
    <row r="193" spans="1:18" x14ac:dyDescent="0.2">
      <c r="A193" s="2">
        <v>192</v>
      </c>
      <c r="B193" s="65">
        <v>45729</v>
      </c>
      <c r="C193" s="70">
        <v>0.49026620370370372</v>
      </c>
      <c r="D193" s="66" t="s">
        <v>98</v>
      </c>
      <c r="G193" s="66" t="s">
        <v>102</v>
      </c>
      <c r="H193" s="66" t="s">
        <v>100</v>
      </c>
      <c r="I193" s="33" t="str">
        <f ca="1"/>
        <v>25,06</v>
      </c>
      <c r="J193" s="2">
        <v>193</v>
      </c>
      <c r="K193" s="2" t="str">
        <v>No Match</v>
      </c>
      <c r="M193" s="33">
        <f ca="1"/>
        <v>25.06</v>
      </c>
      <c r="N193" s="2" t="e">
        <f ca="1"/>
        <v>#N/A</v>
      </c>
      <c r="O193" s="2" t="e">
        <f ca="1"/>
        <v>#N/A</v>
      </c>
      <c r="P193" s="2" t="e">
        <f ca="1"/>
        <v>#N/A</v>
      </c>
      <c r="Q193" s="33" t="e">
        <f ca="1"/>
        <v>#N/A</v>
      </c>
      <c r="R193" s="33" t="e">
        <f ca="1"/>
        <v>#N/A</v>
      </c>
    </row>
    <row r="194" spans="1:18" x14ac:dyDescent="0.2">
      <c r="A194" s="2">
        <v>193</v>
      </c>
      <c r="B194" s="65">
        <v>45729</v>
      </c>
      <c r="C194" s="70">
        <v>0.49366898148148147</v>
      </c>
      <c r="D194" s="66" t="s">
        <v>98</v>
      </c>
      <c r="G194" s="66" t="s">
        <v>242</v>
      </c>
      <c r="H194" s="66" t="s">
        <v>100</v>
      </c>
      <c r="I194" s="33" t="str">
        <f ca="1"/>
        <v>24,45</v>
      </c>
      <c r="J194" s="2">
        <v>194</v>
      </c>
      <c r="K194" s="2" t="str">
        <v>No Match</v>
      </c>
      <c r="M194" s="33">
        <f ca="1"/>
        <v>24.45</v>
      </c>
      <c r="N194" s="2" t="e">
        <f ca="1"/>
        <v>#N/A</v>
      </c>
      <c r="O194" s="2" t="e">
        <f ca="1"/>
        <v>#N/A</v>
      </c>
      <c r="P194" s="2" t="e">
        <f ca="1"/>
        <v>#N/A</v>
      </c>
      <c r="Q194" s="33" t="e">
        <f ca="1"/>
        <v>#N/A</v>
      </c>
      <c r="R194" s="33" t="e">
        <f ca="1"/>
        <v>#N/A</v>
      </c>
    </row>
    <row r="195" spans="1:18" x14ac:dyDescent="0.2">
      <c r="A195" s="2">
        <v>194</v>
      </c>
      <c r="B195" s="65">
        <v>45729</v>
      </c>
      <c r="C195" s="70">
        <v>0.49371527777777779</v>
      </c>
      <c r="D195" s="66" t="s">
        <v>98</v>
      </c>
      <c r="G195" s="66" t="s">
        <v>243</v>
      </c>
      <c r="H195" s="66" t="s">
        <v>100</v>
      </c>
      <c r="I195" s="33" t="str">
        <f ca="1"/>
        <v>24,39</v>
      </c>
      <c r="J195" s="2">
        <v>195</v>
      </c>
      <c r="K195" s="2" t="str">
        <v>No Match</v>
      </c>
      <c r="M195" s="33">
        <f ca="1"/>
        <v>24.39</v>
      </c>
      <c r="N195" s="2" t="e">
        <f ca="1"/>
        <v>#N/A</v>
      </c>
      <c r="O195" s="2" t="e">
        <f ca="1"/>
        <v>#N/A</v>
      </c>
      <c r="P195" s="2" t="e">
        <f ca="1"/>
        <v>#N/A</v>
      </c>
      <c r="Q195" s="33" t="e">
        <f ca="1"/>
        <v>#N/A</v>
      </c>
      <c r="R195" s="33" t="e">
        <f ca="1"/>
        <v>#N/A</v>
      </c>
    </row>
    <row r="196" spans="1:18" x14ac:dyDescent="0.2">
      <c r="A196" s="2">
        <v>195</v>
      </c>
      <c r="B196" s="65">
        <v>45729</v>
      </c>
      <c r="C196" s="70">
        <v>0.49650462962962966</v>
      </c>
      <c r="D196" s="66" t="s">
        <v>98</v>
      </c>
      <c r="G196" s="66" t="s">
        <v>128</v>
      </c>
      <c r="H196" s="66" t="s">
        <v>100</v>
      </c>
      <c r="I196" s="33" t="str">
        <f ca="1"/>
        <v>25,23</v>
      </c>
      <c r="J196" s="2">
        <v>196</v>
      </c>
      <c r="K196" s="2" t="str">
        <v>No Match</v>
      </c>
      <c r="M196" s="33">
        <f ca="1"/>
        <v>25.23</v>
      </c>
      <c r="N196" s="2" t="e">
        <f ca="1"/>
        <v>#N/A</v>
      </c>
      <c r="O196" s="2" t="e">
        <f ca="1"/>
        <v>#N/A</v>
      </c>
      <c r="P196" s="2" t="e">
        <f ca="1"/>
        <v>#N/A</v>
      </c>
      <c r="Q196" s="33" t="e">
        <f ca="1"/>
        <v>#N/A</v>
      </c>
      <c r="R196" s="33" t="e">
        <f ca="1"/>
        <v>#N/A</v>
      </c>
    </row>
    <row r="197" spans="1:18" x14ac:dyDescent="0.2">
      <c r="A197" s="2">
        <v>196</v>
      </c>
      <c r="B197" s="65">
        <v>45729</v>
      </c>
      <c r="C197" s="70">
        <v>0.49708333333333332</v>
      </c>
      <c r="D197" s="66" t="s">
        <v>98</v>
      </c>
      <c r="G197" s="66" t="s">
        <v>163</v>
      </c>
      <c r="H197" s="66" t="s">
        <v>100</v>
      </c>
      <c r="I197" s="33" t="str">
        <f ca="1"/>
        <v>25,47</v>
      </c>
      <c r="J197" s="2">
        <v>197</v>
      </c>
      <c r="K197" s="2" t="str">
        <v>No Match</v>
      </c>
      <c r="M197" s="33">
        <f ca="1"/>
        <v>25.47</v>
      </c>
      <c r="N197" s="2" t="e">
        <f ca="1"/>
        <v>#N/A</v>
      </c>
      <c r="O197" s="2" t="e">
        <f ca="1"/>
        <v>#N/A</v>
      </c>
      <c r="P197" s="2" t="e">
        <f ca="1"/>
        <v>#N/A</v>
      </c>
      <c r="Q197" s="33" t="e">
        <f ca="1"/>
        <v>#N/A</v>
      </c>
      <c r="R197" s="33" t="e">
        <f ca="1"/>
        <v>#N/A</v>
      </c>
    </row>
    <row r="198" spans="1:18" x14ac:dyDescent="0.2">
      <c r="A198" s="2">
        <v>197</v>
      </c>
      <c r="B198" s="65">
        <v>45729</v>
      </c>
      <c r="C198" s="70">
        <v>0.4971875</v>
      </c>
      <c r="D198" s="66" t="s">
        <v>98</v>
      </c>
      <c r="G198" s="66" t="s">
        <v>146</v>
      </c>
      <c r="H198" s="66" t="s">
        <v>100</v>
      </c>
      <c r="I198" s="33" t="str">
        <f ca="1"/>
        <v>25,37</v>
      </c>
      <c r="J198" s="2">
        <v>198</v>
      </c>
      <c r="K198" s="2" t="str">
        <v>No Match</v>
      </c>
      <c r="M198" s="33">
        <f ca="1"/>
        <v>25.37</v>
      </c>
      <c r="N198" s="2" t="e">
        <f ca="1"/>
        <v>#N/A</v>
      </c>
      <c r="O198" s="2" t="e">
        <f ca="1"/>
        <v>#N/A</v>
      </c>
      <c r="P198" s="2" t="e">
        <f ca="1"/>
        <v>#N/A</v>
      </c>
      <c r="Q198" s="33" t="e">
        <f ca="1"/>
        <v>#N/A</v>
      </c>
      <c r="R198" s="33" t="e">
        <f ca="1"/>
        <v>#N/A</v>
      </c>
    </row>
    <row r="199" spans="1:18" x14ac:dyDescent="0.2">
      <c r="A199" s="2">
        <v>198</v>
      </c>
      <c r="B199" s="65">
        <v>45729</v>
      </c>
      <c r="C199" s="70">
        <v>0.49790509259259258</v>
      </c>
      <c r="D199" s="66" t="s">
        <v>98</v>
      </c>
      <c r="G199" s="66" t="s">
        <v>189</v>
      </c>
      <c r="H199" s="66" t="s">
        <v>100</v>
      </c>
      <c r="I199" s="33" t="str">
        <f ca="1"/>
        <v>25,48</v>
      </c>
      <c r="J199" s="2">
        <v>199</v>
      </c>
      <c r="K199" s="2" t="str">
        <v>No Match</v>
      </c>
      <c r="M199" s="33">
        <f ca="1"/>
        <v>25.48</v>
      </c>
      <c r="N199" s="2" t="e">
        <f ca="1"/>
        <v>#N/A</v>
      </c>
      <c r="O199" s="2" t="e">
        <f ca="1"/>
        <v>#N/A</v>
      </c>
      <c r="P199" s="2" t="e">
        <f ca="1"/>
        <v>#N/A</v>
      </c>
      <c r="Q199" s="33" t="e">
        <f ca="1"/>
        <v>#N/A</v>
      </c>
      <c r="R199" s="33" t="e">
        <f ca="1"/>
        <v>#N/A</v>
      </c>
    </row>
    <row r="200" spans="1:18" x14ac:dyDescent="0.2">
      <c r="A200" s="2">
        <v>199</v>
      </c>
      <c r="B200" s="65">
        <v>45729</v>
      </c>
      <c r="C200" s="70">
        <v>0.49804398148148149</v>
      </c>
      <c r="D200" s="66" t="s">
        <v>98</v>
      </c>
      <c r="G200" s="66" t="s">
        <v>161</v>
      </c>
      <c r="H200" s="66" t="s">
        <v>100</v>
      </c>
      <c r="I200" s="33" t="str">
        <f ca="1"/>
        <v>25,38</v>
      </c>
      <c r="J200" s="2">
        <v>200</v>
      </c>
      <c r="K200" s="2" t="str">
        <v>No Match</v>
      </c>
      <c r="M200" s="33">
        <f ca="1"/>
        <v>25.38</v>
      </c>
      <c r="N200" s="2" t="e">
        <f ca="1"/>
        <v>#N/A</v>
      </c>
      <c r="O200" s="2" t="e">
        <f ca="1"/>
        <v>#N/A</v>
      </c>
      <c r="P200" s="2" t="e">
        <f ca="1"/>
        <v>#N/A</v>
      </c>
      <c r="Q200" s="33" t="e">
        <f ca="1"/>
        <v>#N/A</v>
      </c>
      <c r="R200" s="33" t="e">
        <f ca="1"/>
        <v>#N/A</v>
      </c>
    </row>
    <row r="201" spans="1:18" x14ac:dyDescent="0.2">
      <c r="A201" s="2">
        <v>200</v>
      </c>
      <c r="B201" s="65">
        <v>45729</v>
      </c>
      <c r="C201" s="70">
        <v>0.50153935185185183</v>
      </c>
      <c r="D201" s="66" t="s">
        <v>98</v>
      </c>
      <c r="G201" s="66" t="s">
        <v>137</v>
      </c>
      <c r="H201" s="66" t="s">
        <v>100</v>
      </c>
      <c r="I201" s="33" t="str">
        <f ca="1"/>
        <v>25,25</v>
      </c>
      <c r="J201" s="2">
        <v>201</v>
      </c>
      <c r="K201" s="2" t="str">
        <v>No Match</v>
      </c>
      <c r="M201" s="33">
        <f ca="1"/>
        <v>25.25</v>
      </c>
      <c r="N201" s="2">
        <f ca="1"/>
        <v>25</v>
      </c>
      <c r="O201" s="2">
        <f ca="1"/>
        <v>24.625</v>
      </c>
      <c r="P201" s="2">
        <f ca="1"/>
        <v>25.375</v>
      </c>
      <c r="Q201" s="33">
        <f ca="1"/>
        <v>25.195849999999997</v>
      </c>
      <c r="R201" s="33">
        <f ca="1"/>
        <v>25.059000000000001</v>
      </c>
    </row>
    <row r="202" spans="1:18" x14ac:dyDescent="0.2">
      <c r="A202" s="2">
        <v>201</v>
      </c>
      <c r="B202" s="65">
        <v>45729</v>
      </c>
      <c r="C202" s="70">
        <v>0.50200231481481483</v>
      </c>
      <c r="D202" s="66" t="s">
        <v>98</v>
      </c>
      <c r="G202" s="66" t="s">
        <v>116</v>
      </c>
      <c r="H202" s="66" t="s">
        <v>100</v>
      </c>
      <c r="I202" s="33" t="str">
        <f ca="1"/>
        <v>25,33</v>
      </c>
      <c r="J202" s="2">
        <v>202</v>
      </c>
      <c r="K202" s="2" t="str">
        <v>No Match</v>
      </c>
      <c r="M202" s="33">
        <f ca="1"/>
        <v>25.33</v>
      </c>
      <c r="N202" s="2" t="e">
        <f ca="1"/>
        <v>#N/A</v>
      </c>
      <c r="O202" s="2" t="e">
        <f ca="1"/>
        <v>#N/A</v>
      </c>
      <c r="P202" s="2" t="e">
        <f ca="1"/>
        <v>#N/A</v>
      </c>
      <c r="Q202" s="33" t="e">
        <f ca="1"/>
        <v>#N/A</v>
      </c>
      <c r="R202" s="33" t="e">
        <f ca="1"/>
        <v>#N/A</v>
      </c>
    </row>
    <row r="203" spans="1:18" x14ac:dyDescent="0.2">
      <c r="A203" s="2">
        <v>202</v>
      </c>
      <c r="B203" s="65">
        <v>45729</v>
      </c>
      <c r="C203" s="70">
        <v>0.50987268518518514</v>
      </c>
      <c r="D203" s="66" t="s">
        <v>98</v>
      </c>
      <c r="G203" s="66" t="s">
        <v>176</v>
      </c>
      <c r="H203" s="66" t="s">
        <v>100</v>
      </c>
      <c r="I203" s="33" t="str">
        <f ca="1"/>
        <v>25,18</v>
      </c>
      <c r="J203" s="2">
        <v>203</v>
      </c>
      <c r="K203" s="2" t="str">
        <v>No Match</v>
      </c>
      <c r="M203" s="33">
        <f ca="1"/>
        <v>25.18</v>
      </c>
      <c r="N203" s="2" t="e">
        <f ca="1"/>
        <v>#N/A</v>
      </c>
      <c r="O203" s="2" t="e">
        <f ca="1"/>
        <v>#N/A</v>
      </c>
      <c r="P203" s="2" t="e">
        <f ca="1"/>
        <v>#N/A</v>
      </c>
      <c r="Q203" s="33" t="e">
        <f ca="1"/>
        <v>#N/A</v>
      </c>
      <c r="R203" s="33" t="e">
        <f ca="1"/>
        <v>#N/A</v>
      </c>
    </row>
    <row r="204" spans="1:18" x14ac:dyDescent="0.2">
      <c r="A204" s="2">
        <v>203</v>
      </c>
      <c r="B204" s="65">
        <v>45729</v>
      </c>
      <c r="C204" s="70">
        <v>0.5113078703703704</v>
      </c>
      <c r="D204" s="66" t="s">
        <v>98</v>
      </c>
      <c r="G204" s="66" t="s">
        <v>198</v>
      </c>
      <c r="H204" s="66" t="s">
        <v>100</v>
      </c>
      <c r="I204" s="33" t="str">
        <f ca="1"/>
        <v>25,45</v>
      </c>
      <c r="J204" s="2">
        <v>204</v>
      </c>
      <c r="K204" s="2" t="str">
        <v>No Match</v>
      </c>
      <c r="M204" s="33">
        <f ca="1"/>
        <v>25.45</v>
      </c>
      <c r="N204" s="2" t="e">
        <f ca="1"/>
        <v>#N/A</v>
      </c>
      <c r="O204" s="2" t="e">
        <f ca="1"/>
        <v>#N/A</v>
      </c>
      <c r="P204" s="2" t="e">
        <f ca="1"/>
        <v>#N/A</v>
      </c>
      <c r="Q204" s="33" t="e">
        <f ca="1"/>
        <v>#N/A</v>
      </c>
      <c r="R204" s="33" t="e">
        <f ca="1"/>
        <v>#N/A</v>
      </c>
    </row>
    <row r="205" spans="1:18" x14ac:dyDescent="0.2">
      <c r="A205" s="2">
        <v>204</v>
      </c>
      <c r="B205" s="65">
        <v>45729</v>
      </c>
      <c r="C205" s="70">
        <v>0.51134259259259263</v>
      </c>
      <c r="D205" s="66" t="s">
        <v>98</v>
      </c>
      <c r="G205" s="66" t="s">
        <v>159</v>
      </c>
      <c r="H205" s="66" t="s">
        <v>100</v>
      </c>
      <c r="I205" s="33" t="str">
        <f ca="1"/>
        <v>25,26</v>
      </c>
      <c r="J205" s="2">
        <v>205</v>
      </c>
      <c r="K205" s="2" t="str">
        <v>No Match</v>
      </c>
      <c r="M205" s="33">
        <f ca="1"/>
        <v>25.26</v>
      </c>
      <c r="N205" s="2" t="e">
        <f ca="1"/>
        <v>#N/A</v>
      </c>
      <c r="O205" s="2" t="e">
        <f ca="1"/>
        <v>#N/A</v>
      </c>
      <c r="P205" s="2" t="e">
        <f ca="1"/>
        <v>#N/A</v>
      </c>
      <c r="Q205" s="33" t="e">
        <f ca="1"/>
        <v>#N/A</v>
      </c>
      <c r="R205" s="33" t="e">
        <f ca="1"/>
        <v>#N/A</v>
      </c>
    </row>
    <row r="206" spans="1:18" x14ac:dyDescent="0.2">
      <c r="A206" s="2">
        <v>205</v>
      </c>
      <c r="B206" s="65">
        <v>45729</v>
      </c>
      <c r="C206" s="70">
        <v>0.51156250000000003</v>
      </c>
      <c r="D206" s="66" t="s">
        <v>98</v>
      </c>
      <c r="G206" s="66" t="s">
        <v>147</v>
      </c>
      <c r="H206" s="66" t="s">
        <v>100</v>
      </c>
      <c r="I206" s="33" t="str">
        <f ca="1"/>
        <v>25,00</v>
      </c>
      <c r="J206" s="2">
        <v>206</v>
      </c>
      <c r="K206" s="2" t="str">
        <v>No Match</v>
      </c>
      <c r="M206" s="33">
        <f ca="1"/>
        <v>25</v>
      </c>
      <c r="N206" s="2" t="e">
        <f ca="1"/>
        <v>#N/A</v>
      </c>
      <c r="O206" s="2" t="e">
        <f ca="1"/>
        <v>#N/A</v>
      </c>
      <c r="P206" s="2" t="e">
        <f ca="1"/>
        <v>#N/A</v>
      </c>
      <c r="Q206" s="33" t="e">
        <f ca="1"/>
        <v>#N/A</v>
      </c>
      <c r="R206" s="33" t="e">
        <f ca="1"/>
        <v>#N/A</v>
      </c>
    </row>
    <row r="207" spans="1:18" x14ac:dyDescent="0.2">
      <c r="A207" s="2">
        <v>206</v>
      </c>
      <c r="B207" s="65">
        <v>45729</v>
      </c>
      <c r="C207" s="70">
        <v>0.51828703703703705</v>
      </c>
      <c r="D207" s="66" t="s">
        <v>98</v>
      </c>
      <c r="G207" s="66" t="s">
        <v>120</v>
      </c>
      <c r="H207" s="66" t="s">
        <v>100</v>
      </c>
      <c r="I207" s="33" t="str">
        <f ca="1"/>
        <v>25,34</v>
      </c>
      <c r="J207" s="2">
        <v>207</v>
      </c>
      <c r="K207" s="2" t="str">
        <v>No Match</v>
      </c>
      <c r="M207" s="33">
        <f ca="1"/>
        <v>25.34</v>
      </c>
      <c r="N207" s="2" t="e">
        <f ca="1"/>
        <v>#N/A</v>
      </c>
      <c r="O207" s="2" t="e">
        <f ca="1"/>
        <v>#N/A</v>
      </c>
      <c r="P207" s="2" t="e">
        <f ca="1"/>
        <v>#N/A</v>
      </c>
      <c r="Q207" s="33" t="e">
        <f ca="1"/>
        <v>#N/A</v>
      </c>
      <c r="R207" s="33" t="e">
        <f ca="1"/>
        <v>#N/A</v>
      </c>
    </row>
    <row r="208" spans="1:18" x14ac:dyDescent="0.2">
      <c r="A208" s="2">
        <v>207</v>
      </c>
      <c r="B208" s="65">
        <v>45729</v>
      </c>
      <c r="C208" s="70">
        <v>0.51833333333333331</v>
      </c>
      <c r="D208" s="66" t="s">
        <v>98</v>
      </c>
      <c r="G208" s="66" t="s">
        <v>139</v>
      </c>
      <c r="H208" s="66" t="s">
        <v>100</v>
      </c>
      <c r="I208" s="33" t="str">
        <f ca="1"/>
        <v>25,35</v>
      </c>
      <c r="J208" s="2">
        <v>208</v>
      </c>
      <c r="K208" s="2" t="str">
        <v>No Match</v>
      </c>
      <c r="M208" s="33">
        <f ca="1"/>
        <v>25.35</v>
      </c>
      <c r="N208" s="2" t="e">
        <f ca="1"/>
        <v>#N/A</v>
      </c>
      <c r="O208" s="2" t="e">
        <f ca="1"/>
        <v>#N/A</v>
      </c>
      <c r="P208" s="2" t="e">
        <f ca="1"/>
        <v>#N/A</v>
      </c>
      <c r="Q208" s="33" t="e">
        <f ca="1"/>
        <v>#N/A</v>
      </c>
      <c r="R208" s="33" t="e">
        <f ca="1"/>
        <v>#N/A</v>
      </c>
    </row>
    <row r="209" spans="1:18" x14ac:dyDescent="0.2">
      <c r="A209" s="2">
        <v>208</v>
      </c>
      <c r="B209" s="65">
        <v>45729</v>
      </c>
      <c r="C209" s="70">
        <v>0.51869212962962963</v>
      </c>
      <c r="D209" s="66" t="s">
        <v>98</v>
      </c>
      <c r="G209" s="66" t="s">
        <v>182</v>
      </c>
      <c r="H209" s="66" t="s">
        <v>100</v>
      </c>
      <c r="I209" s="33" t="str">
        <f ca="1"/>
        <v>25,29</v>
      </c>
      <c r="J209" s="2">
        <v>209</v>
      </c>
      <c r="K209" s="2" t="str">
        <v>No Match</v>
      </c>
      <c r="M209" s="33">
        <f ca="1"/>
        <v>25.29</v>
      </c>
      <c r="N209" s="2" t="e">
        <f ca="1"/>
        <v>#N/A</v>
      </c>
      <c r="O209" s="2" t="e">
        <f ca="1"/>
        <v>#N/A</v>
      </c>
      <c r="P209" s="2" t="e">
        <f ca="1"/>
        <v>#N/A</v>
      </c>
      <c r="Q209" s="33" t="e">
        <f ca="1"/>
        <v>#N/A</v>
      </c>
      <c r="R209" s="33" t="e">
        <f ca="1"/>
        <v>#N/A</v>
      </c>
    </row>
    <row r="210" spans="1:18" x14ac:dyDescent="0.2">
      <c r="A210" s="2">
        <v>209</v>
      </c>
      <c r="B210" s="65">
        <v>45729</v>
      </c>
      <c r="C210" s="70">
        <v>0.51872685185185186</v>
      </c>
      <c r="D210" s="66" t="s">
        <v>98</v>
      </c>
      <c r="G210" s="66" t="s">
        <v>136</v>
      </c>
      <c r="H210" s="66" t="s">
        <v>100</v>
      </c>
      <c r="I210" s="33" t="str">
        <f ca="1"/>
        <v>25,22</v>
      </c>
      <c r="J210" s="2">
        <v>210</v>
      </c>
      <c r="K210" s="2" t="str">
        <v>No Match</v>
      </c>
      <c r="M210" s="33">
        <f ca="1"/>
        <v>25.22</v>
      </c>
      <c r="N210" s="2" t="e">
        <f ca="1"/>
        <v>#N/A</v>
      </c>
      <c r="O210" s="2" t="e">
        <f ca="1"/>
        <v>#N/A</v>
      </c>
      <c r="P210" s="2" t="e">
        <f ca="1"/>
        <v>#N/A</v>
      </c>
      <c r="Q210" s="33" t="e">
        <f ca="1"/>
        <v>#N/A</v>
      </c>
      <c r="R210" s="33" t="e">
        <f ca="1"/>
        <v>#N/A</v>
      </c>
    </row>
    <row r="211" spans="1:18" x14ac:dyDescent="0.2">
      <c r="A211" s="2">
        <v>210</v>
      </c>
      <c r="B211" s="65">
        <v>45729</v>
      </c>
      <c r="C211" s="70">
        <v>0.51875000000000004</v>
      </c>
      <c r="D211" s="66" t="s">
        <v>98</v>
      </c>
      <c r="G211" s="66" t="s">
        <v>159</v>
      </c>
      <c r="H211" s="66" t="s">
        <v>100</v>
      </c>
      <c r="I211" s="33" t="str">
        <f ca="1"/>
        <v>25,26</v>
      </c>
      <c r="J211" s="2">
        <v>211</v>
      </c>
      <c r="K211" s="2" t="str">
        <v>No Match</v>
      </c>
      <c r="M211" s="33">
        <f ca="1"/>
        <v>25.26</v>
      </c>
      <c r="N211" s="2">
        <f ca="1"/>
        <v>25</v>
      </c>
      <c r="O211" s="2">
        <f ca="1"/>
        <v>24.625</v>
      </c>
      <c r="P211" s="2">
        <f ca="1"/>
        <v>25.375</v>
      </c>
      <c r="Q211" s="33">
        <f ca="1"/>
        <v>25.199285714285715</v>
      </c>
      <c r="R211" s="33">
        <f ca="1"/>
        <v>25.267999999999997</v>
      </c>
    </row>
    <row r="212" spans="1:18" x14ac:dyDescent="0.2">
      <c r="A212" s="2">
        <v>211</v>
      </c>
      <c r="B212" s="65">
        <v>45729</v>
      </c>
      <c r="C212" s="70">
        <v>0.5228356481481482</v>
      </c>
      <c r="D212" s="66" t="s">
        <v>98</v>
      </c>
      <c r="G212" s="66" t="s">
        <v>161</v>
      </c>
      <c r="H212" s="66" t="s">
        <v>100</v>
      </c>
      <c r="I212" s="33" t="str">
        <f ca="1"/>
        <v>25,38</v>
      </c>
      <c r="J212" s="2">
        <v>212</v>
      </c>
      <c r="K212" s="2" t="str">
        <v>No Match</v>
      </c>
      <c r="M212" s="33">
        <f ca="1"/>
        <v>25.38</v>
      </c>
      <c r="N212" s="2" t="e">
        <f ca="1"/>
        <v>#N/A</v>
      </c>
      <c r="O212" s="2" t="e">
        <f ca="1"/>
        <v>#N/A</v>
      </c>
      <c r="P212" s="2" t="e">
        <f ca="1"/>
        <v>#N/A</v>
      </c>
      <c r="Q212" s="33" t="e">
        <f ca="1"/>
        <v>#N/A</v>
      </c>
      <c r="R212" s="33" t="e">
        <f ca="1"/>
        <v>#N/A</v>
      </c>
    </row>
    <row r="213" spans="1:18" x14ac:dyDescent="0.2">
      <c r="A213" s="2">
        <v>212</v>
      </c>
      <c r="B213" s="65">
        <v>45729</v>
      </c>
      <c r="C213" s="70">
        <v>0.52336805555555554</v>
      </c>
      <c r="D213" s="66" t="s">
        <v>98</v>
      </c>
      <c r="G213" s="66" t="s">
        <v>140</v>
      </c>
      <c r="H213" s="66" t="s">
        <v>100</v>
      </c>
      <c r="I213" s="33" t="str">
        <f ca="1"/>
        <v>25,10</v>
      </c>
      <c r="J213" s="2">
        <v>213</v>
      </c>
      <c r="K213" s="2" t="str">
        <v>No Match</v>
      </c>
      <c r="M213" s="33">
        <f ca="1"/>
        <v>25.1</v>
      </c>
      <c r="N213" s="2" t="e">
        <f ca="1"/>
        <v>#N/A</v>
      </c>
      <c r="O213" s="2" t="e">
        <f ca="1"/>
        <v>#N/A</v>
      </c>
      <c r="P213" s="2" t="e">
        <f ca="1"/>
        <v>#N/A</v>
      </c>
      <c r="Q213" s="33" t="e">
        <f ca="1"/>
        <v>#N/A</v>
      </c>
      <c r="R213" s="33" t="e">
        <f ca="1"/>
        <v>#N/A</v>
      </c>
    </row>
    <row r="214" spans="1:18" x14ac:dyDescent="0.2">
      <c r="A214" s="2">
        <v>213</v>
      </c>
      <c r="B214" s="65">
        <v>45729</v>
      </c>
      <c r="C214" s="70">
        <v>0.5234375</v>
      </c>
      <c r="D214" s="66" t="s">
        <v>98</v>
      </c>
      <c r="G214" s="66" t="s">
        <v>125</v>
      </c>
      <c r="H214" s="66" t="s">
        <v>100</v>
      </c>
      <c r="I214" s="33" t="str">
        <f ca="1"/>
        <v>25,20</v>
      </c>
      <c r="J214" s="2">
        <v>214</v>
      </c>
      <c r="K214" s="2" t="str">
        <v>No Match</v>
      </c>
      <c r="M214" s="33">
        <f ca="1"/>
        <v>25.2</v>
      </c>
      <c r="N214" s="2" t="e">
        <f ca="1"/>
        <v>#N/A</v>
      </c>
      <c r="O214" s="2" t="e">
        <f ca="1"/>
        <v>#N/A</v>
      </c>
      <c r="P214" s="2" t="e">
        <f ca="1"/>
        <v>#N/A</v>
      </c>
      <c r="Q214" s="33" t="e">
        <f ca="1"/>
        <v>#N/A</v>
      </c>
      <c r="R214" s="33" t="e">
        <f ca="1"/>
        <v>#N/A</v>
      </c>
    </row>
    <row r="215" spans="1:18" x14ac:dyDescent="0.2">
      <c r="A215" s="2">
        <v>214</v>
      </c>
      <c r="B215" s="65">
        <v>45729</v>
      </c>
      <c r="C215" s="70">
        <v>0.52582175925925922</v>
      </c>
      <c r="D215" s="66" t="s">
        <v>98</v>
      </c>
      <c r="G215" s="66" t="s">
        <v>161</v>
      </c>
      <c r="H215" s="66" t="s">
        <v>100</v>
      </c>
      <c r="I215" s="33" t="str">
        <f ca="1"/>
        <v>25,38</v>
      </c>
      <c r="J215" s="2">
        <v>215</v>
      </c>
      <c r="K215" s="2" t="str">
        <v>No Match</v>
      </c>
      <c r="M215" s="33">
        <f ca="1"/>
        <v>25.38</v>
      </c>
      <c r="N215" s="2" t="e">
        <f ca="1"/>
        <v>#N/A</v>
      </c>
      <c r="O215" s="2" t="e">
        <f ca="1"/>
        <v>#N/A</v>
      </c>
      <c r="P215" s="2" t="e">
        <f ca="1"/>
        <v>#N/A</v>
      </c>
      <c r="Q215" s="33" t="e">
        <f ca="1"/>
        <v>#N/A</v>
      </c>
      <c r="R215" s="33" t="e">
        <f ca="1"/>
        <v>#N/A</v>
      </c>
    </row>
    <row r="216" spans="1:18" x14ac:dyDescent="0.2">
      <c r="A216" s="2">
        <v>215</v>
      </c>
      <c r="B216" s="65">
        <v>45729</v>
      </c>
      <c r="C216" s="70">
        <v>0.52598379629629632</v>
      </c>
      <c r="D216" s="66" t="s">
        <v>98</v>
      </c>
      <c r="G216" s="66" t="s">
        <v>176</v>
      </c>
      <c r="H216" s="66" t="s">
        <v>100</v>
      </c>
      <c r="I216" s="33" t="str">
        <f ca="1"/>
        <v>25,18</v>
      </c>
      <c r="J216" s="2">
        <v>216</v>
      </c>
      <c r="K216" s="2" t="str">
        <v>No Match</v>
      </c>
      <c r="M216" s="33">
        <f ca="1"/>
        <v>25.18</v>
      </c>
      <c r="N216" s="2" t="e">
        <f ca="1"/>
        <v>#N/A</v>
      </c>
      <c r="O216" s="2" t="e">
        <f ca="1"/>
        <v>#N/A</v>
      </c>
      <c r="P216" s="2" t="e">
        <f ca="1"/>
        <v>#N/A</v>
      </c>
      <c r="Q216" s="33" t="e">
        <f ca="1"/>
        <v>#N/A</v>
      </c>
      <c r="R216" s="33" t="e">
        <f ca="1"/>
        <v>#N/A</v>
      </c>
    </row>
    <row r="217" spans="1:18" x14ac:dyDescent="0.2">
      <c r="A217" s="2">
        <v>216</v>
      </c>
      <c r="B217" s="65">
        <v>45729</v>
      </c>
      <c r="C217" s="70">
        <v>0.52694444444444444</v>
      </c>
      <c r="D217" s="66" t="s">
        <v>98</v>
      </c>
      <c r="G217" s="66" t="s">
        <v>190</v>
      </c>
      <c r="H217" s="66" t="s">
        <v>100</v>
      </c>
      <c r="I217" s="33" t="str">
        <f ca="1"/>
        <v>25,19</v>
      </c>
      <c r="J217" s="2">
        <v>217</v>
      </c>
      <c r="K217" s="2" t="str">
        <v>No Match</v>
      </c>
      <c r="M217" s="33">
        <f ca="1"/>
        <v>25.19</v>
      </c>
      <c r="N217" s="2" t="e">
        <f ca="1"/>
        <v>#N/A</v>
      </c>
      <c r="O217" s="2" t="e">
        <f ca="1"/>
        <v>#N/A</v>
      </c>
      <c r="P217" s="2" t="e">
        <f ca="1"/>
        <v>#N/A</v>
      </c>
      <c r="Q217" s="33" t="e">
        <f ca="1"/>
        <v>#N/A</v>
      </c>
      <c r="R217" s="33" t="e">
        <f ca="1"/>
        <v>#N/A</v>
      </c>
    </row>
    <row r="218" spans="1:18" x14ac:dyDescent="0.2">
      <c r="A218" s="2">
        <v>217</v>
      </c>
      <c r="B218" s="65">
        <v>45729</v>
      </c>
      <c r="C218" s="70">
        <v>0.52761574074074069</v>
      </c>
      <c r="D218" s="66" t="s">
        <v>98</v>
      </c>
      <c r="G218" s="66" t="s">
        <v>200</v>
      </c>
      <c r="H218" s="66" t="s">
        <v>100</v>
      </c>
      <c r="I218" s="33" t="str">
        <f ca="1"/>
        <v>25,21</v>
      </c>
      <c r="J218" s="2">
        <v>218</v>
      </c>
      <c r="K218" s="2" t="str">
        <v>No Match</v>
      </c>
      <c r="M218" s="33">
        <f ca="1"/>
        <v>25.21</v>
      </c>
      <c r="N218" s="2" t="e">
        <f ca="1"/>
        <v>#N/A</v>
      </c>
      <c r="O218" s="2" t="e">
        <f ca="1"/>
        <v>#N/A</v>
      </c>
      <c r="P218" s="2" t="e">
        <f ca="1"/>
        <v>#N/A</v>
      </c>
      <c r="Q218" s="33" t="e">
        <f ca="1"/>
        <v>#N/A</v>
      </c>
      <c r="R218" s="33" t="e">
        <f ca="1"/>
        <v>#N/A</v>
      </c>
    </row>
    <row r="219" spans="1:18" x14ac:dyDescent="0.2">
      <c r="A219" s="2">
        <v>218</v>
      </c>
      <c r="B219" s="65">
        <v>45729</v>
      </c>
      <c r="C219" s="70">
        <v>0.5289814814814815</v>
      </c>
      <c r="D219" s="66" t="s">
        <v>98</v>
      </c>
      <c r="G219" s="66" t="s">
        <v>123</v>
      </c>
      <c r="H219" s="66" t="s">
        <v>100</v>
      </c>
      <c r="I219" s="33" t="str">
        <f ca="1"/>
        <v>25,13</v>
      </c>
      <c r="J219" s="2">
        <v>219</v>
      </c>
      <c r="K219" s="2" t="str">
        <v>No Match</v>
      </c>
      <c r="M219" s="33">
        <f ca="1"/>
        <v>25.13</v>
      </c>
      <c r="N219" s="2" t="e">
        <f ca="1"/>
        <v>#N/A</v>
      </c>
      <c r="O219" s="2" t="e">
        <f ca="1"/>
        <v>#N/A</v>
      </c>
      <c r="P219" s="2" t="e">
        <f ca="1"/>
        <v>#N/A</v>
      </c>
      <c r="Q219" s="33" t="e">
        <f ca="1"/>
        <v>#N/A</v>
      </c>
      <c r="R219" s="33" t="e">
        <f ca="1"/>
        <v>#N/A</v>
      </c>
    </row>
    <row r="220" spans="1:18" x14ac:dyDescent="0.2">
      <c r="A220" s="2">
        <v>219</v>
      </c>
      <c r="B220" s="65">
        <v>45729</v>
      </c>
      <c r="C220" s="70">
        <v>0.52922453703703709</v>
      </c>
      <c r="D220" s="66" t="s">
        <v>98</v>
      </c>
      <c r="G220" s="66" t="s">
        <v>110</v>
      </c>
      <c r="H220" s="66" t="s">
        <v>100</v>
      </c>
      <c r="I220" s="33" t="str">
        <f ca="1"/>
        <v>25,12</v>
      </c>
      <c r="J220" s="2">
        <v>220</v>
      </c>
      <c r="K220" s="2" t="str">
        <v>No Match</v>
      </c>
      <c r="M220" s="33">
        <f ca="1"/>
        <v>25.12</v>
      </c>
      <c r="N220" s="2" t="e">
        <f ca="1"/>
        <v>#N/A</v>
      </c>
      <c r="O220" s="2" t="e">
        <f ca="1"/>
        <v>#N/A</v>
      </c>
      <c r="P220" s="2" t="e">
        <f ca="1"/>
        <v>#N/A</v>
      </c>
      <c r="Q220" s="33" t="e">
        <f ca="1"/>
        <v>#N/A</v>
      </c>
      <c r="R220" s="33" t="e">
        <f ca="1"/>
        <v>#N/A</v>
      </c>
    </row>
    <row r="221" spans="1:18" x14ac:dyDescent="0.2">
      <c r="A221" s="2">
        <v>220</v>
      </c>
      <c r="B221" s="65">
        <v>45729</v>
      </c>
      <c r="C221" s="70">
        <v>0.52949074074074076</v>
      </c>
      <c r="D221" s="66" t="s">
        <v>98</v>
      </c>
      <c r="G221" s="66" t="s">
        <v>112</v>
      </c>
      <c r="H221" s="66" t="s">
        <v>100</v>
      </c>
      <c r="I221" s="33" t="str">
        <f ca="1"/>
        <v>25,36</v>
      </c>
      <c r="J221" s="2">
        <v>221</v>
      </c>
      <c r="K221" s="2" t="str">
        <v>No Match</v>
      </c>
      <c r="M221" s="33">
        <f ca="1"/>
        <v>25.36</v>
      </c>
      <c r="N221" s="2">
        <f ca="1"/>
        <v>25</v>
      </c>
      <c r="O221" s="2">
        <f ca="1"/>
        <v>24.625</v>
      </c>
      <c r="P221" s="2">
        <f ca="1"/>
        <v>25.375</v>
      </c>
      <c r="Q221" s="33">
        <f ca="1"/>
        <v>25.200454545454548</v>
      </c>
      <c r="R221" s="33">
        <f ca="1"/>
        <v>25.225000000000001</v>
      </c>
    </row>
    <row r="222" spans="1:18" x14ac:dyDescent="0.2">
      <c r="A222" s="2">
        <v>221</v>
      </c>
      <c r="B222" s="65">
        <v>45729</v>
      </c>
      <c r="C222" s="70">
        <v>0.52995370370370365</v>
      </c>
      <c r="D222" s="66" t="s">
        <v>98</v>
      </c>
      <c r="G222" s="66" t="s">
        <v>102</v>
      </c>
      <c r="H222" s="66" t="s">
        <v>100</v>
      </c>
      <c r="I222" s="33" t="str">
        <f ca="1"/>
        <v>25,06</v>
      </c>
      <c r="J222" s="2">
        <v>222</v>
      </c>
      <c r="K222" s="2" t="str">
        <v>No Match</v>
      </c>
      <c r="M222" s="33">
        <f ca="1"/>
        <v>25.06</v>
      </c>
      <c r="N222" s="2" t="e">
        <f ca="1"/>
        <v>#N/A</v>
      </c>
      <c r="O222" s="2" t="e">
        <f ca="1"/>
        <v>#N/A</v>
      </c>
      <c r="P222" s="2" t="e">
        <f ca="1"/>
        <v>#N/A</v>
      </c>
      <c r="Q222" s="33" t="e">
        <f ca="1"/>
        <v>#N/A</v>
      </c>
      <c r="R222" s="33" t="e">
        <f ca="1"/>
        <v>#N/A</v>
      </c>
    </row>
    <row r="223" spans="1:18" x14ac:dyDescent="0.2">
      <c r="A223" s="2">
        <v>222</v>
      </c>
      <c r="B223" s="65">
        <v>45729</v>
      </c>
      <c r="C223" s="70">
        <v>0.56939814814814815</v>
      </c>
      <c r="D223" s="66" t="s">
        <v>98</v>
      </c>
      <c r="G223" s="66" t="s">
        <v>180</v>
      </c>
      <c r="H223" s="66" t="s">
        <v>100</v>
      </c>
      <c r="I223" s="33" t="str">
        <f ca="1"/>
        <v>25,04</v>
      </c>
      <c r="J223" s="2">
        <v>223</v>
      </c>
      <c r="K223" s="2" t="str">
        <v>No Match</v>
      </c>
      <c r="M223" s="33">
        <f ca="1"/>
        <v>25.04</v>
      </c>
      <c r="N223" s="2" t="e">
        <f ca="1"/>
        <v>#N/A</v>
      </c>
      <c r="O223" s="2" t="e">
        <f ca="1"/>
        <v>#N/A</v>
      </c>
      <c r="P223" s="2" t="e">
        <f ca="1"/>
        <v>#N/A</v>
      </c>
      <c r="Q223" s="33" t="e">
        <f ca="1"/>
        <v>#N/A</v>
      </c>
      <c r="R223" s="33" t="e">
        <f ca="1"/>
        <v>#N/A</v>
      </c>
    </row>
    <row r="224" spans="1:18" x14ac:dyDescent="0.2">
      <c r="A224" s="2">
        <v>223</v>
      </c>
      <c r="B224" s="65">
        <v>45729</v>
      </c>
      <c r="C224" s="70">
        <v>0.56944444444444442</v>
      </c>
      <c r="D224" s="66" t="s">
        <v>98</v>
      </c>
      <c r="G224" s="66" t="s">
        <v>159</v>
      </c>
      <c r="H224" s="66" t="s">
        <v>100</v>
      </c>
      <c r="I224" s="33" t="str">
        <f ca="1"/>
        <v>25,26</v>
      </c>
      <c r="J224" s="2">
        <v>224</v>
      </c>
      <c r="K224" s="2" t="str">
        <v>No Match</v>
      </c>
      <c r="M224" s="33">
        <f ca="1"/>
        <v>25.26</v>
      </c>
      <c r="N224" s="2" t="e">
        <f ca="1"/>
        <v>#N/A</v>
      </c>
      <c r="O224" s="2" t="e">
        <f ca="1"/>
        <v>#N/A</v>
      </c>
      <c r="P224" s="2" t="e">
        <f ca="1"/>
        <v>#N/A</v>
      </c>
      <c r="Q224" s="33" t="e">
        <f ca="1"/>
        <v>#N/A</v>
      </c>
      <c r="R224" s="33" t="e">
        <f ca="1"/>
        <v>#N/A</v>
      </c>
    </row>
    <row r="225" spans="1:18" x14ac:dyDescent="0.2">
      <c r="A225" s="2">
        <v>224</v>
      </c>
      <c r="B225" s="65">
        <v>45729</v>
      </c>
      <c r="C225" s="70">
        <v>0.5695486111111111</v>
      </c>
      <c r="D225" s="66" t="s">
        <v>98</v>
      </c>
      <c r="G225" s="66" t="s">
        <v>135</v>
      </c>
      <c r="H225" s="66" t="s">
        <v>100</v>
      </c>
      <c r="I225" s="33" t="str">
        <f ca="1"/>
        <v>25,15</v>
      </c>
      <c r="J225" s="2">
        <v>225</v>
      </c>
      <c r="K225" s="2" t="str">
        <v>No Match</v>
      </c>
      <c r="M225" s="33">
        <f ca="1"/>
        <v>25.15</v>
      </c>
      <c r="N225" s="2" t="e">
        <f ca="1"/>
        <v>#N/A</v>
      </c>
      <c r="O225" s="2" t="e">
        <f ca="1"/>
        <v>#N/A</v>
      </c>
      <c r="P225" s="2" t="e">
        <f ca="1"/>
        <v>#N/A</v>
      </c>
      <c r="Q225" s="33" t="e">
        <f ca="1"/>
        <v>#N/A</v>
      </c>
      <c r="R225" s="33" t="e">
        <f ca="1"/>
        <v>#N/A</v>
      </c>
    </row>
    <row r="226" spans="1:18" x14ac:dyDescent="0.2">
      <c r="A226" s="2">
        <v>225</v>
      </c>
      <c r="B226" s="65">
        <v>45729</v>
      </c>
      <c r="C226" s="70">
        <v>0.56959490740740737</v>
      </c>
      <c r="D226" s="66" t="s">
        <v>98</v>
      </c>
      <c r="G226" s="66" t="s">
        <v>208</v>
      </c>
      <c r="H226" s="66" t="s">
        <v>100</v>
      </c>
      <c r="I226" s="33" t="str">
        <f ca="1"/>
        <v>25,17</v>
      </c>
      <c r="J226" s="2">
        <v>226</v>
      </c>
      <c r="K226" s="2" t="str">
        <v>No Match</v>
      </c>
      <c r="M226" s="33">
        <f ca="1"/>
        <v>25.17</v>
      </c>
      <c r="N226" s="2" t="e">
        <f ca="1"/>
        <v>#N/A</v>
      </c>
      <c r="O226" s="2" t="e">
        <f ca="1"/>
        <v>#N/A</v>
      </c>
      <c r="P226" s="2" t="e">
        <f ca="1"/>
        <v>#N/A</v>
      </c>
      <c r="Q226" s="33" t="e">
        <f ca="1"/>
        <v>#N/A</v>
      </c>
      <c r="R226" s="33" t="e">
        <f ca="1"/>
        <v>#N/A</v>
      </c>
    </row>
    <row r="227" spans="1:18" x14ac:dyDescent="0.2">
      <c r="A227" s="2">
        <v>226</v>
      </c>
      <c r="B227" s="65">
        <v>45729</v>
      </c>
      <c r="C227" s="70">
        <v>0.56964120370370375</v>
      </c>
      <c r="D227" s="66" t="s">
        <v>98</v>
      </c>
      <c r="G227" s="66" t="s">
        <v>176</v>
      </c>
      <c r="H227" s="66" t="s">
        <v>100</v>
      </c>
      <c r="I227" s="33" t="str">
        <f ca="1"/>
        <v>25,18</v>
      </c>
      <c r="J227" s="2">
        <v>227</v>
      </c>
      <c r="K227" s="2" t="str">
        <v>No Match</v>
      </c>
      <c r="M227" s="33">
        <f ca="1"/>
        <v>25.18</v>
      </c>
      <c r="N227" s="2" t="e">
        <f ca="1"/>
        <v>#N/A</v>
      </c>
      <c r="O227" s="2" t="e">
        <f ca="1"/>
        <v>#N/A</v>
      </c>
      <c r="P227" s="2" t="e">
        <f ca="1"/>
        <v>#N/A</v>
      </c>
      <c r="Q227" s="33" t="e">
        <f ca="1"/>
        <v>#N/A</v>
      </c>
      <c r="R227" s="33" t="e">
        <f ca="1"/>
        <v>#N/A</v>
      </c>
    </row>
    <row r="228" spans="1:18" x14ac:dyDescent="0.2">
      <c r="A228" s="2">
        <v>227</v>
      </c>
      <c r="B228" s="65">
        <v>45729</v>
      </c>
      <c r="C228" s="70">
        <v>0.56968750000000001</v>
      </c>
      <c r="D228" s="66" t="s">
        <v>98</v>
      </c>
      <c r="G228" s="66" t="s">
        <v>125</v>
      </c>
      <c r="H228" s="66" t="s">
        <v>100</v>
      </c>
      <c r="I228" s="33" t="str">
        <f ca="1"/>
        <v>25,20</v>
      </c>
      <c r="J228" s="2">
        <v>228</v>
      </c>
      <c r="K228" s="2" t="str">
        <v>No Match</v>
      </c>
      <c r="M228" s="33">
        <f ca="1"/>
        <v>25.2</v>
      </c>
      <c r="N228" s="2" t="e">
        <f ca="1"/>
        <v>#N/A</v>
      </c>
      <c r="O228" s="2" t="e">
        <f ca="1"/>
        <v>#N/A</v>
      </c>
      <c r="P228" s="2" t="e">
        <f ca="1"/>
        <v>#N/A</v>
      </c>
      <c r="Q228" s="33" t="e">
        <f ca="1"/>
        <v>#N/A</v>
      </c>
      <c r="R228" s="33" t="e">
        <f ca="1"/>
        <v>#N/A</v>
      </c>
    </row>
    <row r="229" spans="1:18" x14ac:dyDescent="0.2">
      <c r="A229" s="2">
        <v>228</v>
      </c>
      <c r="B229" s="65">
        <v>45729</v>
      </c>
      <c r="C229" s="70">
        <v>0.56973379629629628</v>
      </c>
      <c r="D229" s="66" t="s">
        <v>98</v>
      </c>
      <c r="G229" s="66" t="s">
        <v>128</v>
      </c>
      <c r="H229" s="66" t="s">
        <v>100</v>
      </c>
      <c r="I229" s="33" t="str">
        <f ca="1"/>
        <v>25,23</v>
      </c>
      <c r="J229" s="2">
        <v>229</v>
      </c>
      <c r="K229" s="2" t="str">
        <v>No Match</v>
      </c>
      <c r="M229" s="33">
        <f ca="1"/>
        <v>25.23</v>
      </c>
      <c r="N229" s="2" t="e">
        <f ca="1"/>
        <v>#N/A</v>
      </c>
      <c r="O229" s="2" t="e">
        <f ca="1"/>
        <v>#N/A</v>
      </c>
      <c r="P229" s="2" t="e">
        <f ca="1"/>
        <v>#N/A</v>
      </c>
      <c r="Q229" s="33" t="e">
        <f ca="1"/>
        <v>#N/A</v>
      </c>
      <c r="R229" s="33" t="e">
        <f ca="1"/>
        <v>#N/A</v>
      </c>
    </row>
    <row r="230" spans="1:18" x14ac:dyDescent="0.2">
      <c r="A230" s="2">
        <v>229</v>
      </c>
      <c r="B230" s="65">
        <v>45729</v>
      </c>
      <c r="C230" s="70">
        <v>0.56978009259259255</v>
      </c>
      <c r="D230" s="66" t="s">
        <v>98</v>
      </c>
      <c r="G230" s="66" t="s">
        <v>123</v>
      </c>
      <c r="H230" s="66" t="s">
        <v>100</v>
      </c>
      <c r="I230" s="33" t="str">
        <f ca="1"/>
        <v>25,13</v>
      </c>
      <c r="J230" s="2">
        <v>230</v>
      </c>
      <c r="K230" s="2" t="str">
        <v>No Match</v>
      </c>
      <c r="M230" s="33">
        <f ca="1"/>
        <v>25.13</v>
      </c>
      <c r="N230" s="2" t="e">
        <f ca="1"/>
        <v>#N/A</v>
      </c>
      <c r="O230" s="2" t="e">
        <f ca="1"/>
        <v>#N/A</v>
      </c>
      <c r="P230" s="2" t="e">
        <f ca="1"/>
        <v>#N/A</v>
      </c>
      <c r="Q230" s="33" t="e">
        <f ca="1"/>
        <v>#N/A</v>
      </c>
      <c r="R230" s="33" t="e">
        <f ca="1"/>
        <v>#N/A</v>
      </c>
    </row>
    <row r="231" spans="1:18" x14ac:dyDescent="0.2">
      <c r="A231" s="2">
        <v>230</v>
      </c>
      <c r="B231" s="65">
        <v>45729</v>
      </c>
      <c r="C231" s="70">
        <v>0.56982638888888892</v>
      </c>
      <c r="D231" s="66" t="s">
        <v>98</v>
      </c>
      <c r="G231" s="66" t="s">
        <v>102</v>
      </c>
      <c r="H231" s="66" t="s">
        <v>100</v>
      </c>
      <c r="I231" s="33" t="str">
        <f ca="1"/>
        <v>25,06</v>
      </c>
      <c r="J231" s="2">
        <v>231</v>
      </c>
      <c r="K231" s="2" t="str">
        <v>No Match</v>
      </c>
      <c r="M231" s="33">
        <f ca="1"/>
        <v>25.06</v>
      </c>
      <c r="N231" s="2">
        <f ca="1"/>
        <v>25</v>
      </c>
      <c r="O231" s="2">
        <f ca="1"/>
        <v>24.625</v>
      </c>
      <c r="P231" s="2">
        <f ca="1"/>
        <v>25.375</v>
      </c>
      <c r="Q231" s="33">
        <f ca="1"/>
        <v>25.198173913043483</v>
      </c>
      <c r="R231" s="33">
        <f ca="1"/>
        <v>25.147999999999996</v>
      </c>
    </row>
    <row r="232" spans="1:18" x14ac:dyDescent="0.2">
      <c r="A232" s="2">
        <v>231</v>
      </c>
      <c r="B232" s="65">
        <v>45729</v>
      </c>
      <c r="C232" s="70">
        <v>0.56987268518518519</v>
      </c>
      <c r="D232" s="66" t="s">
        <v>98</v>
      </c>
      <c r="G232" s="66" t="s">
        <v>201</v>
      </c>
      <c r="H232" s="66" t="s">
        <v>100</v>
      </c>
      <c r="I232" s="33" t="str">
        <f ca="1"/>
        <v>25,02</v>
      </c>
      <c r="J232" s="2">
        <v>232</v>
      </c>
      <c r="K232" s="2" t="str">
        <v>No Match</v>
      </c>
      <c r="M232" s="33">
        <f ca="1"/>
        <v>25.02</v>
      </c>
      <c r="N232" s="2" t="e">
        <f ca="1"/>
        <v>#N/A</v>
      </c>
      <c r="O232" s="2" t="e">
        <f ca="1"/>
        <v>#N/A</v>
      </c>
      <c r="P232" s="2" t="e">
        <f ca="1"/>
        <v>#N/A</v>
      </c>
      <c r="Q232" s="33" t="e">
        <f ca="1"/>
        <v>#N/A</v>
      </c>
      <c r="R232" s="33" t="e">
        <f ca="1"/>
        <v>#N/A</v>
      </c>
    </row>
    <row r="233" spans="1:18" x14ac:dyDescent="0.2">
      <c r="A233" s="2">
        <v>232</v>
      </c>
      <c r="B233" s="65">
        <v>45729</v>
      </c>
      <c r="C233" s="70">
        <v>0.56993055555555561</v>
      </c>
      <c r="D233" s="66" t="s">
        <v>98</v>
      </c>
      <c r="G233" s="66" t="s">
        <v>142</v>
      </c>
      <c r="H233" s="66" t="s">
        <v>100</v>
      </c>
      <c r="I233" s="33" t="str">
        <f ca="1"/>
        <v>25,03</v>
      </c>
      <c r="J233" s="2">
        <v>233</v>
      </c>
      <c r="K233" s="2" t="str">
        <v>No Match</v>
      </c>
      <c r="M233" s="33">
        <f ca="1"/>
        <v>25.03</v>
      </c>
      <c r="N233" s="2" t="e">
        <f ca="1"/>
        <v>#N/A</v>
      </c>
      <c r="O233" s="2" t="e">
        <f ca="1"/>
        <v>#N/A</v>
      </c>
      <c r="P233" s="2" t="e">
        <f ca="1"/>
        <v>#N/A</v>
      </c>
      <c r="Q233" s="33" t="e">
        <f ca="1"/>
        <v>#N/A</v>
      </c>
      <c r="R233" s="33" t="e">
        <f ca="1"/>
        <v>#N/A</v>
      </c>
    </row>
    <row r="234" spans="1:18" x14ac:dyDescent="0.2">
      <c r="A234" s="2">
        <v>233</v>
      </c>
      <c r="B234" s="65">
        <v>45729</v>
      </c>
      <c r="C234" s="70">
        <v>0.57549768518518518</v>
      </c>
      <c r="D234" s="66" t="s">
        <v>98</v>
      </c>
      <c r="G234" s="66" t="s">
        <v>204</v>
      </c>
      <c r="H234" s="66" t="s">
        <v>100</v>
      </c>
      <c r="I234" s="33" t="str">
        <f ca="1"/>
        <v>25,01</v>
      </c>
      <c r="J234" s="2">
        <v>234</v>
      </c>
      <c r="K234" s="2" t="str">
        <v>No Match</v>
      </c>
      <c r="M234" s="33">
        <f ca="1"/>
        <v>25.01</v>
      </c>
      <c r="N234" s="2" t="e">
        <f ca="1"/>
        <v>#N/A</v>
      </c>
      <c r="O234" s="2" t="e">
        <f ca="1"/>
        <v>#N/A</v>
      </c>
      <c r="P234" s="2" t="e">
        <f ca="1"/>
        <v>#N/A</v>
      </c>
      <c r="Q234" s="33" t="e">
        <f ca="1"/>
        <v>#N/A</v>
      </c>
      <c r="R234" s="33" t="e">
        <f ca="1"/>
        <v>#N/A</v>
      </c>
    </row>
    <row r="235" spans="1:18" x14ac:dyDescent="0.2">
      <c r="A235" s="2">
        <v>234</v>
      </c>
      <c r="B235" s="65">
        <v>45729</v>
      </c>
      <c r="C235" s="70">
        <v>0.57767361111111115</v>
      </c>
      <c r="D235" s="66" t="s">
        <v>98</v>
      </c>
      <c r="G235" s="66" t="s">
        <v>136</v>
      </c>
      <c r="H235" s="66" t="s">
        <v>100</v>
      </c>
      <c r="I235" s="33" t="str">
        <f ca="1"/>
        <v>25,22</v>
      </c>
      <c r="J235" s="2">
        <v>235</v>
      </c>
      <c r="K235" s="2" t="str">
        <v>No Match</v>
      </c>
      <c r="M235" s="33">
        <f ca="1"/>
        <v>25.22</v>
      </c>
      <c r="N235" s="2" t="e">
        <f ca="1"/>
        <v>#N/A</v>
      </c>
      <c r="O235" s="2" t="e">
        <f ca="1"/>
        <v>#N/A</v>
      </c>
      <c r="P235" s="2" t="e">
        <f ca="1"/>
        <v>#N/A</v>
      </c>
      <c r="Q235" s="33" t="e">
        <f ca="1"/>
        <v>#N/A</v>
      </c>
      <c r="R235" s="33" t="e">
        <f ca="1"/>
        <v>#N/A</v>
      </c>
    </row>
    <row r="236" spans="1:18" x14ac:dyDescent="0.2">
      <c r="A236" s="2">
        <v>235</v>
      </c>
      <c r="B236" s="65">
        <v>45729</v>
      </c>
      <c r="C236" s="70">
        <v>0.57968750000000002</v>
      </c>
      <c r="D236" s="66" t="s">
        <v>98</v>
      </c>
      <c r="G236" s="66" t="s">
        <v>124</v>
      </c>
      <c r="H236" s="66" t="s">
        <v>100</v>
      </c>
      <c r="I236" s="33" t="str">
        <f ca="1"/>
        <v>25,09</v>
      </c>
      <c r="J236" s="2">
        <v>236</v>
      </c>
      <c r="K236" s="2" t="str">
        <v>No Match</v>
      </c>
      <c r="M236" s="33">
        <f ca="1"/>
        <v>25.09</v>
      </c>
      <c r="N236" s="2" t="e">
        <f ca="1"/>
        <v>#N/A</v>
      </c>
      <c r="O236" s="2" t="e">
        <f ca="1"/>
        <v>#N/A</v>
      </c>
      <c r="P236" s="2" t="e">
        <f ca="1"/>
        <v>#N/A</v>
      </c>
      <c r="Q236" s="33" t="e">
        <f ca="1"/>
        <v>#N/A</v>
      </c>
      <c r="R236" s="33" t="e">
        <f ca="1"/>
        <v>#N/A</v>
      </c>
    </row>
    <row r="237" spans="1:18" x14ac:dyDescent="0.2">
      <c r="A237" s="2">
        <v>236</v>
      </c>
      <c r="B237" s="65">
        <v>45729</v>
      </c>
      <c r="C237" s="70">
        <v>0.58042824074074073</v>
      </c>
      <c r="D237" s="66" t="s">
        <v>98</v>
      </c>
      <c r="G237" s="66" t="s">
        <v>196</v>
      </c>
      <c r="H237" s="66" t="s">
        <v>100</v>
      </c>
      <c r="I237" s="33" t="str">
        <f ca="1"/>
        <v>24,81</v>
      </c>
      <c r="J237" s="2">
        <v>237</v>
      </c>
      <c r="K237" s="2" t="str">
        <v>No Match</v>
      </c>
      <c r="M237" s="33">
        <f ca="1"/>
        <v>24.81</v>
      </c>
      <c r="N237" s="2" t="e">
        <f ca="1"/>
        <v>#N/A</v>
      </c>
      <c r="O237" s="2" t="e">
        <f ca="1"/>
        <v>#N/A</v>
      </c>
      <c r="P237" s="2" t="e">
        <f ca="1"/>
        <v>#N/A</v>
      </c>
      <c r="Q237" s="33" t="e">
        <f ca="1"/>
        <v>#N/A</v>
      </c>
      <c r="R237" s="33" t="e">
        <f ca="1"/>
        <v>#N/A</v>
      </c>
    </row>
    <row r="238" spans="1:18" x14ac:dyDescent="0.2">
      <c r="A238" s="2">
        <v>237</v>
      </c>
      <c r="B238" s="65">
        <v>45729</v>
      </c>
      <c r="C238" s="70">
        <v>0.58203703703703702</v>
      </c>
      <c r="D238" s="66" t="s">
        <v>98</v>
      </c>
      <c r="G238" s="66" t="s">
        <v>236</v>
      </c>
      <c r="H238" s="66" t="s">
        <v>100</v>
      </c>
      <c r="I238" s="33" t="str">
        <f ca="1"/>
        <v>24,72</v>
      </c>
      <c r="J238" s="2">
        <v>238</v>
      </c>
      <c r="K238" s="2" t="str">
        <v>No Match</v>
      </c>
      <c r="M238" s="33">
        <f ca="1"/>
        <v>24.72</v>
      </c>
      <c r="N238" s="2" t="e">
        <f ca="1"/>
        <v>#N/A</v>
      </c>
      <c r="O238" s="2" t="e">
        <f ca="1"/>
        <v>#N/A</v>
      </c>
      <c r="P238" s="2" t="e">
        <f ca="1"/>
        <v>#N/A</v>
      </c>
      <c r="Q238" s="33" t="e">
        <f ca="1"/>
        <v>#N/A</v>
      </c>
      <c r="R238" s="33" t="e">
        <f ca="1"/>
        <v>#N/A</v>
      </c>
    </row>
    <row r="239" spans="1:18" x14ac:dyDescent="0.2">
      <c r="A239" s="2">
        <v>238</v>
      </c>
      <c r="B239" s="65">
        <v>45729</v>
      </c>
      <c r="C239" s="70">
        <v>0.5835069444444444</v>
      </c>
      <c r="D239" s="66" t="s">
        <v>98</v>
      </c>
      <c r="G239" s="66" t="s">
        <v>199</v>
      </c>
      <c r="H239" s="66" t="s">
        <v>100</v>
      </c>
      <c r="I239" s="33" t="str">
        <f ca="1"/>
        <v>25,78</v>
      </c>
      <c r="J239" s="2">
        <v>239</v>
      </c>
      <c r="K239" s="2" t="str">
        <v>No Match</v>
      </c>
      <c r="M239" s="33">
        <f ca="1"/>
        <v>25.78</v>
      </c>
      <c r="N239" s="2" t="e">
        <f ca="1"/>
        <v>#N/A</v>
      </c>
      <c r="O239" s="2" t="e">
        <f ca="1"/>
        <v>#N/A</v>
      </c>
      <c r="P239" s="2" t="e">
        <f ca="1"/>
        <v>#N/A</v>
      </c>
      <c r="Q239" s="33" t="e">
        <f ca="1"/>
        <v>#N/A</v>
      </c>
      <c r="R239" s="33" t="e">
        <f ca="1"/>
        <v>#N/A</v>
      </c>
    </row>
    <row r="240" spans="1:18" x14ac:dyDescent="0.2">
      <c r="A240" s="2">
        <v>239</v>
      </c>
      <c r="B240" s="65">
        <v>45729</v>
      </c>
      <c r="C240" s="70">
        <v>0.58451388888888889</v>
      </c>
      <c r="D240" s="66" t="s">
        <v>98</v>
      </c>
      <c r="G240" s="66" t="s">
        <v>130</v>
      </c>
      <c r="H240" s="66" t="s">
        <v>100</v>
      </c>
      <c r="I240" s="33" t="str">
        <f ca="1"/>
        <v>25,93</v>
      </c>
      <c r="J240" s="2">
        <v>240</v>
      </c>
      <c r="K240" s="2" t="str">
        <v>No Match</v>
      </c>
      <c r="M240" s="33">
        <f ca="1"/>
        <v>25.93</v>
      </c>
      <c r="N240" s="2" t="e">
        <f ca="1"/>
        <v>#N/A</v>
      </c>
      <c r="O240" s="2" t="e">
        <f ca="1"/>
        <v>#N/A</v>
      </c>
      <c r="P240" s="2" t="e">
        <f ca="1"/>
        <v>#N/A</v>
      </c>
      <c r="Q240" s="33" t="e">
        <f ca="1"/>
        <v>#N/A</v>
      </c>
      <c r="R240" s="33" t="e">
        <f ca="1"/>
        <v>#N/A</v>
      </c>
    </row>
    <row r="241" spans="1:18" x14ac:dyDescent="0.2">
      <c r="A241" s="2">
        <v>240</v>
      </c>
      <c r="B241" s="65">
        <v>45729</v>
      </c>
      <c r="C241" s="70">
        <v>0.58575231481481482</v>
      </c>
      <c r="D241" s="66" t="s">
        <v>98</v>
      </c>
      <c r="G241" s="66" t="s">
        <v>167</v>
      </c>
      <c r="H241" s="66" t="s">
        <v>100</v>
      </c>
      <c r="I241" s="33" t="str">
        <f ca="1"/>
        <v>25,62</v>
      </c>
      <c r="J241" s="2">
        <v>241</v>
      </c>
      <c r="K241" s="2" t="str">
        <v>No Match</v>
      </c>
      <c r="M241" s="33">
        <f ca="1"/>
        <v>25.62</v>
      </c>
      <c r="N241" s="2">
        <f ca="1"/>
        <v>25</v>
      </c>
      <c r="O241" s="2">
        <f ca="1"/>
        <v>24.625</v>
      </c>
      <c r="P241" s="2">
        <f ca="1"/>
        <v>25.375</v>
      </c>
      <c r="Q241" s="33">
        <f ca="1"/>
        <v>25.199208333333342</v>
      </c>
      <c r="R241" s="33">
        <f ca="1"/>
        <v>25.223000000000003</v>
      </c>
    </row>
    <row r="242" spans="1:18" x14ac:dyDescent="0.2">
      <c r="A242" s="2">
        <v>241</v>
      </c>
      <c r="B242" s="65">
        <v>45729</v>
      </c>
      <c r="C242" s="70">
        <v>0.58680555555555558</v>
      </c>
      <c r="D242" s="66" t="s">
        <v>98</v>
      </c>
      <c r="G242" s="66" t="s">
        <v>165</v>
      </c>
      <c r="H242" s="66" t="s">
        <v>100</v>
      </c>
      <c r="I242" s="33" t="str">
        <f ca="1"/>
        <v>25,42</v>
      </c>
      <c r="J242" s="2">
        <v>242</v>
      </c>
      <c r="K242" s="2" t="str">
        <v>No Match</v>
      </c>
      <c r="M242" s="33">
        <f ca="1"/>
        <v>25.42</v>
      </c>
      <c r="N242" s="2" t="e">
        <f ca="1"/>
        <v>#N/A</v>
      </c>
      <c r="O242" s="2" t="e">
        <f ca="1"/>
        <v>#N/A</v>
      </c>
      <c r="P242" s="2" t="e">
        <f ca="1"/>
        <v>#N/A</v>
      </c>
      <c r="Q242" s="33" t="e">
        <f ca="1"/>
        <v>#N/A</v>
      </c>
      <c r="R242" s="33" t="e">
        <f ca="1"/>
        <v>#N/A</v>
      </c>
    </row>
    <row r="243" spans="1:18" x14ac:dyDescent="0.2">
      <c r="A243" s="2">
        <v>242</v>
      </c>
      <c r="B243" s="65">
        <v>45729</v>
      </c>
      <c r="C243" s="70">
        <v>0.58694444444444449</v>
      </c>
      <c r="D243" s="66" t="s">
        <v>98</v>
      </c>
      <c r="G243" s="66" t="s">
        <v>226</v>
      </c>
      <c r="H243" s="66" t="s">
        <v>100</v>
      </c>
      <c r="I243" s="33" t="str">
        <f ca="1"/>
        <v>25,68</v>
      </c>
      <c r="J243" s="2">
        <v>243</v>
      </c>
      <c r="K243" s="2" t="str">
        <v>No Match</v>
      </c>
      <c r="M243" s="33">
        <f ca="1"/>
        <v>25.68</v>
      </c>
      <c r="N243" s="2" t="e">
        <f ca="1"/>
        <v>#N/A</v>
      </c>
      <c r="O243" s="2" t="e">
        <f ca="1"/>
        <v>#N/A</v>
      </c>
      <c r="P243" s="2" t="e">
        <f ca="1"/>
        <v>#N/A</v>
      </c>
      <c r="Q243" s="33" t="e">
        <f ca="1"/>
        <v>#N/A</v>
      </c>
      <c r="R243" s="33" t="e">
        <f ca="1"/>
        <v>#N/A</v>
      </c>
    </row>
    <row r="244" spans="1:18" x14ac:dyDescent="0.2">
      <c r="A244" s="2">
        <v>243</v>
      </c>
      <c r="B244" s="65">
        <v>45729</v>
      </c>
      <c r="C244" s="70">
        <v>0.58699074074074076</v>
      </c>
      <c r="D244" s="66" t="s">
        <v>98</v>
      </c>
      <c r="G244" s="66" t="s">
        <v>101</v>
      </c>
      <c r="H244" s="66" t="s">
        <v>100</v>
      </c>
      <c r="I244" s="33" t="str">
        <f ca="1"/>
        <v>25,64</v>
      </c>
      <c r="J244" s="2">
        <v>244</v>
      </c>
      <c r="K244" s="2" t="str">
        <v>No Match</v>
      </c>
      <c r="M244" s="33">
        <f ca="1"/>
        <v>25.64</v>
      </c>
      <c r="N244" s="2" t="e">
        <f ca="1"/>
        <v>#N/A</v>
      </c>
      <c r="O244" s="2" t="e">
        <f ca="1"/>
        <v>#N/A</v>
      </c>
      <c r="P244" s="2" t="e">
        <f ca="1"/>
        <v>#N/A</v>
      </c>
      <c r="Q244" s="33" t="e">
        <f ca="1"/>
        <v>#N/A</v>
      </c>
      <c r="R244" s="33" t="e">
        <f ca="1"/>
        <v>#N/A</v>
      </c>
    </row>
    <row r="245" spans="1:18" x14ac:dyDescent="0.2">
      <c r="A245" s="2">
        <v>244</v>
      </c>
      <c r="B245" s="65">
        <v>45729</v>
      </c>
      <c r="C245" s="70">
        <v>0.58733796296296292</v>
      </c>
      <c r="D245" s="66" t="s">
        <v>98</v>
      </c>
      <c r="G245" s="66" t="s">
        <v>146</v>
      </c>
      <c r="H245" s="66" t="s">
        <v>100</v>
      </c>
      <c r="I245" s="33" t="str">
        <f ca="1"/>
        <v>25,37</v>
      </c>
      <c r="J245" s="2">
        <v>245</v>
      </c>
      <c r="K245" s="2" t="str">
        <v>No Match</v>
      </c>
      <c r="M245" s="33">
        <f ca="1"/>
        <v>25.37</v>
      </c>
      <c r="N245" s="2" t="e">
        <f ca="1"/>
        <v>#N/A</v>
      </c>
      <c r="O245" s="2" t="e">
        <f ca="1"/>
        <v>#N/A</v>
      </c>
      <c r="P245" s="2" t="e">
        <f ca="1"/>
        <v>#N/A</v>
      </c>
      <c r="Q245" s="33" t="e">
        <f ca="1"/>
        <v>#N/A</v>
      </c>
      <c r="R245" s="33" t="e">
        <f ca="1"/>
        <v>#N/A</v>
      </c>
    </row>
    <row r="246" spans="1:18" x14ac:dyDescent="0.2">
      <c r="A246" s="2">
        <v>245</v>
      </c>
      <c r="B246" s="65">
        <v>45729</v>
      </c>
      <c r="C246" s="70">
        <v>0.58810185185185182</v>
      </c>
      <c r="D246" s="66" t="s">
        <v>98</v>
      </c>
      <c r="G246" s="66" t="s">
        <v>159</v>
      </c>
      <c r="H246" s="66" t="s">
        <v>100</v>
      </c>
      <c r="I246" s="33" t="str">
        <f ca="1"/>
        <v>25,26</v>
      </c>
      <c r="J246" s="2">
        <v>246</v>
      </c>
      <c r="K246" s="2" t="str">
        <v>No Match</v>
      </c>
      <c r="M246" s="33">
        <f ca="1"/>
        <v>25.26</v>
      </c>
      <c r="N246" s="2" t="e">
        <f ca="1"/>
        <v>#N/A</v>
      </c>
      <c r="O246" s="2" t="e">
        <f ca="1"/>
        <v>#N/A</v>
      </c>
      <c r="P246" s="2" t="e">
        <f ca="1"/>
        <v>#N/A</v>
      </c>
      <c r="Q246" s="33" t="e">
        <f ca="1"/>
        <v>#N/A</v>
      </c>
      <c r="R246" s="33" t="e">
        <f ca="1"/>
        <v>#N/A</v>
      </c>
    </row>
    <row r="247" spans="1:18" x14ac:dyDescent="0.2">
      <c r="A247" s="2">
        <v>246</v>
      </c>
      <c r="B247" s="65">
        <v>45729</v>
      </c>
      <c r="C247" s="70">
        <v>0.58922453703703703</v>
      </c>
      <c r="D247" s="66" t="s">
        <v>98</v>
      </c>
      <c r="G247" s="66" t="s">
        <v>164</v>
      </c>
      <c r="H247" s="66" t="s">
        <v>100</v>
      </c>
      <c r="I247" s="33" t="str">
        <f ca="1"/>
        <v>25,46</v>
      </c>
      <c r="J247" s="2">
        <v>247</v>
      </c>
      <c r="K247" s="2" t="str">
        <v>No Match</v>
      </c>
      <c r="M247" s="33">
        <f ca="1"/>
        <v>25.46</v>
      </c>
      <c r="N247" s="2" t="e">
        <f ca="1"/>
        <v>#N/A</v>
      </c>
      <c r="O247" s="2" t="e">
        <f ca="1"/>
        <v>#N/A</v>
      </c>
      <c r="P247" s="2" t="e">
        <f ca="1"/>
        <v>#N/A</v>
      </c>
      <c r="Q247" s="33" t="e">
        <f ca="1"/>
        <v>#N/A</v>
      </c>
      <c r="R247" s="33" t="e">
        <f ca="1"/>
        <v>#N/A</v>
      </c>
    </row>
    <row r="248" spans="1:18" x14ac:dyDescent="0.2">
      <c r="A248" s="2">
        <v>247</v>
      </c>
      <c r="B248" s="65">
        <v>45729</v>
      </c>
      <c r="C248" s="70">
        <v>0.59136574074074078</v>
      </c>
      <c r="D248" s="66" t="s">
        <v>98</v>
      </c>
      <c r="G248" s="66" t="s">
        <v>107</v>
      </c>
      <c r="H248" s="66" t="s">
        <v>100</v>
      </c>
      <c r="I248" s="33" t="str">
        <f ca="1"/>
        <v>25,43</v>
      </c>
      <c r="J248" s="2">
        <v>248</v>
      </c>
      <c r="K248" s="2" t="str">
        <v>No Match</v>
      </c>
      <c r="M248" s="33">
        <f ca="1"/>
        <v>25.43</v>
      </c>
      <c r="N248" s="2" t="e">
        <f ca="1"/>
        <v>#N/A</v>
      </c>
      <c r="O248" s="2" t="e">
        <f ca="1"/>
        <v>#N/A</v>
      </c>
      <c r="P248" s="2" t="e">
        <f ca="1"/>
        <v>#N/A</v>
      </c>
      <c r="Q248" s="33" t="e">
        <f ca="1"/>
        <v>#N/A</v>
      </c>
      <c r="R248" s="33" t="e">
        <f ca="1"/>
        <v>#N/A</v>
      </c>
    </row>
    <row r="249" spans="1:18" x14ac:dyDescent="0.2">
      <c r="A249" s="2">
        <v>248</v>
      </c>
      <c r="B249" s="65">
        <v>45729</v>
      </c>
      <c r="C249" s="70">
        <v>0.59325231481481477</v>
      </c>
      <c r="D249" s="66" t="s">
        <v>98</v>
      </c>
      <c r="G249" s="66" t="s">
        <v>211</v>
      </c>
      <c r="H249" s="66" t="s">
        <v>100</v>
      </c>
      <c r="I249" s="33" t="str">
        <f ca="1"/>
        <v>25,77</v>
      </c>
      <c r="J249" s="2">
        <v>249</v>
      </c>
      <c r="K249" s="2" t="str">
        <v>No Match</v>
      </c>
      <c r="M249" s="33">
        <f ca="1"/>
        <v>25.77</v>
      </c>
      <c r="N249" s="2" t="e">
        <f ca="1"/>
        <v>#N/A</v>
      </c>
      <c r="O249" s="2" t="e">
        <f ca="1"/>
        <v>#N/A</v>
      </c>
      <c r="P249" s="2" t="e">
        <f ca="1"/>
        <v>#N/A</v>
      </c>
      <c r="Q249" s="33" t="e">
        <f ca="1"/>
        <v>#N/A</v>
      </c>
      <c r="R249" s="33" t="e">
        <f ca="1"/>
        <v>#N/A</v>
      </c>
    </row>
    <row r="250" spans="1:18" x14ac:dyDescent="0.2">
      <c r="A250" s="2">
        <v>249</v>
      </c>
      <c r="B250" s="65">
        <v>45729</v>
      </c>
      <c r="C250" s="70">
        <v>0.59340277777777772</v>
      </c>
      <c r="D250" s="66" t="s">
        <v>98</v>
      </c>
      <c r="G250" s="66" t="s">
        <v>117</v>
      </c>
      <c r="H250" s="66" t="s">
        <v>100</v>
      </c>
      <c r="I250" s="33" t="str">
        <f ca="1"/>
        <v>25,61</v>
      </c>
      <c r="J250" s="2">
        <v>250</v>
      </c>
      <c r="K250" s="2" t="str">
        <v>No Match</v>
      </c>
      <c r="M250" s="33">
        <f ca="1"/>
        <v>25.61</v>
      </c>
      <c r="N250" s="2" t="e">
        <f ca="1"/>
        <v>#N/A</v>
      </c>
      <c r="O250" s="2" t="e">
        <f ca="1"/>
        <v>#N/A</v>
      </c>
      <c r="P250" s="2" t="e">
        <f ca="1"/>
        <v>#N/A</v>
      </c>
      <c r="Q250" s="33" t="e">
        <f ca="1"/>
        <v>#N/A</v>
      </c>
      <c r="R250" s="33" t="e">
        <f ca="1"/>
        <v>#N/A</v>
      </c>
    </row>
    <row r="251" spans="1:18" x14ac:dyDescent="0.2">
      <c r="A251" s="2">
        <v>250</v>
      </c>
      <c r="B251" s="65">
        <v>45729</v>
      </c>
      <c r="C251" s="70">
        <v>0.59391203703703699</v>
      </c>
      <c r="D251" s="66" t="s">
        <v>98</v>
      </c>
      <c r="G251" s="66" t="s">
        <v>195</v>
      </c>
      <c r="H251" s="66" t="s">
        <v>100</v>
      </c>
      <c r="I251" s="33" t="str">
        <f ca="1"/>
        <v>25,60</v>
      </c>
      <c r="J251" s="2">
        <v>251</v>
      </c>
      <c r="K251" s="2" t="str">
        <v>No Match</v>
      </c>
      <c r="M251" s="33">
        <f ca="1"/>
        <v>25.6</v>
      </c>
      <c r="N251" s="2">
        <f ca="1"/>
        <v>25</v>
      </c>
      <c r="O251" s="2">
        <f ca="1"/>
        <v>24.625</v>
      </c>
      <c r="P251" s="2">
        <f ca="1"/>
        <v>25.375</v>
      </c>
      <c r="Q251" s="33">
        <f ca="1"/>
        <v>25.212200000000017</v>
      </c>
      <c r="R251" s="33">
        <f ca="1"/>
        <v>25.524000000000004</v>
      </c>
    </row>
    <row r="252" spans="1:18" x14ac:dyDescent="0.2">
      <c r="A252" s="2">
        <v>251</v>
      </c>
      <c r="B252" s="65">
        <v>45729</v>
      </c>
      <c r="C252" s="70">
        <v>0.59578703703703706</v>
      </c>
      <c r="D252" s="66" t="s">
        <v>98</v>
      </c>
      <c r="G252" s="66" t="s">
        <v>155</v>
      </c>
      <c r="H252" s="66" t="s">
        <v>100</v>
      </c>
      <c r="I252" s="33" t="str">
        <f ca="1"/>
        <v>25,49</v>
      </c>
      <c r="J252" s="2">
        <v>252</v>
      </c>
      <c r="K252" s="2" t="str">
        <v>No Match</v>
      </c>
      <c r="M252" s="33">
        <f ca="1"/>
        <v>25.49</v>
      </c>
      <c r="N252" s="2" t="e">
        <f ca="1"/>
        <v>#N/A</v>
      </c>
      <c r="O252" s="2" t="e">
        <f ca="1"/>
        <v>#N/A</v>
      </c>
      <c r="P252" s="2" t="e">
        <f ca="1"/>
        <v>#N/A</v>
      </c>
      <c r="Q252" s="33" t="e">
        <f ca="1"/>
        <v>#N/A</v>
      </c>
      <c r="R252" s="33" t="e">
        <f ca="1"/>
        <v>#N/A</v>
      </c>
    </row>
    <row r="253" spans="1:18" x14ac:dyDescent="0.2">
      <c r="A253" s="2">
        <v>252</v>
      </c>
      <c r="B253" s="65">
        <v>45729</v>
      </c>
      <c r="C253" s="70">
        <v>0.5962615740740741</v>
      </c>
      <c r="D253" s="66" t="s">
        <v>98</v>
      </c>
      <c r="G253" s="66" t="s">
        <v>143</v>
      </c>
      <c r="H253" s="66" t="s">
        <v>100</v>
      </c>
      <c r="I253" s="33" t="str">
        <f ca="1"/>
        <v>25,53</v>
      </c>
      <c r="J253" s="2">
        <v>253</v>
      </c>
      <c r="K253" s="2" t="str">
        <v>No Match</v>
      </c>
      <c r="M253" s="33">
        <f ca="1"/>
        <v>25.53</v>
      </c>
      <c r="N253" s="2" t="e">
        <f ca="1"/>
        <v>#N/A</v>
      </c>
      <c r="O253" s="2" t="e">
        <f ca="1"/>
        <v>#N/A</v>
      </c>
      <c r="P253" s="2" t="e">
        <f ca="1"/>
        <v>#N/A</v>
      </c>
      <c r="Q253" s="33" t="e">
        <f ca="1"/>
        <v>#N/A</v>
      </c>
      <c r="R253" s="33" t="e">
        <f ca="1"/>
        <v>#N/A</v>
      </c>
    </row>
    <row r="254" spans="1:18" x14ac:dyDescent="0.2">
      <c r="A254" s="2">
        <v>253</v>
      </c>
      <c r="B254" s="65">
        <v>45729</v>
      </c>
      <c r="C254" s="70">
        <v>0.59785879629629635</v>
      </c>
      <c r="D254" s="66" t="s">
        <v>98</v>
      </c>
      <c r="G254" s="66" t="s">
        <v>116</v>
      </c>
      <c r="H254" s="66" t="s">
        <v>100</v>
      </c>
      <c r="I254" s="33" t="str">
        <f ca="1"/>
        <v>25,33</v>
      </c>
      <c r="J254" s="2">
        <v>254</v>
      </c>
      <c r="K254" s="2" t="str">
        <v>No Match</v>
      </c>
      <c r="M254" s="33">
        <f ca="1"/>
        <v>25.33</v>
      </c>
      <c r="N254" s="2" t="e">
        <f ca="1"/>
        <v>#N/A</v>
      </c>
      <c r="O254" s="2" t="e">
        <f ca="1"/>
        <v>#N/A</v>
      </c>
      <c r="P254" s="2" t="e">
        <f ca="1"/>
        <v>#N/A</v>
      </c>
      <c r="Q254" s="33" t="e">
        <f ca="1"/>
        <v>#N/A</v>
      </c>
      <c r="R254" s="33" t="e">
        <f ca="1"/>
        <v>#N/A</v>
      </c>
    </row>
    <row r="255" spans="1:18" x14ac:dyDescent="0.2">
      <c r="A255" s="2">
        <v>254</v>
      </c>
      <c r="B255" s="65">
        <v>45729</v>
      </c>
      <c r="C255" s="70">
        <v>0.59894675925925922</v>
      </c>
      <c r="D255" s="66" t="s">
        <v>98</v>
      </c>
      <c r="G255" s="66" t="s">
        <v>132</v>
      </c>
      <c r="H255" s="66" t="s">
        <v>100</v>
      </c>
      <c r="I255" s="33" t="str">
        <f ca="1"/>
        <v>25,57</v>
      </c>
      <c r="J255" s="2">
        <v>255</v>
      </c>
      <c r="K255" s="2" t="str">
        <v>No Match</v>
      </c>
      <c r="M255" s="33">
        <f ca="1"/>
        <v>25.57</v>
      </c>
      <c r="N255" s="2" t="e">
        <f ca="1"/>
        <v>#N/A</v>
      </c>
      <c r="O255" s="2" t="e">
        <f ca="1"/>
        <v>#N/A</v>
      </c>
      <c r="P255" s="2" t="e">
        <f ca="1"/>
        <v>#N/A</v>
      </c>
      <c r="Q255" s="33" t="e">
        <f ca="1"/>
        <v>#N/A</v>
      </c>
      <c r="R255" s="33" t="e">
        <f ca="1"/>
        <v>#N/A</v>
      </c>
    </row>
    <row r="256" spans="1:18" x14ac:dyDescent="0.2">
      <c r="A256" s="2">
        <v>255</v>
      </c>
      <c r="B256" s="65">
        <v>45729</v>
      </c>
      <c r="C256" s="70">
        <v>0.6</v>
      </c>
      <c r="D256" s="66" t="s">
        <v>98</v>
      </c>
      <c r="G256" s="66" t="s">
        <v>202</v>
      </c>
      <c r="H256" s="66" t="s">
        <v>100</v>
      </c>
      <c r="I256" s="33" t="str">
        <f ca="1"/>
        <v>25,31</v>
      </c>
      <c r="J256" s="2">
        <v>256</v>
      </c>
      <c r="K256" s="2" t="str">
        <v>No Match</v>
      </c>
      <c r="M256" s="33">
        <f ca="1"/>
        <v>25.31</v>
      </c>
      <c r="N256" s="2" t="e">
        <f ca="1"/>
        <v>#N/A</v>
      </c>
      <c r="O256" s="2" t="e">
        <f ca="1"/>
        <v>#N/A</v>
      </c>
      <c r="P256" s="2" t="e">
        <f ca="1"/>
        <v>#N/A</v>
      </c>
      <c r="Q256" s="33" t="e">
        <f ca="1"/>
        <v>#N/A</v>
      </c>
      <c r="R256" s="33" t="e">
        <f ca="1"/>
        <v>#N/A</v>
      </c>
    </row>
    <row r="257" spans="1:18" x14ac:dyDescent="0.2">
      <c r="A257" s="2">
        <v>256</v>
      </c>
      <c r="B257" s="65">
        <v>45729</v>
      </c>
      <c r="C257" s="70">
        <v>0.60225694444444444</v>
      </c>
      <c r="D257" s="66" t="s">
        <v>98</v>
      </c>
      <c r="G257" s="66" t="s">
        <v>161</v>
      </c>
      <c r="H257" s="66" t="s">
        <v>100</v>
      </c>
      <c r="I257" s="33" t="str">
        <f ca="1"/>
        <v>25,38</v>
      </c>
      <c r="J257" s="2">
        <v>257</v>
      </c>
      <c r="K257" s="2" t="str">
        <v>No Match</v>
      </c>
      <c r="M257" s="33">
        <f ca="1"/>
        <v>25.38</v>
      </c>
      <c r="N257" s="2" t="e">
        <f ca="1"/>
        <v>#N/A</v>
      </c>
      <c r="O257" s="2" t="e">
        <f ca="1"/>
        <v>#N/A</v>
      </c>
      <c r="P257" s="2" t="e">
        <f ca="1"/>
        <v>#N/A</v>
      </c>
      <c r="Q257" s="33" t="e">
        <f ca="1"/>
        <v>#N/A</v>
      </c>
      <c r="R257" s="33" t="e">
        <f ca="1"/>
        <v>#N/A</v>
      </c>
    </row>
    <row r="258" spans="1:18" x14ac:dyDescent="0.2">
      <c r="A258" s="2">
        <v>257</v>
      </c>
      <c r="B258" s="65">
        <v>45729</v>
      </c>
      <c r="C258" s="70">
        <v>0.60339120370370369</v>
      </c>
      <c r="D258" s="66" t="s">
        <v>98</v>
      </c>
      <c r="G258" s="66" t="s">
        <v>146</v>
      </c>
      <c r="H258" s="66" t="s">
        <v>100</v>
      </c>
      <c r="I258" s="33" t="str">
        <f ca="1"/>
        <v>25,37</v>
      </c>
      <c r="J258" s="2">
        <v>258</v>
      </c>
      <c r="K258" s="2" t="str">
        <v>No Match</v>
      </c>
      <c r="M258" s="33">
        <f ca="1"/>
        <v>25.37</v>
      </c>
      <c r="N258" s="2" t="e">
        <f ca="1"/>
        <v>#N/A</v>
      </c>
      <c r="O258" s="2" t="e">
        <f ca="1"/>
        <v>#N/A</v>
      </c>
      <c r="P258" s="2" t="e">
        <f ca="1"/>
        <v>#N/A</v>
      </c>
      <c r="Q258" s="33" t="e">
        <f ca="1"/>
        <v>#N/A</v>
      </c>
      <c r="R258" s="33" t="e">
        <f ca="1"/>
        <v>#N/A</v>
      </c>
    </row>
    <row r="259" spans="1:18" x14ac:dyDescent="0.2">
      <c r="A259" s="2">
        <v>258</v>
      </c>
      <c r="B259" s="65">
        <v>45729</v>
      </c>
      <c r="C259" s="70">
        <v>0.6041319444444444</v>
      </c>
      <c r="D259" s="66" t="s">
        <v>98</v>
      </c>
      <c r="G259" s="66" t="s">
        <v>155</v>
      </c>
      <c r="H259" s="66" t="s">
        <v>100</v>
      </c>
      <c r="I259" s="33" t="str">
        <f ca="1"/>
        <v>25,49</v>
      </c>
      <c r="J259" s="2">
        <v>259</v>
      </c>
      <c r="K259" s="2" t="str">
        <v>No Match</v>
      </c>
      <c r="M259" s="33">
        <f ca="1"/>
        <v>25.49</v>
      </c>
      <c r="N259" s="2" t="e">
        <f ca="1"/>
        <v>#N/A</v>
      </c>
      <c r="O259" s="2" t="e">
        <f ca="1"/>
        <v>#N/A</v>
      </c>
      <c r="P259" s="2" t="e">
        <f ca="1"/>
        <v>#N/A</v>
      </c>
      <c r="Q259" s="33" t="e">
        <f ca="1"/>
        <v>#N/A</v>
      </c>
      <c r="R259" s="33" t="e">
        <f ca="1"/>
        <v>#N/A</v>
      </c>
    </row>
    <row r="260" spans="1:18" x14ac:dyDescent="0.2">
      <c r="A260" s="2">
        <v>259</v>
      </c>
      <c r="B260" s="65">
        <v>45729</v>
      </c>
      <c r="C260" s="70">
        <v>0.60540509259259256</v>
      </c>
      <c r="D260" s="66" t="s">
        <v>98</v>
      </c>
      <c r="G260" s="66" t="s">
        <v>198</v>
      </c>
      <c r="H260" s="66" t="s">
        <v>100</v>
      </c>
      <c r="I260" s="33" t="str">
        <f ca="1"/>
        <v>25,45</v>
      </c>
      <c r="J260" s="2">
        <v>260</v>
      </c>
      <c r="K260" s="2" t="str">
        <v>No Match</v>
      </c>
      <c r="M260" s="33">
        <f ca="1"/>
        <v>25.45</v>
      </c>
      <c r="N260" s="2" t="e">
        <f ca="1"/>
        <v>#N/A</v>
      </c>
      <c r="O260" s="2" t="e">
        <f ca="1"/>
        <v>#N/A</v>
      </c>
      <c r="P260" s="2" t="e">
        <f ca="1"/>
        <v>#N/A</v>
      </c>
      <c r="Q260" s="33" t="e">
        <f ca="1"/>
        <v>#N/A</v>
      </c>
      <c r="R260" s="33" t="e">
        <f ca="1"/>
        <v>#N/A</v>
      </c>
    </row>
    <row r="261" spans="1:18" x14ac:dyDescent="0.2">
      <c r="A261" s="2">
        <v>260</v>
      </c>
      <c r="B261" s="65">
        <v>45729</v>
      </c>
      <c r="C261" s="70">
        <v>0.60651620370370374</v>
      </c>
      <c r="D261" s="66" t="s">
        <v>98</v>
      </c>
      <c r="G261" s="66" t="s">
        <v>220</v>
      </c>
      <c r="H261" s="66" t="s">
        <v>100</v>
      </c>
      <c r="I261" s="33" t="str">
        <f ca="1"/>
        <v>25,54</v>
      </c>
      <c r="J261" s="2">
        <v>261</v>
      </c>
      <c r="K261" s="2" t="str">
        <v>No Match</v>
      </c>
      <c r="M261" s="33">
        <f ca="1"/>
        <v>25.54</v>
      </c>
      <c r="N261" s="2">
        <f ca="1"/>
        <v>25</v>
      </c>
      <c r="O261" s="2">
        <f ca="1"/>
        <v>24.625</v>
      </c>
      <c r="P261" s="2">
        <f ca="1"/>
        <v>25.375</v>
      </c>
      <c r="Q261" s="33">
        <f ca="1"/>
        <v>25.22119230769232</v>
      </c>
      <c r="R261" s="33">
        <f ca="1"/>
        <v>25.445999999999998</v>
      </c>
    </row>
    <row r="262" spans="1:18" x14ac:dyDescent="0.2">
      <c r="A262" s="2">
        <v>261</v>
      </c>
      <c r="B262" s="65">
        <v>45729</v>
      </c>
      <c r="C262" s="70">
        <v>0.60719907407407403</v>
      </c>
      <c r="D262" s="66" t="s">
        <v>98</v>
      </c>
      <c r="G262" s="66" t="s">
        <v>133</v>
      </c>
      <c r="H262" s="66" t="s">
        <v>100</v>
      </c>
      <c r="I262" s="33" t="str">
        <f ca="1"/>
        <v>25,41</v>
      </c>
      <c r="J262" s="2">
        <v>262</v>
      </c>
      <c r="K262" s="2" t="str">
        <v>No Match</v>
      </c>
      <c r="M262" s="33">
        <f ca="1"/>
        <v>25.41</v>
      </c>
      <c r="N262" s="2" t="e">
        <f ca="1"/>
        <v>#N/A</v>
      </c>
      <c r="O262" s="2" t="e">
        <f ca="1"/>
        <v>#N/A</v>
      </c>
      <c r="P262" s="2" t="e">
        <f ca="1"/>
        <v>#N/A</v>
      </c>
      <c r="Q262" s="33" t="e">
        <f ca="1"/>
        <v>#N/A</v>
      </c>
      <c r="R262" s="33" t="e">
        <f ca="1"/>
        <v>#N/A</v>
      </c>
    </row>
    <row r="263" spans="1:18" x14ac:dyDescent="0.2">
      <c r="A263" s="2">
        <v>262</v>
      </c>
      <c r="B263" s="65">
        <v>45729</v>
      </c>
      <c r="C263" s="70">
        <v>0.60724537037037041</v>
      </c>
      <c r="D263" s="66" t="s">
        <v>98</v>
      </c>
      <c r="G263" s="66" t="s">
        <v>161</v>
      </c>
      <c r="H263" s="66" t="s">
        <v>100</v>
      </c>
      <c r="I263" s="33" t="str">
        <f ca="1"/>
        <v>25,38</v>
      </c>
      <c r="J263" s="2">
        <v>263</v>
      </c>
      <c r="K263" s="2" t="str">
        <v>No Match</v>
      </c>
      <c r="M263" s="33">
        <f ca="1"/>
        <v>25.38</v>
      </c>
      <c r="N263" s="2" t="e">
        <f ca="1"/>
        <v>#N/A</v>
      </c>
      <c r="O263" s="2" t="e">
        <f ca="1"/>
        <v>#N/A</v>
      </c>
      <c r="P263" s="2" t="e">
        <f ca="1"/>
        <v>#N/A</v>
      </c>
      <c r="Q263" s="33" t="e">
        <f ca="1"/>
        <v>#N/A</v>
      </c>
      <c r="R263" s="33" t="e">
        <f ca="1"/>
        <v>#N/A</v>
      </c>
    </row>
    <row r="264" spans="1:18" x14ac:dyDescent="0.2">
      <c r="A264" s="2">
        <v>263</v>
      </c>
      <c r="B264" s="65">
        <v>45729</v>
      </c>
      <c r="C264" s="70">
        <v>0.60849537037037038</v>
      </c>
      <c r="D264" s="66" t="s">
        <v>98</v>
      </c>
      <c r="G264" s="66" t="s">
        <v>133</v>
      </c>
      <c r="H264" s="66" t="s">
        <v>100</v>
      </c>
      <c r="I264" s="33" t="str">
        <f ca="1"/>
        <v>25,41</v>
      </c>
      <c r="J264" s="2">
        <v>264</v>
      </c>
      <c r="K264" s="2" t="str">
        <v>No Match</v>
      </c>
      <c r="M264" s="33">
        <f ca="1"/>
        <v>25.41</v>
      </c>
      <c r="N264" s="2" t="e">
        <f ca="1"/>
        <v>#N/A</v>
      </c>
      <c r="O264" s="2" t="e">
        <f ca="1"/>
        <v>#N/A</v>
      </c>
      <c r="P264" s="2" t="e">
        <f ca="1"/>
        <v>#N/A</v>
      </c>
      <c r="Q264" s="33" t="e">
        <f ca="1"/>
        <v>#N/A</v>
      </c>
      <c r="R264" s="33" t="e">
        <f ca="1"/>
        <v>#N/A</v>
      </c>
    </row>
    <row r="265" spans="1:18" x14ac:dyDescent="0.2">
      <c r="A265" s="2">
        <v>264</v>
      </c>
      <c r="B265" s="65">
        <v>45729</v>
      </c>
      <c r="C265" s="70">
        <v>0.60896990740740742</v>
      </c>
      <c r="D265" s="66" t="s">
        <v>98</v>
      </c>
      <c r="G265" s="66" t="s">
        <v>163</v>
      </c>
      <c r="H265" s="66" t="s">
        <v>100</v>
      </c>
      <c r="I265" s="33" t="str">
        <f ca="1"/>
        <v>25,47</v>
      </c>
      <c r="J265" s="2">
        <v>265</v>
      </c>
      <c r="K265" s="2" t="str">
        <v>No Match</v>
      </c>
      <c r="M265" s="33">
        <f ca="1"/>
        <v>25.47</v>
      </c>
      <c r="N265" s="2" t="e">
        <f ca="1"/>
        <v>#N/A</v>
      </c>
      <c r="O265" s="2" t="e">
        <f ca="1"/>
        <v>#N/A</v>
      </c>
      <c r="P265" s="2" t="e">
        <f ca="1"/>
        <v>#N/A</v>
      </c>
      <c r="Q265" s="33" t="e">
        <f ca="1"/>
        <v>#N/A</v>
      </c>
      <c r="R265" s="33" t="e">
        <f ca="1"/>
        <v>#N/A</v>
      </c>
    </row>
    <row r="266" spans="1:18" x14ac:dyDescent="0.2">
      <c r="A266" s="2">
        <v>265</v>
      </c>
      <c r="B266" s="65">
        <v>45729</v>
      </c>
      <c r="C266" s="70">
        <v>0.61085648148148153</v>
      </c>
      <c r="D266" s="66" t="s">
        <v>98</v>
      </c>
      <c r="G266" s="66" t="s">
        <v>107</v>
      </c>
      <c r="H266" s="66" t="s">
        <v>100</v>
      </c>
      <c r="I266" s="33" t="str">
        <f ca="1"/>
        <v>25,43</v>
      </c>
      <c r="J266" s="2">
        <v>266</v>
      </c>
      <c r="K266" s="2" t="str">
        <v>No Match</v>
      </c>
      <c r="M266" s="33">
        <f ca="1"/>
        <v>25.43</v>
      </c>
      <c r="N266" s="2" t="e">
        <f ca="1"/>
        <v>#N/A</v>
      </c>
      <c r="O266" s="2" t="e">
        <f ca="1"/>
        <v>#N/A</v>
      </c>
      <c r="P266" s="2" t="e">
        <f ca="1"/>
        <v>#N/A</v>
      </c>
      <c r="Q266" s="33" t="e">
        <f ca="1"/>
        <v>#N/A</v>
      </c>
      <c r="R266" s="33" t="e">
        <f ca="1"/>
        <v>#N/A</v>
      </c>
    </row>
    <row r="267" spans="1:18" x14ac:dyDescent="0.2">
      <c r="A267" s="2">
        <v>266</v>
      </c>
      <c r="B267" s="65">
        <v>45729</v>
      </c>
      <c r="C267" s="70">
        <v>0.6115856481481482</v>
      </c>
      <c r="D267" s="66" t="s">
        <v>98</v>
      </c>
      <c r="G267" s="66" t="s">
        <v>143</v>
      </c>
      <c r="H267" s="66" t="s">
        <v>100</v>
      </c>
      <c r="I267" s="33" t="str">
        <f ca="1"/>
        <v>25,53</v>
      </c>
      <c r="J267" s="2">
        <v>267</v>
      </c>
      <c r="K267" s="2" t="str">
        <v>No Match</v>
      </c>
      <c r="M267" s="33">
        <f ca="1"/>
        <v>25.53</v>
      </c>
      <c r="N267" s="2" t="e">
        <f ca="1"/>
        <v>#N/A</v>
      </c>
      <c r="O267" s="2" t="e">
        <f ca="1"/>
        <v>#N/A</v>
      </c>
      <c r="P267" s="2" t="e">
        <f ca="1"/>
        <v>#N/A</v>
      </c>
      <c r="Q267" s="33" t="e">
        <f ca="1"/>
        <v>#N/A</v>
      </c>
      <c r="R267" s="33" t="e">
        <f ca="1"/>
        <v>#N/A</v>
      </c>
    </row>
    <row r="268" spans="1:18" x14ac:dyDescent="0.2">
      <c r="A268" s="2">
        <v>267</v>
      </c>
      <c r="B268" s="65">
        <v>45729</v>
      </c>
      <c r="C268" s="70">
        <v>0.61166666666666669</v>
      </c>
      <c r="D268" s="66" t="s">
        <v>98</v>
      </c>
      <c r="G268" s="66" t="s">
        <v>164</v>
      </c>
      <c r="H268" s="66" t="s">
        <v>100</v>
      </c>
      <c r="I268" s="33" t="str">
        <f ca="1"/>
        <v>25,46</v>
      </c>
      <c r="J268" s="2">
        <v>268</v>
      </c>
      <c r="K268" s="2" t="str">
        <v>No Match</v>
      </c>
      <c r="M268" s="33">
        <f ca="1"/>
        <v>25.46</v>
      </c>
      <c r="N268" s="2" t="e">
        <f ca="1"/>
        <v>#N/A</v>
      </c>
      <c r="O268" s="2" t="e">
        <f ca="1"/>
        <v>#N/A</v>
      </c>
      <c r="P268" s="2" t="e">
        <f ca="1"/>
        <v>#N/A</v>
      </c>
      <c r="Q268" s="33" t="e">
        <f ca="1"/>
        <v>#N/A</v>
      </c>
      <c r="R268" s="33" t="e">
        <f ca="1"/>
        <v>#N/A</v>
      </c>
    </row>
    <row r="269" spans="1:18" x14ac:dyDescent="0.2">
      <c r="A269" s="2">
        <v>268</v>
      </c>
      <c r="B269" s="65">
        <v>45729</v>
      </c>
      <c r="C269" s="70">
        <v>0.61407407407407411</v>
      </c>
      <c r="D269" s="66" t="s">
        <v>98</v>
      </c>
      <c r="G269" s="66" t="s">
        <v>182</v>
      </c>
      <c r="H269" s="66" t="s">
        <v>100</v>
      </c>
      <c r="I269" s="33" t="str">
        <f ca="1"/>
        <v>25,29</v>
      </c>
      <c r="J269" s="2">
        <v>269</v>
      </c>
      <c r="K269" s="2" t="str">
        <v>No Match</v>
      </c>
      <c r="M269" s="33">
        <f ca="1"/>
        <v>25.29</v>
      </c>
      <c r="N269" s="2" t="e">
        <f ca="1"/>
        <v>#N/A</v>
      </c>
      <c r="O269" s="2" t="e">
        <f ca="1"/>
        <v>#N/A</v>
      </c>
      <c r="P269" s="2" t="e">
        <f ca="1"/>
        <v>#N/A</v>
      </c>
      <c r="Q269" s="33" t="e">
        <f ca="1"/>
        <v>#N/A</v>
      </c>
      <c r="R269" s="33" t="e">
        <f ca="1"/>
        <v>#N/A</v>
      </c>
    </row>
    <row r="270" spans="1:18" x14ac:dyDescent="0.2">
      <c r="A270" s="2">
        <v>269</v>
      </c>
      <c r="B270" s="65">
        <v>45729</v>
      </c>
      <c r="C270" s="70">
        <v>0.61480324074074078</v>
      </c>
      <c r="D270" s="66" t="s">
        <v>98</v>
      </c>
      <c r="G270" s="66" t="s">
        <v>165</v>
      </c>
      <c r="H270" s="66" t="s">
        <v>100</v>
      </c>
      <c r="I270" s="33" t="str">
        <f ca="1"/>
        <v>25,42</v>
      </c>
      <c r="J270" s="2">
        <v>270</v>
      </c>
      <c r="K270" s="2" t="str">
        <v>No Match</v>
      </c>
      <c r="M270" s="33">
        <f ca="1"/>
        <v>25.42</v>
      </c>
      <c r="N270" s="2" t="e">
        <f ca="1"/>
        <v>#N/A</v>
      </c>
      <c r="O270" s="2" t="e">
        <f ca="1"/>
        <v>#N/A</v>
      </c>
      <c r="P270" s="2" t="e">
        <f ca="1"/>
        <v>#N/A</v>
      </c>
      <c r="Q270" s="33" t="e">
        <f ca="1"/>
        <v>#N/A</v>
      </c>
      <c r="R270" s="33" t="e">
        <f ca="1"/>
        <v>#N/A</v>
      </c>
    </row>
    <row r="271" spans="1:18" x14ac:dyDescent="0.2">
      <c r="A271" s="2">
        <v>270</v>
      </c>
      <c r="B271" s="65">
        <v>45729</v>
      </c>
      <c r="C271" s="70">
        <v>0.61524305555555558</v>
      </c>
      <c r="D271" s="66" t="s">
        <v>98</v>
      </c>
      <c r="G271" s="66" t="s">
        <v>133</v>
      </c>
      <c r="H271" s="66" t="s">
        <v>100</v>
      </c>
      <c r="I271" s="33" t="str">
        <f ca="1"/>
        <v>25,41</v>
      </c>
      <c r="J271" s="2">
        <v>271</v>
      </c>
      <c r="K271" s="2" t="str">
        <v>No Match</v>
      </c>
      <c r="M271" s="33">
        <f ca="1"/>
        <v>25.41</v>
      </c>
      <c r="N271" s="2">
        <f ca="1"/>
        <v>25</v>
      </c>
      <c r="O271" s="2">
        <f ca="1"/>
        <v>24.625</v>
      </c>
      <c r="P271" s="2">
        <f ca="1"/>
        <v>25.375</v>
      </c>
      <c r="Q271" s="33">
        <f ca="1"/>
        <v>25.228592592592605</v>
      </c>
      <c r="R271" s="33">
        <f ca="1"/>
        <v>25.420999999999999</v>
      </c>
    </row>
    <row r="272" spans="1:18" x14ac:dyDescent="0.2">
      <c r="A272" s="2">
        <v>271</v>
      </c>
      <c r="B272" s="65">
        <v>45729</v>
      </c>
      <c r="C272" s="70">
        <v>0.61725694444444446</v>
      </c>
      <c r="D272" s="66" t="s">
        <v>98</v>
      </c>
      <c r="G272" s="66" t="s">
        <v>190</v>
      </c>
      <c r="H272" s="66" t="s">
        <v>100</v>
      </c>
      <c r="I272" s="33" t="str">
        <f ca="1"/>
        <v>25,19</v>
      </c>
      <c r="J272" s="2">
        <v>272</v>
      </c>
      <c r="K272" s="2" t="str">
        <v>No Match</v>
      </c>
      <c r="M272" s="33">
        <f ca="1"/>
        <v>25.19</v>
      </c>
      <c r="N272" s="2" t="e">
        <f ca="1"/>
        <v>#N/A</v>
      </c>
      <c r="O272" s="2" t="e">
        <f ca="1"/>
        <v>#N/A</v>
      </c>
      <c r="P272" s="2" t="e">
        <f ca="1"/>
        <v>#N/A</v>
      </c>
      <c r="Q272" s="33" t="e">
        <f ca="1"/>
        <v>#N/A</v>
      </c>
      <c r="R272" s="33" t="e">
        <f ca="1"/>
        <v>#N/A</v>
      </c>
    </row>
    <row r="273" spans="1:18" x14ac:dyDescent="0.2">
      <c r="A273" s="2">
        <v>272</v>
      </c>
      <c r="B273" s="65">
        <v>45729</v>
      </c>
      <c r="C273" s="70">
        <v>0.61902777777777773</v>
      </c>
      <c r="D273" s="66" t="s">
        <v>98</v>
      </c>
      <c r="G273" s="66" t="s">
        <v>120</v>
      </c>
      <c r="H273" s="66" t="s">
        <v>100</v>
      </c>
      <c r="I273" s="33" t="str">
        <f ca="1"/>
        <v>25,34</v>
      </c>
      <c r="J273" s="2">
        <v>273</v>
      </c>
      <c r="K273" s="2" t="str">
        <v>No Match</v>
      </c>
      <c r="M273" s="33">
        <f ca="1"/>
        <v>25.34</v>
      </c>
      <c r="N273" s="2" t="e">
        <f ca="1"/>
        <v>#N/A</v>
      </c>
      <c r="O273" s="2" t="e">
        <f ca="1"/>
        <v>#N/A</v>
      </c>
      <c r="P273" s="2" t="e">
        <f ca="1"/>
        <v>#N/A</v>
      </c>
      <c r="Q273" s="33" t="e">
        <f ca="1"/>
        <v>#N/A</v>
      </c>
      <c r="R273" s="33" t="e">
        <f ca="1"/>
        <v>#N/A</v>
      </c>
    </row>
    <row r="274" spans="1:18" x14ac:dyDescent="0.2">
      <c r="A274" s="2">
        <v>273</v>
      </c>
      <c r="B274" s="65">
        <v>45729</v>
      </c>
      <c r="C274" s="70">
        <v>0.6194560185185185</v>
      </c>
      <c r="D274" s="66" t="s">
        <v>98</v>
      </c>
      <c r="G274" s="66" t="s">
        <v>165</v>
      </c>
      <c r="H274" s="66" t="s">
        <v>100</v>
      </c>
      <c r="I274" s="33" t="str">
        <f ca="1"/>
        <v>25,42</v>
      </c>
      <c r="J274" s="2">
        <v>274</v>
      </c>
      <c r="K274" s="2" t="str">
        <v>No Match</v>
      </c>
      <c r="M274" s="33">
        <f ca="1"/>
        <v>25.42</v>
      </c>
      <c r="N274" s="2" t="e">
        <f ca="1"/>
        <v>#N/A</v>
      </c>
      <c r="O274" s="2" t="e">
        <f ca="1"/>
        <v>#N/A</v>
      </c>
      <c r="P274" s="2" t="e">
        <f ca="1"/>
        <v>#N/A</v>
      </c>
      <c r="Q274" s="33" t="e">
        <f ca="1"/>
        <v>#N/A</v>
      </c>
      <c r="R274" s="33" t="e">
        <f ca="1"/>
        <v>#N/A</v>
      </c>
    </row>
    <row r="275" spans="1:18" x14ac:dyDescent="0.2">
      <c r="A275" s="2">
        <v>274</v>
      </c>
      <c r="B275" s="65">
        <v>45729</v>
      </c>
      <c r="C275" s="70">
        <v>0.62113425925925925</v>
      </c>
      <c r="D275" s="66" t="s">
        <v>98</v>
      </c>
      <c r="G275" s="66" t="s">
        <v>137</v>
      </c>
      <c r="H275" s="66" t="s">
        <v>100</v>
      </c>
      <c r="I275" s="33" t="str">
        <f ca="1"/>
        <v>25,25</v>
      </c>
      <c r="J275" s="2">
        <v>275</v>
      </c>
      <c r="K275" s="2" t="str">
        <v>No Match</v>
      </c>
      <c r="M275" s="33">
        <f ca="1"/>
        <v>25.25</v>
      </c>
      <c r="N275" s="2" t="e">
        <f ca="1"/>
        <v>#N/A</v>
      </c>
      <c r="O275" s="2" t="e">
        <f ca="1"/>
        <v>#N/A</v>
      </c>
      <c r="P275" s="2" t="e">
        <f ca="1"/>
        <v>#N/A</v>
      </c>
      <c r="Q275" s="33" t="e">
        <f ca="1"/>
        <v>#N/A</v>
      </c>
      <c r="R275" s="33" t="e">
        <f ca="1"/>
        <v>#N/A</v>
      </c>
    </row>
    <row r="276" spans="1:18" x14ac:dyDescent="0.2">
      <c r="A276" s="2">
        <v>275</v>
      </c>
      <c r="B276" s="65">
        <v>45729</v>
      </c>
      <c r="C276" s="70">
        <v>0.62165509259259255</v>
      </c>
      <c r="D276" s="66" t="s">
        <v>98</v>
      </c>
      <c r="G276" s="66" t="s">
        <v>202</v>
      </c>
      <c r="H276" s="66" t="s">
        <v>100</v>
      </c>
      <c r="I276" s="33" t="str">
        <f ca="1"/>
        <v>25,31</v>
      </c>
      <c r="J276" s="2">
        <v>276</v>
      </c>
      <c r="K276" s="2" t="str">
        <v>No Match</v>
      </c>
      <c r="M276" s="33">
        <f ca="1"/>
        <v>25.31</v>
      </c>
      <c r="N276" s="2" t="e">
        <f ca="1"/>
        <v>#N/A</v>
      </c>
      <c r="O276" s="2" t="e">
        <f ca="1"/>
        <v>#N/A</v>
      </c>
      <c r="P276" s="2" t="e">
        <f ca="1"/>
        <v>#N/A</v>
      </c>
      <c r="Q276" s="33" t="e">
        <f ca="1"/>
        <v>#N/A</v>
      </c>
      <c r="R276" s="33" t="e">
        <f ca="1"/>
        <v>#N/A</v>
      </c>
    </row>
    <row r="277" spans="1:18" x14ac:dyDescent="0.2">
      <c r="A277" s="2">
        <v>276</v>
      </c>
      <c r="B277" s="65">
        <v>45729</v>
      </c>
      <c r="C277" s="70">
        <v>0.62244212962962964</v>
      </c>
      <c r="D277" s="66" t="s">
        <v>98</v>
      </c>
      <c r="G277" s="66" t="s">
        <v>159</v>
      </c>
      <c r="H277" s="66" t="s">
        <v>100</v>
      </c>
      <c r="I277" s="33" t="str">
        <f ca="1"/>
        <v>25,26</v>
      </c>
      <c r="J277" s="2">
        <v>277</v>
      </c>
      <c r="K277" s="2" t="str">
        <v>No Match</v>
      </c>
      <c r="M277" s="33">
        <f ca="1"/>
        <v>25.26</v>
      </c>
      <c r="N277" s="2" t="e">
        <f ca="1"/>
        <v>#N/A</v>
      </c>
      <c r="O277" s="2" t="e">
        <f ca="1"/>
        <v>#N/A</v>
      </c>
      <c r="P277" s="2" t="e">
        <f ca="1"/>
        <v>#N/A</v>
      </c>
      <c r="Q277" s="33" t="e">
        <f ca="1"/>
        <v>#N/A</v>
      </c>
      <c r="R277" s="33" t="e">
        <f ca="1"/>
        <v>#N/A</v>
      </c>
    </row>
    <row r="278" spans="1:18" x14ac:dyDescent="0.2">
      <c r="A278" s="2">
        <v>277</v>
      </c>
      <c r="B278" s="65">
        <v>45729</v>
      </c>
      <c r="C278" s="70">
        <v>0.62347222222222221</v>
      </c>
      <c r="D278" s="66" t="s">
        <v>98</v>
      </c>
      <c r="G278" s="66" t="s">
        <v>121</v>
      </c>
      <c r="H278" s="66" t="s">
        <v>100</v>
      </c>
      <c r="I278" s="33" t="str">
        <f ca="1"/>
        <v>24,99</v>
      </c>
      <c r="J278" s="2">
        <v>278</v>
      </c>
      <c r="K278" s="2" t="str">
        <v>No Match</v>
      </c>
      <c r="M278" s="33">
        <f ca="1"/>
        <v>24.99</v>
      </c>
      <c r="N278" s="2" t="e">
        <f ca="1"/>
        <v>#N/A</v>
      </c>
      <c r="O278" s="2" t="e">
        <f ca="1"/>
        <v>#N/A</v>
      </c>
      <c r="P278" s="2" t="e">
        <f ca="1"/>
        <v>#N/A</v>
      </c>
      <c r="Q278" s="33" t="e">
        <f ca="1"/>
        <v>#N/A</v>
      </c>
      <c r="R278" s="33" t="e">
        <f ca="1"/>
        <v>#N/A</v>
      </c>
    </row>
    <row r="279" spans="1:18" x14ac:dyDescent="0.2">
      <c r="A279" s="2">
        <v>278</v>
      </c>
      <c r="B279" s="65">
        <v>45729</v>
      </c>
      <c r="C279" s="70">
        <v>0.62543981481481481</v>
      </c>
      <c r="D279" s="66" t="s">
        <v>98</v>
      </c>
      <c r="G279" s="66" t="s">
        <v>165</v>
      </c>
      <c r="H279" s="66" t="s">
        <v>100</v>
      </c>
      <c r="I279" s="33" t="str">
        <f ca="1"/>
        <v>25,42</v>
      </c>
      <c r="J279" s="2">
        <v>279</v>
      </c>
      <c r="K279" s="2" t="str">
        <v>No Match</v>
      </c>
      <c r="M279" s="33">
        <f ca="1"/>
        <v>25.42</v>
      </c>
      <c r="N279" s="2" t="e">
        <f ca="1"/>
        <v>#N/A</v>
      </c>
      <c r="O279" s="2" t="e">
        <f ca="1"/>
        <v>#N/A</v>
      </c>
      <c r="P279" s="2" t="e">
        <f ca="1"/>
        <v>#N/A</v>
      </c>
      <c r="Q279" s="33" t="e">
        <f ca="1"/>
        <v>#N/A</v>
      </c>
      <c r="R279" s="33" t="e">
        <f ca="1"/>
        <v>#N/A</v>
      </c>
    </row>
    <row r="280" spans="1:18" x14ac:dyDescent="0.2">
      <c r="A280" s="2">
        <v>279</v>
      </c>
      <c r="B280" s="65">
        <v>45729</v>
      </c>
      <c r="C280" s="70">
        <v>0.62640046296296292</v>
      </c>
      <c r="D280" s="66" t="s">
        <v>98</v>
      </c>
      <c r="G280" s="66" t="s">
        <v>208</v>
      </c>
      <c r="H280" s="66" t="s">
        <v>100</v>
      </c>
      <c r="I280" s="33" t="str">
        <f ca="1"/>
        <v>25,17</v>
      </c>
      <c r="J280" s="2">
        <v>280</v>
      </c>
      <c r="K280" s="2" t="str">
        <v>No Match</v>
      </c>
      <c r="M280" s="33">
        <f ca="1"/>
        <v>25.17</v>
      </c>
      <c r="N280" s="2" t="e">
        <f ca="1"/>
        <v>#N/A</v>
      </c>
      <c r="O280" s="2" t="e">
        <f ca="1"/>
        <v>#N/A</v>
      </c>
      <c r="P280" s="2" t="e">
        <f ca="1"/>
        <v>#N/A</v>
      </c>
      <c r="Q280" s="33" t="e">
        <f ca="1"/>
        <v>#N/A</v>
      </c>
      <c r="R280" s="33" t="e">
        <f ca="1"/>
        <v>#N/A</v>
      </c>
    </row>
    <row r="281" spans="1:18" x14ac:dyDescent="0.2">
      <c r="A281" s="2">
        <v>280</v>
      </c>
      <c r="B281" s="65">
        <v>45729</v>
      </c>
      <c r="C281" s="70">
        <v>0.62748842592592591</v>
      </c>
      <c r="D281" s="66" t="s">
        <v>98</v>
      </c>
      <c r="G281" s="66" t="s">
        <v>128</v>
      </c>
      <c r="H281" s="66" t="s">
        <v>100</v>
      </c>
      <c r="I281" s="33" t="str">
        <f ca="1"/>
        <v>25,23</v>
      </c>
      <c r="J281" s="2">
        <v>281</v>
      </c>
      <c r="K281" s="2" t="str">
        <v>No Match</v>
      </c>
      <c r="M281" s="33">
        <f ca="1"/>
        <v>25.23</v>
      </c>
      <c r="N281" s="2">
        <f ca="1"/>
        <v>25</v>
      </c>
      <c r="O281" s="2">
        <f ca="1"/>
        <v>24.625</v>
      </c>
      <c r="P281" s="2">
        <f ca="1"/>
        <v>25.375</v>
      </c>
      <c r="Q281" s="33">
        <f ca="1"/>
        <v>25.229642857142867</v>
      </c>
      <c r="R281" s="33">
        <f ca="1"/>
        <v>25.258000000000003</v>
      </c>
    </row>
    <row r="282" spans="1:18" x14ac:dyDescent="0.2">
      <c r="A282" s="2">
        <v>281</v>
      </c>
      <c r="B282" s="65">
        <v>45729</v>
      </c>
      <c r="C282" s="70">
        <v>0.62864583333333335</v>
      </c>
      <c r="D282" s="66" t="s">
        <v>98</v>
      </c>
      <c r="G282" s="66" t="s">
        <v>198</v>
      </c>
      <c r="H282" s="66" t="s">
        <v>100</v>
      </c>
      <c r="I282" s="33" t="str">
        <f ca="1"/>
        <v>25,45</v>
      </c>
      <c r="J282" s="2">
        <v>282</v>
      </c>
      <c r="K282" s="2" t="str">
        <v>No Match</v>
      </c>
      <c r="M282" s="33">
        <f ca="1"/>
        <v>25.45</v>
      </c>
      <c r="N282" s="2" t="e">
        <f ca="1"/>
        <v>#N/A</v>
      </c>
      <c r="O282" s="2" t="e">
        <f ca="1"/>
        <v>#N/A</v>
      </c>
      <c r="P282" s="2" t="e">
        <f ca="1"/>
        <v>#N/A</v>
      </c>
      <c r="Q282" s="33" t="e">
        <f ca="1"/>
        <v>#N/A</v>
      </c>
      <c r="R282" s="33" t="e">
        <f ca="1"/>
        <v>#N/A</v>
      </c>
    </row>
    <row r="283" spans="1:18" x14ac:dyDescent="0.2">
      <c r="A283" s="2">
        <v>282</v>
      </c>
      <c r="B283" s="65">
        <v>45729</v>
      </c>
      <c r="C283" s="70">
        <v>0.62967592592592592</v>
      </c>
      <c r="D283" s="66" t="s">
        <v>98</v>
      </c>
      <c r="G283" s="66" t="s">
        <v>145</v>
      </c>
      <c r="H283" s="66" t="s">
        <v>100</v>
      </c>
      <c r="I283" s="33" t="str">
        <f ca="1"/>
        <v>25,30</v>
      </c>
      <c r="J283" s="2">
        <v>283</v>
      </c>
      <c r="K283" s="2" t="str">
        <v>No Match</v>
      </c>
      <c r="M283" s="33">
        <f ca="1"/>
        <v>25.3</v>
      </c>
      <c r="N283" s="2" t="e">
        <f ca="1"/>
        <v>#N/A</v>
      </c>
      <c r="O283" s="2" t="e">
        <f ca="1"/>
        <v>#N/A</v>
      </c>
      <c r="P283" s="2" t="e">
        <f ca="1"/>
        <v>#N/A</v>
      </c>
      <c r="Q283" s="33" t="e">
        <f ca="1"/>
        <v>#N/A</v>
      </c>
      <c r="R283" s="33" t="e">
        <f ca="1"/>
        <v>#N/A</v>
      </c>
    </row>
    <row r="284" spans="1:18" x14ac:dyDescent="0.2">
      <c r="A284" s="2">
        <v>283</v>
      </c>
      <c r="B284" s="65">
        <v>45729</v>
      </c>
      <c r="C284" s="70">
        <v>0.63089120370370366</v>
      </c>
      <c r="D284" s="66" t="s">
        <v>98</v>
      </c>
      <c r="G284" s="66" t="s">
        <v>116</v>
      </c>
      <c r="H284" s="66" t="s">
        <v>100</v>
      </c>
      <c r="I284" s="33" t="str">
        <f ca="1"/>
        <v>25,33</v>
      </c>
      <c r="J284" s="2">
        <v>284</v>
      </c>
      <c r="K284" s="2" t="str">
        <v>No Match</v>
      </c>
      <c r="M284" s="33">
        <f ca="1"/>
        <v>25.33</v>
      </c>
      <c r="N284" s="2" t="e">
        <f ca="1"/>
        <v>#N/A</v>
      </c>
      <c r="O284" s="2" t="e">
        <f ca="1"/>
        <v>#N/A</v>
      </c>
      <c r="P284" s="2" t="e">
        <f ca="1"/>
        <v>#N/A</v>
      </c>
      <c r="Q284" s="33" t="e">
        <f ca="1"/>
        <v>#N/A</v>
      </c>
      <c r="R284" s="33" t="e">
        <f ca="1"/>
        <v>#N/A</v>
      </c>
    </row>
    <row r="285" spans="1:18" x14ac:dyDescent="0.2">
      <c r="A285" s="2">
        <v>284</v>
      </c>
      <c r="B285" s="65">
        <v>45729</v>
      </c>
      <c r="C285" s="70">
        <v>0.63175925925925924</v>
      </c>
      <c r="D285" s="66" t="s">
        <v>98</v>
      </c>
      <c r="G285" s="66" t="s">
        <v>161</v>
      </c>
      <c r="H285" s="66" t="s">
        <v>100</v>
      </c>
      <c r="I285" s="33" t="str">
        <f ca="1"/>
        <v>25,38</v>
      </c>
      <c r="J285" s="2">
        <v>285</v>
      </c>
      <c r="K285" s="2" t="str">
        <v>No Match</v>
      </c>
      <c r="M285" s="33">
        <f ca="1"/>
        <v>25.38</v>
      </c>
      <c r="N285" s="2" t="e">
        <f ca="1"/>
        <v>#N/A</v>
      </c>
      <c r="O285" s="2" t="e">
        <f ca="1"/>
        <v>#N/A</v>
      </c>
      <c r="P285" s="2" t="e">
        <f ca="1"/>
        <v>#N/A</v>
      </c>
      <c r="Q285" s="33" t="e">
        <f ca="1"/>
        <v>#N/A</v>
      </c>
      <c r="R285" s="33" t="e">
        <f ca="1"/>
        <v>#N/A</v>
      </c>
    </row>
    <row r="286" spans="1:18" x14ac:dyDescent="0.2">
      <c r="A286" s="2">
        <v>285</v>
      </c>
      <c r="B286" s="65">
        <v>45729</v>
      </c>
      <c r="C286" s="70">
        <v>0.63280092592592596</v>
      </c>
      <c r="D286" s="66" t="s">
        <v>98</v>
      </c>
      <c r="G286" s="66" t="s">
        <v>204</v>
      </c>
      <c r="H286" s="66" t="s">
        <v>100</v>
      </c>
      <c r="I286" s="33" t="str">
        <f ca="1"/>
        <v>25,01</v>
      </c>
      <c r="J286" s="2">
        <v>286</v>
      </c>
      <c r="K286" s="2" t="str">
        <v>No Match</v>
      </c>
      <c r="M286" s="33">
        <f ca="1"/>
        <v>25.01</v>
      </c>
      <c r="N286" s="2" t="e">
        <f ca="1"/>
        <v>#N/A</v>
      </c>
      <c r="O286" s="2" t="e">
        <f ca="1"/>
        <v>#N/A</v>
      </c>
      <c r="P286" s="2" t="e">
        <f ca="1"/>
        <v>#N/A</v>
      </c>
      <c r="Q286" s="33" t="e">
        <f ca="1"/>
        <v>#N/A</v>
      </c>
      <c r="R286" s="33" t="e">
        <f ca="1"/>
        <v>#N/A</v>
      </c>
    </row>
    <row r="287" spans="1:18" x14ac:dyDescent="0.2">
      <c r="A287" s="2">
        <v>286</v>
      </c>
      <c r="B287" s="65">
        <v>45729</v>
      </c>
      <c r="C287" s="70">
        <v>0.6343981481481481</v>
      </c>
      <c r="D287" s="66" t="s">
        <v>98</v>
      </c>
      <c r="G287" s="66" t="s">
        <v>169</v>
      </c>
      <c r="H287" s="66" t="s">
        <v>100</v>
      </c>
      <c r="I287" s="33" t="str">
        <f ca="1"/>
        <v>25,11</v>
      </c>
      <c r="J287" s="2">
        <v>287</v>
      </c>
      <c r="K287" s="2" t="str">
        <v>No Match</v>
      </c>
      <c r="M287" s="33">
        <f ca="1"/>
        <v>25.11</v>
      </c>
      <c r="N287" s="2" t="e">
        <f ca="1"/>
        <v>#N/A</v>
      </c>
      <c r="O287" s="2" t="e">
        <f ca="1"/>
        <v>#N/A</v>
      </c>
      <c r="P287" s="2" t="e">
        <f ca="1"/>
        <v>#N/A</v>
      </c>
      <c r="Q287" s="33" t="e">
        <f ca="1"/>
        <v>#N/A</v>
      </c>
      <c r="R287" s="33" t="e">
        <f ca="1"/>
        <v>#N/A</v>
      </c>
    </row>
    <row r="288" spans="1:18" x14ac:dyDescent="0.2">
      <c r="A288" s="2">
        <v>287</v>
      </c>
      <c r="B288" s="65">
        <v>45729</v>
      </c>
      <c r="C288" s="70">
        <v>0.63449074074074074</v>
      </c>
      <c r="D288" s="66" t="s">
        <v>98</v>
      </c>
      <c r="G288" s="66" t="s">
        <v>208</v>
      </c>
      <c r="H288" s="66" t="s">
        <v>100</v>
      </c>
      <c r="I288" s="33" t="str">
        <f ca="1"/>
        <v>25,17</v>
      </c>
      <c r="J288" s="2">
        <v>288</v>
      </c>
      <c r="K288" s="2" t="str">
        <v>No Match</v>
      </c>
      <c r="M288" s="33">
        <f ca="1"/>
        <v>25.17</v>
      </c>
      <c r="N288" s="2" t="e">
        <f ca="1"/>
        <v>#N/A</v>
      </c>
      <c r="O288" s="2" t="e">
        <f ca="1"/>
        <v>#N/A</v>
      </c>
      <c r="P288" s="2" t="e">
        <f ca="1"/>
        <v>#N/A</v>
      </c>
      <c r="Q288" s="33" t="e">
        <f ca="1"/>
        <v>#N/A</v>
      </c>
      <c r="R288" s="33" t="e">
        <f ca="1"/>
        <v>#N/A</v>
      </c>
    </row>
    <row r="289" spans="1:18" x14ac:dyDescent="0.2">
      <c r="A289" s="2">
        <v>288</v>
      </c>
      <c r="B289" s="65">
        <v>45729</v>
      </c>
      <c r="C289" s="70">
        <v>0.63589120370370367</v>
      </c>
      <c r="D289" s="66" t="s">
        <v>98</v>
      </c>
      <c r="G289" s="66" t="s">
        <v>161</v>
      </c>
      <c r="H289" s="66" t="s">
        <v>100</v>
      </c>
      <c r="I289" s="33" t="str">
        <f ca="1"/>
        <v>25,38</v>
      </c>
      <c r="J289" s="2">
        <v>289</v>
      </c>
      <c r="K289" s="2" t="str">
        <v>No Match</v>
      </c>
      <c r="M289" s="33">
        <f ca="1"/>
        <v>25.38</v>
      </c>
      <c r="N289" s="2" t="e">
        <f ca="1"/>
        <v>#N/A</v>
      </c>
      <c r="O289" s="2" t="e">
        <f ca="1"/>
        <v>#N/A</v>
      </c>
      <c r="P289" s="2" t="e">
        <f ca="1"/>
        <v>#N/A</v>
      </c>
      <c r="Q289" s="33" t="e">
        <f ca="1"/>
        <v>#N/A</v>
      </c>
      <c r="R289" s="33" t="e">
        <f ca="1"/>
        <v>#N/A</v>
      </c>
    </row>
    <row r="290" spans="1:18" x14ac:dyDescent="0.2">
      <c r="A290" s="2">
        <v>289</v>
      </c>
      <c r="B290" s="65">
        <v>45729</v>
      </c>
      <c r="C290" s="70">
        <v>0.63784722222222223</v>
      </c>
      <c r="D290" s="66" t="s">
        <v>98</v>
      </c>
      <c r="G290" s="66" t="s">
        <v>127</v>
      </c>
      <c r="H290" s="66" t="s">
        <v>100</v>
      </c>
      <c r="I290" s="33" t="str">
        <f ca="1"/>
        <v>25,28</v>
      </c>
      <c r="J290" s="2">
        <v>290</v>
      </c>
      <c r="K290" s="2" t="str">
        <v>No Match</v>
      </c>
      <c r="M290" s="33">
        <f ca="1"/>
        <v>25.28</v>
      </c>
      <c r="N290" s="2" t="e">
        <f ca="1"/>
        <v>#N/A</v>
      </c>
      <c r="O290" s="2" t="e">
        <f ca="1"/>
        <v>#N/A</v>
      </c>
      <c r="P290" s="2" t="e">
        <f ca="1"/>
        <v>#N/A</v>
      </c>
      <c r="Q290" s="33" t="e">
        <f ca="1"/>
        <v>#N/A</v>
      </c>
      <c r="R290" s="33" t="e">
        <f ca="1"/>
        <v>#N/A</v>
      </c>
    </row>
    <row r="291" spans="1:18" x14ac:dyDescent="0.2">
      <c r="A291" s="2">
        <v>290</v>
      </c>
      <c r="B291" s="65">
        <v>45729</v>
      </c>
      <c r="C291" s="70">
        <v>0.63810185185185186</v>
      </c>
      <c r="D291" s="66" t="s">
        <v>98</v>
      </c>
      <c r="G291" s="66" t="s">
        <v>145</v>
      </c>
      <c r="H291" s="66" t="s">
        <v>100</v>
      </c>
      <c r="I291" s="33" t="str">
        <f ca="1"/>
        <v>25,30</v>
      </c>
      <c r="J291" s="2">
        <v>291</v>
      </c>
      <c r="K291" s="2" t="str">
        <v>No Match</v>
      </c>
      <c r="M291" s="33">
        <f ca="1"/>
        <v>25.3</v>
      </c>
      <c r="N291" s="2">
        <f ca="1"/>
        <v>25</v>
      </c>
      <c r="O291" s="2">
        <f ca="1"/>
        <v>24.625</v>
      </c>
      <c r="P291" s="2">
        <f ca="1"/>
        <v>25.375</v>
      </c>
      <c r="Q291" s="33">
        <f ca="1"/>
        <v>25.231068965517252</v>
      </c>
      <c r="R291" s="33">
        <f ca="1"/>
        <v>25.271000000000001</v>
      </c>
    </row>
    <row r="292" spans="1:18" x14ac:dyDescent="0.2">
      <c r="A292" s="2">
        <v>291</v>
      </c>
      <c r="B292" s="65">
        <v>45729</v>
      </c>
      <c r="C292" s="70">
        <v>0.64003472222222224</v>
      </c>
      <c r="D292" s="66" t="s">
        <v>98</v>
      </c>
      <c r="G292" s="66" t="s">
        <v>202</v>
      </c>
      <c r="H292" s="66" t="s">
        <v>100</v>
      </c>
      <c r="I292" s="33" t="str">
        <f ca="1"/>
        <v>25,31</v>
      </c>
      <c r="J292" s="2">
        <v>292</v>
      </c>
      <c r="K292" s="2" t="str">
        <v>No Match</v>
      </c>
      <c r="M292" s="33">
        <f ca="1"/>
        <v>25.31</v>
      </c>
      <c r="N292" s="2" t="e">
        <f ca="1"/>
        <v>#N/A</v>
      </c>
      <c r="O292" s="2" t="e">
        <f ca="1"/>
        <v>#N/A</v>
      </c>
      <c r="P292" s="2" t="e">
        <f ca="1"/>
        <v>#N/A</v>
      </c>
      <c r="Q292" s="33" t="e">
        <f ca="1"/>
        <v>#N/A</v>
      </c>
      <c r="R292" s="33" t="e">
        <f ca="1"/>
        <v>#N/A</v>
      </c>
    </row>
    <row r="293" spans="1:18" x14ac:dyDescent="0.2">
      <c r="A293" s="2">
        <v>292</v>
      </c>
      <c r="B293" s="65">
        <v>45729</v>
      </c>
      <c r="C293" s="70">
        <v>0.6419097222222222</v>
      </c>
      <c r="D293" s="66" t="s">
        <v>98</v>
      </c>
      <c r="G293" s="66" t="s">
        <v>159</v>
      </c>
      <c r="H293" s="66" t="s">
        <v>100</v>
      </c>
      <c r="I293" s="33" t="str">
        <f ca="1"/>
        <v>25,26</v>
      </c>
      <c r="J293" s="2">
        <v>293</v>
      </c>
      <c r="K293" s="2" t="str">
        <v>No Match</v>
      </c>
      <c r="M293" s="33">
        <f ca="1"/>
        <v>25.26</v>
      </c>
      <c r="N293" s="2" t="e">
        <f ca="1"/>
        <v>#N/A</v>
      </c>
      <c r="O293" s="2" t="e">
        <f ca="1"/>
        <v>#N/A</v>
      </c>
      <c r="P293" s="2" t="e">
        <f ca="1"/>
        <v>#N/A</v>
      </c>
      <c r="Q293" s="33" t="e">
        <f ca="1"/>
        <v>#N/A</v>
      </c>
      <c r="R293" s="33" t="e">
        <f ca="1"/>
        <v>#N/A</v>
      </c>
    </row>
    <row r="294" spans="1:18" x14ac:dyDescent="0.2">
      <c r="A294" s="2">
        <v>293</v>
      </c>
      <c r="B294" s="65">
        <v>45729</v>
      </c>
      <c r="C294" s="70">
        <v>0.64217592592592587</v>
      </c>
      <c r="D294" s="66" t="s">
        <v>98</v>
      </c>
      <c r="G294" s="66" t="s">
        <v>131</v>
      </c>
      <c r="H294" s="66" t="s">
        <v>100</v>
      </c>
      <c r="I294" s="33" t="str">
        <f ca="1"/>
        <v>25,24</v>
      </c>
      <c r="J294" s="2">
        <v>294</v>
      </c>
      <c r="K294" s="2" t="str">
        <v>No Match</v>
      </c>
      <c r="M294" s="33">
        <f ca="1"/>
        <v>25.24</v>
      </c>
      <c r="N294" s="2" t="e">
        <f ca="1"/>
        <v>#N/A</v>
      </c>
      <c r="O294" s="2" t="e">
        <f ca="1"/>
        <v>#N/A</v>
      </c>
      <c r="P294" s="2" t="e">
        <f ca="1"/>
        <v>#N/A</v>
      </c>
      <c r="Q294" s="33" t="e">
        <f ca="1"/>
        <v>#N/A</v>
      </c>
      <c r="R294" s="33" t="e">
        <f ca="1"/>
        <v>#N/A</v>
      </c>
    </row>
    <row r="295" spans="1:18" x14ac:dyDescent="0.2">
      <c r="A295" s="2">
        <v>294</v>
      </c>
      <c r="B295" s="65">
        <v>45729</v>
      </c>
      <c r="C295" s="70">
        <v>0.64315972222222217</v>
      </c>
      <c r="D295" s="66" t="s">
        <v>98</v>
      </c>
      <c r="G295" s="66" t="s">
        <v>200</v>
      </c>
      <c r="H295" s="66" t="s">
        <v>100</v>
      </c>
      <c r="I295" s="33" t="str">
        <f ca="1"/>
        <v>25,21</v>
      </c>
      <c r="J295" s="2">
        <v>295</v>
      </c>
      <c r="K295" s="2" t="str">
        <v>No Match</v>
      </c>
      <c r="M295" s="33">
        <f ca="1"/>
        <v>25.21</v>
      </c>
      <c r="N295" s="2" t="e">
        <f ca="1"/>
        <v>#N/A</v>
      </c>
      <c r="O295" s="2" t="e">
        <f ca="1"/>
        <v>#N/A</v>
      </c>
      <c r="P295" s="2" t="e">
        <f ca="1"/>
        <v>#N/A</v>
      </c>
      <c r="Q295" s="33" t="e">
        <f ca="1"/>
        <v>#N/A</v>
      </c>
      <c r="R295" s="33" t="e">
        <f ca="1"/>
        <v>#N/A</v>
      </c>
    </row>
    <row r="296" spans="1:18" x14ac:dyDescent="0.2">
      <c r="A296" s="2">
        <v>295</v>
      </c>
      <c r="B296" s="65">
        <v>45729</v>
      </c>
      <c r="C296" s="70">
        <v>0.64424768518518516</v>
      </c>
      <c r="D296" s="66" t="s">
        <v>98</v>
      </c>
      <c r="G296" s="66" t="s">
        <v>137</v>
      </c>
      <c r="H296" s="66" t="s">
        <v>100</v>
      </c>
      <c r="I296" s="33" t="str">
        <f ca="1"/>
        <v>25,25</v>
      </c>
      <c r="J296" s="2">
        <v>296</v>
      </c>
      <c r="K296" s="2" t="str">
        <v>No Match</v>
      </c>
      <c r="M296" s="33">
        <f ca="1"/>
        <v>25.25</v>
      </c>
      <c r="N296" s="2" t="e">
        <f ca="1"/>
        <v>#N/A</v>
      </c>
      <c r="O296" s="2" t="e">
        <f ca="1"/>
        <v>#N/A</v>
      </c>
      <c r="P296" s="2" t="e">
        <f ca="1"/>
        <v>#N/A</v>
      </c>
      <c r="Q296" s="33" t="e">
        <f ca="1"/>
        <v>#N/A</v>
      </c>
      <c r="R296" s="33" t="e">
        <f ca="1"/>
        <v>#N/A</v>
      </c>
    </row>
    <row r="297" spans="1:18" x14ac:dyDescent="0.2">
      <c r="A297" s="2">
        <v>296</v>
      </c>
      <c r="B297" s="65">
        <v>45729</v>
      </c>
      <c r="C297" s="70">
        <v>0.64810185185185187</v>
      </c>
      <c r="D297" s="66" t="s">
        <v>98</v>
      </c>
      <c r="G297" s="66" t="s">
        <v>108</v>
      </c>
      <c r="H297" s="66" t="s">
        <v>100</v>
      </c>
      <c r="I297" s="33" t="str">
        <f ca="1"/>
        <v>24,96</v>
      </c>
      <c r="J297" s="2">
        <v>297</v>
      </c>
      <c r="K297" s="2" t="str">
        <v>No Match</v>
      </c>
      <c r="M297" s="33">
        <f ca="1"/>
        <v>24.96</v>
      </c>
      <c r="N297" s="2" t="e">
        <f ca="1"/>
        <v>#N/A</v>
      </c>
      <c r="O297" s="2" t="e">
        <f ca="1"/>
        <v>#N/A</v>
      </c>
      <c r="P297" s="2" t="e">
        <f ca="1"/>
        <v>#N/A</v>
      </c>
      <c r="Q297" s="33" t="e">
        <f ca="1"/>
        <v>#N/A</v>
      </c>
      <c r="R297" s="33" t="e">
        <f ca="1"/>
        <v>#N/A</v>
      </c>
    </row>
    <row r="298" spans="1:18" x14ac:dyDescent="0.2">
      <c r="A298" s="2">
        <v>297</v>
      </c>
      <c r="B298" s="65">
        <v>45729</v>
      </c>
      <c r="C298" s="70">
        <v>0.64929398148148143</v>
      </c>
      <c r="D298" s="66" t="s">
        <v>98</v>
      </c>
      <c r="G298" s="66" t="s">
        <v>140</v>
      </c>
      <c r="H298" s="66" t="s">
        <v>100</v>
      </c>
      <c r="I298" s="33" t="str">
        <f ca="1"/>
        <v>25,10</v>
      </c>
      <c r="J298" s="2">
        <v>298</v>
      </c>
      <c r="K298" s="2" t="str">
        <v>No Match</v>
      </c>
      <c r="M298" s="33">
        <f ca="1"/>
        <v>25.1</v>
      </c>
      <c r="N298" s="2" t="e">
        <f ca="1"/>
        <v>#N/A</v>
      </c>
      <c r="O298" s="2" t="e">
        <f ca="1"/>
        <v>#N/A</v>
      </c>
      <c r="P298" s="2" t="e">
        <f ca="1"/>
        <v>#N/A</v>
      </c>
      <c r="Q298" s="33" t="e">
        <f ca="1"/>
        <v>#N/A</v>
      </c>
      <c r="R298" s="33" t="e">
        <f ca="1"/>
        <v>#N/A</v>
      </c>
    </row>
    <row r="299" spans="1:18" x14ac:dyDescent="0.2">
      <c r="A299" s="2">
        <v>298</v>
      </c>
      <c r="B299" s="65">
        <v>45729</v>
      </c>
      <c r="C299" s="70">
        <v>0.65020833333333339</v>
      </c>
      <c r="D299" s="66" t="s">
        <v>98</v>
      </c>
      <c r="G299" s="66" t="s">
        <v>123</v>
      </c>
      <c r="H299" s="66" t="s">
        <v>100</v>
      </c>
      <c r="I299" s="33" t="str">
        <f ca="1"/>
        <v>25,13</v>
      </c>
      <c r="J299" s="2">
        <v>299</v>
      </c>
      <c r="K299" s="2" t="str">
        <v>No Match</v>
      </c>
      <c r="M299" s="33">
        <f ca="1"/>
        <v>25.13</v>
      </c>
      <c r="N299" s="2" t="e">
        <f ca="1"/>
        <v>#N/A</v>
      </c>
      <c r="O299" s="2" t="e">
        <f ca="1"/>
        <v>#N/A</v>
      </c>
      <c r="P299" s="2" t="e">
        <f ca="1"/>
        <v>#N/A</v>
      </c>
      <c r="Q299" s="33" t="e">
        <f ca="1"/>
        <v>#N/A</v>
      </c>
      <c r="R299" s="33" t="e">
        <f ca="1"/>
        <v>#N/A</v>
      </c>
    </row>
    <row r="300" spans="1:18" x14ac:dyDescent="0.2">
      <c r="A300" s="2">
        <v>299</v>
      </c>
      <c r="B300" s="65">
        <v>45729</v>
      </c>
      <c r="C300" s="70">
        <v>0.65369212962962964</v>
      </c>
      <c r="D300" s="66" t="s">
        <v>98</v>
      </c>
      <c r="G300" s="66" t="s">
        <v>111</v>
      </c>
      <c r="H300" s="66" t="s">
        <v>100</v>
      </c>
      <c r="I300" s="33" t="str">
        <f ca="1"/>
        <v>25,44</v>
      </c>
      <c r="J300" s="2">
        <v>300</v>
      </c>
      <c r="K300" s="2" t="str">
        <v>No Match</v>
      </c>
      <c r="M300" s="33">
        <f ca="1"/>
        <v>25.44</v>
      </c>
      <c r="N300" s="2" t="e">
        <f ca="1"/>
        <v>#N/A</v>
      </c>
      <c r="O300" s="2" t="e">
        <f ca="1"/>
        <v>#N/A</v>
      </c>
      <c r="P300" s="2" t="e">
        <f ca="1"/>
        <v>#N/A</v>
      </c>
      <c r="Q300" s="33" t="e">
        <f ca="1"/>
        <v>#N/A</v>
      </c>
      <c r="R300" s="33" t="e">
        <f ca="1"/>
        <v>#N/A</v>
      </c>
    </row>
    <row r="301" spans="1:18" x14ac:dyDescent="0.2">
      <c r="A301" s="2">
        <v>300</v>
      </c>
      <c r="B301" s="65">
        <v>45729</v>
      </c>
      <c r="C301" s="70">
        <v>0.65438657407407408</v>
      </c>
      <c r="D301" s="66" t="s">
        <v>98</v>
      </c>
      <c r="G301" s="66" t="s">
        <v>125</v>
      </c>
      <c r="H301" s="66" t="s">
        <v>100</v>
      </c>
      <c r="I301" s="33" t="str">
        <f ca="1"/>
        <v>25,20</v>
      </c>
      <c r="J301" s="2">
        <v>301</v>
      </c>
      <c r="K301" s="2" t="str">
        <v>No Match</v>
      </c>
      <c r="M301" s="33">
        <f ca="1"/>
        <v>25.2</v>
      </c>
      <c r="N301" s="2">
        <f ca="1"/>
        <v>25</v>
      </c>
      <c r="O301" s="2">
        <f ca="1"/>
        <v>24.625</v>
      </c>
      <c r="P301" s="2">
        <f ca="1"/>
        <v>25.375</v>
      </c>
      <c r="Q301" s="33">
        <f ca="1"/>
        <v>25.230366666666679</v>
      </c>
      <c r="R301" s="33">
        <f ca="1"/>
        <v>25.21</v>
      </c>
    </row>
    <row r="302" spans="1:18" x14ac:dyDescent="0.2">
      <c r="A302" s="2">
        <v>301</v>
      </c>
      <c r="B302" s="65">
        <v>45729</v>
      </c>
      <c r="C302" s="70">
        <v>0.65471064814814817</v>
      </c>
      <c r="D302" s="66" t="s">
        <v>98</v>
      </c>
      <c r="G302" s="66" t="s">
        <v>202</v>
      </c>
      <c r="H302" s="66" t="s">
        <v>100</v>
      </c>
      <c r="I302" s="33" t="str">
        <f ca="1"/>
        <v>25,31</v>
      </c>
      <c r="J302" s="2">
        <v>302</v>
      </c>
      <c r="K302" s="2" t="str">
        <v>No Match</v>
      </c>
      <c r="M302" s="33">
        <f ca="1"/>
        <v>25.31</v>
      </c>
      <c r="N302" s="2" t="e">
        <f ca="1"/>
        <v>#N/A</v>
      </c>
      <c r="O302" s="2" t="e">
        <f ca="1"/>
        <v>#N/A</v>
      </c>
      <c r="P302" s="2" t="e">
        <f ca="1"/>
        <v>#N/A</v>
      </c>
      <c r="Q302" s="33" t="e">
        <f ca="1"/>
        <v>#N/A</v>
      </c>
      <c r="R302" s="33" t="e">
        <f ca="1"/>
        <v>#N/A</v>
      </c>
    </row>
    <row r="303" spans="1:18" x14ac:dyDescent="0.2">
      <c r="A303" s="2">
        <v>302</v>
      </c>
      <c r="B303" s="65">
        <v>45729</v>
      </c>
      <c r="C303" s="70">
        <v>0.65581018518518519</v>
      </c>
      <c r="D303" s="66" t="s">
        <v>98</v>
      </c>
      <c r="G303" s="66" t="s">
        <v>190</v>
      </c>
      <c r="H303" s="66" t="s">
        <v>100</v>
      </c>
      <c r="I303" s="33" t="str">
        <f ca="1"/>
        <v>25,19</v>
      </c>
      <c r="J303" s="2">
        <v>303</v>
      </c>
      <c r="K303" s="2" t="str">
        <v>No Match</v>
      </c>
      <c r="M303" s="33">
        <f ca="1"/>
        <v>25.19</v>
      </c>
      <c r="N303" s="2" t="e">
        <f ca="1"/>
        <v>#N/A</v>
      </c>
      <c r="O303" s="2" t="e">
        <f ca="1"/>
        <v>#N/A</v>
      </c>
      <c r="P303" s="2" t="e">
        <f ca="1"/>
        <v>#N/A</v>
      </c>
      <c r="Q303" s="33" t="e">
        <f ca="1"/>
        <v>#N/A</v>
      </c>
      <c r="R303" s="33" t="e">
        <f ca="1"/>
        <v>#N/A</v>
      </c>
    </row>
    <row r="304" spans="1:18" x14ac:dyDescent="0.2">
      <c r="A304" s="2">
        <v>303</v>
      </c>
      <c r="B304" s="65">
        <v>45729</v>
      </c>
      <c r="C304" s="70">
        <v>0.65738425925925925</v>
      </c>
      <c r="D304" s="66" t="s">
        <v>98</v>
      </c>
      <c r="G304" s="66" t="s">
        <v>169</v>
      </c>
      <c r="H304" s="66" t="s">
        <v>100</v>
      </c>
      <c r="I304" s="33" t="str">
        <f ca="1"/>
        <v>25,11</v>
      </c>
      <c r="J304" s="2">
        <v>304</v>
      </c>
      <c r="K304" s="2" t="str">
        <v>No Match</v>
      </c>
      <c r="M304" s="33">
        <f ca="1"/>
        <v>25.11</v>
      </c>
      <c r="N304" s="2" t="e">
        <f ca="1"/>
        <v>#N/A</v>
      </c>
      <c r="O304" s="2" t="e">
        <f ca="1"/>
        <v>#N/A</v>
      </c>
      <c r="P304" s="2" t="e">
        <f ca="1"/>
        <v>#N/A</v>
      </c>
      <c r="Q304" s="33" t="e">
        <f ca="1"/>
        <v>#N/A</v>
      </c>
      <c r="R304" s="33" t="e">
        <f ca="1"/>
        <v>#N/A</v>
      </c>
    </row>
    <row r="305" spans="1:18" x14ac:dyDescent="0.2">
      <c r="A305" s="2">
        <v>304</v>
      </c>
      <c r="B305" s="65">
        <v>45729</v>
      </c>
      <c r="C305" s="70">
        <v>0.65741898148148148</v>
      </c>
      <c r="D305" s="66" t="s">
        <v>98</v>
      </c>
      <c r="G305" s="66" t="s">
        <v>120</v>
      </c>
      <c r="H305" s="66" t="s">
        <v>100</v>
      </c>
      <c r="I305" s="33" t="str">
        <f ca="1"/>
        <v>25,34</v>
      </c>
      <c r="J305" s="2">
        <v>305</v>
      </c>
      <c r="K305" s="2" t="str">
        <v>No Match</v>
      </c>
      <c r="M305" s="33">
        <f ca="1"/>
        <v>25.34</v>
      </c>
      <c r="N305" s="2" t="e">
        <f ca="1"/>
        <v>#N/A</v>
      </c>
      <c r="O305" s="2" t="e">
        <f ca="1"/>
        <v>#N/A</v>
      </c>
      <c r="P305" s="2" t="e">
        <f ca="1"/>
        <v>#N/A</v>
      </c>
      <c r="Q305" s="33" t="e">
        <f ca="1"/>
        <v>#N/A</v>
      </c>
      <c r="R305" s="33" t="e">
        <f ca="1"/>
        <v>#N/A</v>
      </c>
    </row>
    <row r="306" spans="1:18" x14ac:dyDescent="0.2">
      <c r="A306" s="2">
        <v>305</v>
      </c>
      <c r="B306" s="65">
        <v>45729</v>
      </c>
      <c r="C306" s="70">
        <v>0.65871527777777783</v>
      </c>
      <c r="D306" s="66" t="s">
        <v>98</v>
      </c>
      <c r="G306" s="66" t="s">
        <v>204</v>
      </c>
      <c r="H306" s="66" t="s">
        <v>100</v>
      </c>
      <c r="I306" s="33" t="str">
        <f ca="1"/>
        <v>25,01</v>
      </c>
      <c r="J306" s="2">
        <v>306</v>
      </c>
      <c r="K306" s="2" t="str">
        <v>No Match</v>
      </c>
      <c r="M306" s="33">
        <f ca="1"/>
        <v>25.01</v>
      </c>
      <c r="N306" s="2" t="e">
        <f ca="1"/>
        <v>#N/A</v>
      </c>
      <c r="O306" s="2" t="e">
        <f ca="1"/>
        <v>#N/A</v>
      </c>
      <c r="P306" s="2" t="e">
        <f ca="1"/>
        <v>#N/A</v>
      </c>
      <c r="Q306" s="33" t="e">
        <f ca="1"/>
        <v>#N/A</v>
      </c>
      <c r="R306" s="33" t="e">
        <f ca="1"/>
        <v>#N/A</v>
      </c>
    </row>
    <row r="307" spans="1:18" x14ac:dyDescent="0.2">
      <c r="A307" s="2">
        <v>306</v>
      </c>
      <c r="B307" s="65">
        <v>45729</v>
      </c>
      <c r="C307" s="70">
        <v>0.65909722222222222</v>
      </c>
      <c r="D307" s="66" t="s">
        <v>98</v>
      </c>
      <c r="G307" s="66" t="s">
        <v>145</v>
      </c>
      <c r="H307" s="66" t="s">
        <v>100</v>
      </c>
      <c r="I307" s="33" t="str">
        <f ca="1"/>
        <v>25,30</v>
      </c>
      <c r="J307" s="2">
        <v>307</v>
      </c>
      <c r="K307" s="2" t="str">
        <v>No Match</v>
      </c>
      <c r="M307" s="33">
        <f ca="1"/>
        <v>25.3</v>
      </c>
      <c r="N307" s="2" t="e">
        <f ca="1"/>
        <v>#N/A</v>
      </c>
      <c r="O307" s="2" t="e">
        <f ca="1"/>
        <v>#N/A</v>
      </c>
      <c r="P307" s="2" t="e">
        <f ca="1"/>
        <v>#N/A</v>
      </c>
      <c r="Q307" s="33" t="e">
        <f ca="1"/>
        <v>#N/A</v>
      </c>
      <c r="R307" s="33" t="e">
        <f ca="1"/>
        <v>#N/A</v>
      </c>
    </row>
    <row r="308" spans="1:18" x14ac:dyDescent="0.2">
      <c r="A308" s="2">
        <v>307</v>
      </c>
      <c r="B308" s="65">
        <v>45729</v>
      </c>
      <c r="C308" s="70">
        <v>0.65913194444444445</v>
      </c>
      <c r="D308" s="66" t="s">
        <v>98</v>
      </c>
      <c r="G308" s="66" t="s">
        <v>204</v>
      </c>
      <c r="H308" s="66" t="s">
        <v>100</v>
      </c>
      <c r="I308" s="33" t="str">
        <f ca="1"/>
        <v>25,01</v>
      </c>
      <c r="J308" s="2">
        <v>308</v>
      </c>
      <c r="K308" s="2" t="str">
        <v>No Match</v>
      </c>
      <c r="M308" s="33">
        <f ca="1"/>
        <v>25.01</v>
      </c>
      <c r="N308" s="2" t="e">
        <f ca="1"/>
        <v>#N/A</v>
      </c>
      <c r="O308" s="2" t="e">
        <f ca="1"/>
        <v>#N/A</v>
      </c>
      <c r="P308" s="2" t="e">
        <f ca="1"/>
        <v>#N/A</v>
      </c>
      <c r="Q308" s="33" t="e">
        <f ca="1"/>
        <v>#N/A</v>
      </c>
      <c r="R308" s="33" t="e">
        <f ca="1"/>
        <v>#N/A</v>
      </c>
    </row>
    <row r="309" spans="1:18" x14ac:dyDescent="0.2">
      <c r="A309" s="2">
        <v>308</v>
      </c>
      <c r="B309" s="65">
        <v>45729</v>
      </c>
      <c r="C309" s="70">
        <v>0.6608680555555555</v>
      </c>
      <c r="D309" s="66" t="s">
        <v>98</v>
      </c>
      <c r="G309" s="66" t="s">
        <v>128</v>
      </c>
      <c r="H309" s="66" t="s">
        <v>100</v>
      </c>
      <c r="I309" s="33" t="str">
        <f ca="1"/>
        <v>25,23</v>
      </c>
      <c r="J309" s="2">
        <v>309</v>
      </c>
      <c r="K309" s="2" t="str">
        <v>No Match</v>
      </c>
      <c r="M309" s="33">
        <f ca="1"/>
        <v>25.23</v>
      </c>
      <c r="N309" s="2" t="e">
        <f ca="1"/>
        <v>#N/A</v>
      </c>
      <c r="O309" s="2" t="e">
        <f ca="1"/>
        <v>#N/A</v>
      </c>
      <c r="P309" s="2" t="e">
        <f ca="1"/>
        <v>#N/A</v>
      </c>
      <c r="Q309" s="33" t="e">
        <f ca="1"/>
        <v>#N/A</v>
      </c>
      <c r="R309" s="33" t="e">
        <f ca="1"/>
        <v>#N/A</v>
      </c>
    </row>
    <row r="310" spans="1:18" x14ac:dyDescent="0.2">
      <c r="A310" s="2">
        <v>309</v>
      </c>
      <c r="B310" s="65">
        <v>45729</v>
      </c>
      <c r="C310" s="70">
        <v>0.66295138888888894</v>
      </c>
      <c r="D310" s="66" t="s">
        <v>98</v>
      </c>
      <c r="G310" s="66" t="s">
        <v>110</v>
      </c>
      <c r="H310" s="66" t="s">
        <v>100</v>
      </c>
      <c r="I310" s="33" t="str">
        <f ca="1"/>
        <v>25,12</v>
      </c>
      <c r="J310" s="2">
        <v>310</v>
      </c>
      <c r="K310" s="2" t="str">
        <v>No Match</v>
      </c>
      <c r="M310" s="33">
        <f ca="1"/>
        <v>25.12</v>
      </c>
      <c r="N310" s="2" t="e">
        <f ca="1"/>
        <v>#N/A</v>
      </c>
      <c r="O310" s="2" t="e">
        <f ca="1"/>
        <v>#N/A</v>
      </c>
      <c r="P310" s="2" t="e">
        <f ca="1"/>
        <v>#N/A</v>
      </c>
      <c r="Q310" s="33" t="e">
        <f ca="1"/>
        <v>#N/A</v>
      </c>
      <c r="R310" s="33" t="e">
        <f ca="1"/>
        <v>#N/A</v>
      </c>
    </row>
    <row r="311" spans="1:18" x14ac:dyDescent="0.2">
      <c r="A311" s="2">
        <v>310</v>
      </c>
      <c r="B311" s="65">
        <v>45729</v>
      </c>
      <c r="C311" s="70">
        <v>0.66358796296296296</v>
      </c>
      <c r="D311" s="66" t="s">
        <v>98</v>
      </c>
      <c r="G311" s="66" t="s">
        <v>124</v>
      </c>
      <c r="H311" s="66" t="s">
        <v>100</v>
      </c>
      <c r="I311" s="33" t="str">
        <f ca="1"/>
        <v>25,09</v>
      </c>
      <c r="J311" s="2">
        <v>311</v>
      </c>
      <c r="K311" s="2" t="str">
        <v>No Match</v>
      </c>
      <c r="M311" s="33">
        <f ca="1"/>
        <v>25.09</v>
      </c>
      <c r="N311" s="2">
        <f ca="1"/>
        <v>25</v>
      </c>
      <c r="O311" s="2">
        <f ca="1"/>
        <v>24.625</v>
      </c>
      <c r="P311" s="2">
        <f ca="1"/>
        <v>25.375</v>
      </c>
      <c r="Q311" s="33">
        <f ca="1"/>
        <v>25.228451612903235</v>
      </c>
      <c r="R311" s="33">
        <f ca="1"/>
        <v>25.170999999999999</v>
      </c>
    </row>
    <row r="312" spans="1:18" x14ac:dyDescent="0.2">
      <c r="A312" s="2">
        <v>311</v>
      </c>
      <c r="B312" s="65">
        <v>45729</v>
      </c>
      <c r="C312" s="70">
        <v>0.69488425925925923</v>
      </c>
      <c r="D312" s="66" t="s">
        <v>98</v>
      </c>
      <c r="G312" s="66" t="s">
        <v>112</v>
      </c>
      <c r="H312" s="66" t="s">
        <v>100</v>
      </c>
      <c r="I312" s="33" t="str">
        <f ca="1"/>
        <v>25,36</v>
      </c>
      <c r="J312" s="2">
        <v>312</v>
      </c>
      <c r="K312" s="2" t="str">
        <v>No Match</v>
      </c>
      <c r="M312" s="33">
        <f ca="1"/>
        <v>25.36</v>
      </c>
      <c r="N312" s="2" t="e">
        <f ca="1"/>
        <v>#N/A</v>
      </c>
      <c r="O312" s="2" t="e">
        <f ca="1"/>
        <v>#N/A</v>
      </c>
      <c r="P312" s="2" t="e">
        <f ca="1"/>
        <v>#N/A</v>
      </c>
      <c r="Q312" s="33" t="e">
        <f ca="1"/>
        <v>#N/A</v>
      </c>
      <c r="R312" s="33" t="e">
        <f ca="1"/>
        <v>#N/A</v>
      </c>
    </row>
    <row r="313" spans="1:18" x14ac:dyDescent="0.2">
      <c r="A313" s="2">
        <v>312</v>
      </c>
      <c r="B313" s="65">
        <v>45729</v>
      </c>
      <c r="C313" s="70">
        <v>0.69493055555555561</v>
      </c>
      <c r="D313" s="66" t="s">
        <v>98</v>
      </c>
      <c r="G313" s="66" t="s">
        <v>146</v>
      </c>
      <c r="H313" s="66" t="s">
        <v>100</v>
      </c>
      <c r="I313" s="33" t="str">
        <f ca="1"/>
        <v>25,37</v>
      </c>
      <c r="J313" s="2">
        <v>313</v>
      </c>
      <c r="K313" s="2" t="str">
        <v>No Match</v>
      </c>
      <c r="M313" s="33">
        <f ca="1"/>
        <v>25.37</v>
      </c>
      <c r="N313" s="2" t="e">
        <f ca="1"/>
        <v>#N/A</v>
      </c>
      <c r="O313" s="2" t="e">
        <f ca="1"/>
        <v>#N/A</v>
      </c>
      <c r="P313" s="2" t="e">
        <f ca="1"/>
        <v>#N/A</v>
      </c>
      <c r="Q313" s="33" t="e">
        <f ca="1"/>
        <v>#N/A</v>
      </c>
      <c r="R313" s="33" t="e">
        <f ca="1"/>
        <v>#N/A</v>
      </c>
    </row>
    <row r="314" spans="1:18" x14ac:dyDescent="0.2">
      <c r="A314" s="2">
        <v>313</v>
      </c>
      <c r="B314" s="65">
        <v>45729</v>
      </c>
      <c r="C314" s="70">
        <v>0.69496527777777772</v>
      </c>
      <c r="D314" s="66" t="s">
        <v>98</v>
      </c>
      <c r="G314" s="66" t="s">
        <v>122</v>
      </c>
      <c r="H314" s="66" t="s">
        <v>100</v>
      </c>
      <c r="I314" s="33" t="str">
        <f ca="1"/>
        <v>25,27</v>
      </c>
      <c r="J314" s="2">
        <v>314</v>
      </c>
      <c r="K314" s="2" t="str">
        <v>No Match</v>
      </c>
      <c r="M314" s="33">
        <f ca="1"/>
        <v>25.27</v>
      </c>
      <c r="N314" s="2" t="e">
        <f ca="1"/>
        <v>#N/A</v>
      </c>
      <c r="O314" s="2" t="e">
        <f ca="1"/>
        <v>#N/A</v>
      </c>
      <c r="P314" s="2" t="e">
        <f ca="1"/>
        <v>#N/A</v>
      </c>
      <c r="Q314" s="33" t="e">
        <f ca="1"/>
        <v>#N/A</v>
      </c>
      <c r="R314" s="33" t="e">
        <f ca="1"/>
        <v>#N/A</v>
      </c>
    </row>
    <row r="315" spans="1:18" x14ac:dyDescent="0.2">
      <c r="A315" s="2">
        <v>314</v>
      </c>
      <c r="B315" s="65">
        <v>45729</v>
      </c>
      <c r="C315" s="70">
        <v>0.69502314814814814</v>
      </c>
      <c r="D315" s="66" t="s">
        <v>98</v>
      </c>
      <c r="G315" s="66" t="s">
        <v>125</v>
      </c>
      <c r="H315" s="66" t="s">
        <v>100</v>
      </c>
      <c r="I315" s="33" t="str">
        <f ca="1"/>
        <v>25,20</v>
      </c>
      <c r="J315" s="2">
        <v>315</v>
      </c>
      <c r="K315" s="2" t="str">
        <v>No Match</v>
      </c>
      <c r="M315" s="33">
        <f ca="1"/>
        <v>25.2</v>
      </c>
      <c r="N315" s="2" t="e">
        <f ca="1"/>
        <v>#N/A</v>
      </c>
      <c r="O315" s="2" t="e">
        <f ca="1"/>
        <v>#N/A</v>
      </c>
      <c r="P315" s="2" t="e">
        <f ca="1"/>
        <v>#N/A</v>
      </c>
      <c r="Q315" s="33" t="e">
        <f ca="1"/>
        <v>#N/A</v>
      </c>
      <c r="R315" s="33" t="e">
        <f ca="1"/>
        <v>#N/A</v>
      </c>
    </row>
    <row r="316" spans="1:18" x14ac:dyDescent="0.2">
      <c r="A316" s="2">
        <v>315</v>
      </c>
      <c r="B316" s="65">
        <v>45729</v>
      </c>
      <c r="C316" s="70">
        <v>0.69506944444444441</v>
      </c>
      <c r="D316" s="66" t="s">
        <v>98</v>
      </c>
      <c r="G316" s="66" t="s">
        <v>159</v>
      </c>
      <c r="H316" s="66" t="s">
        <v>100</v>
      </c>
      <c r="I316" s="33" t="str">
        <f ca="1"/>
        <v>25,26</v>
      </c>
      <c r="J316" s="2">
        <v>316</v>
      </c>
      <c r="K316" s="2" t="str">
        <v>No Match</v>
      </c>
      <c r="M316" s="33">
        <f ca="1"/>
        <v>25.26</v>
      </c>
      <c r="N316" s="2" t="e">
        <f ca="1"/>
        <v>#N/A</v>
      </c>
      <c r="O316" s="2" t="e">
        <f ca="1"/>
        <v>#N/A</v>
      </c>
      <c r="P316" s="2" t="e">
        <f ca="1"/>
        <v>#N/A</v>
      </c>
      <c r="Q316" s="33" t="e">
        <f ca="1"/>
        <v>#N/A</v>
      </c>
      <c r="R316" s="33" t="e">
        <f ca="1"/>
        <v>#N/A</v>
      </c>
    </row>
    <row r="317" spans="1:18" x14ac:dyDescent="0.2">
      <c r="A317" s="2">
        <v>316</v>
      </c>
      <c r="B317" s="65">
        <v>45729</v>
      </c>
      <c r="C317" s="70">
        <v>0.69511574074074078</v>
      </c>
      <c r="D317" s="66" t="s">
        <v>98</v>
      </c>
      <c r="G317" s="66" t="s">
        <v>110</v>
      </c>
      <c r="H317" s="66" t="s">
        <v>100</v>
      </c>
      <c r="I317" s="33" t="str">
        <f ca="1"/>
        <v>25,12</v>
      </c>
      <c r="J317" s="2">
        <v>317</v>
      </c>
      <c r="K317" s="2" t="str">
        <v>No Match</v>
      </c>
      <c r="M317" s="33">
        <f ca="1"/>
        <v>25.12</v>
      </c>
      <c r="N317" s="2" t="e">
        <f ca="1"/>
        <v>#N/A</v>
      </c>
      <c r="O317" s="2" t="e">
        <f ca="1"/>
        <v>#N/A</v>
      </c>
      <c r="P317" s="2" t="e">
        <f ca="1"/>
        <v>#N/A</v>
      </c>
      <c r="Q317" s="33" t="e">
        <f ca="1"/>
        <v>#N/A</v>
      </c>
      <c r="R317" s="33" t="e">
        <f ca="1"/>
        <v>#N/A</v>
      </c>
    </row>
    <row r="318" spans="1:18" x14ac:dyDescent="0.2">
      <c r="A318" s="2">
        <v>317</v>
      </c>
      <c r="B318" s="65">
        <v>45729</v>
      </c>
      <c r="C318" s="70">
        <v>0.69515046296296301</v>
      </c>
      <c r="D318" s="66" t="s">
        <v>98</v>
      </c>
      <c r="G318" s="66" t="s">
        <v>116</v>
      </c>
      <c r="H318" s="66" t="s">
        <v>100</v>
      </c>
      <c r="I318" s="33" t="str">
        <f ca="1"/>
        <v>25,33</v>
      </c>
      <c r="J318" s="2">
        <v>318</v>
      </c>
      <c r="K318" s="2" t="str">
        <v>No Match</v>
      </c>
      <c r="M318" s="33">
        <f ca="1"/>
        <v>25.33</v>
      </c>
      <c r="N318" s="2" t="e">
        <f ca="1"/>
        <v>#N/A</v>
      </c>
      <c r="O318" s="2" t="e">
        <f ca="1"/>
        <v>#N/A</v>
      </c>
      <c r="P318" s="2" t="e">
        <f ca="1"/>
        <v>#N/A</v>
      </c>
      <c r="Q318" s="33" t="e">
        <f ca="1"/>
        <v>#N/A</v>
      </c>
      <c r="R318" s="33" t="e">
        <f ca="1"/>
        <v>#N/A</v>
      </c>
    </row>
    <row r="319" spans="1:18" x14ac:dyDescent="0.2">
      <c r="A319" s="2">
        <v>318</v>
      </c>
      <c r="B319" s="65">
        <v>45729</v>
      </c>
      <c r="C319" s="70">
        <v>0.69519675925925928</v>
      </c>
      <c r="D319" s="66" t="s">
        <v>98</v>
      </c>
      <c r="G319" s="66" t="s">
        <v>123</v>
      </c>
      <c r="H319" s="66" t="s">
        <v>100</v>
      </c>
      <c r="I319" s="33" t="str">
        <f ca="1"/>
        <v>25,13</v>
      </c>
      <c r="J319" s="2">
        <v>319</v>
      </c>
      <c r="K319" s="2" t="str">
        <v>No Match</v>
      </c>
      <c r="M319" s="33">
        <f ca="1"/>
        <v>25.13</v>
      </c>
      <c r="N319" s="2" t="e">
        <f ca="1"/>
        <v>#N/A</v>
      </c>
      <c r="O319" s="2" t="e">
        <f ca="1"/>
        <v>#N/A</v>
      </c>
      <c r="P319" s="2" t="e">
        <f ca="1"/>
        <v>#N/A</v>
      </c>
      <c r="Q319" s="33" t="e">
        <f ca="1"/>
        <v>#N/A</v>
      </c>
      <c r="R319" s="33" t="e">
        <f ca="1"/>
        <v>#N/A</v>
      </c>
    </row>
    <row r="320" spans="1:18" x14ac:dyDescent="0.2">
      <c r="A320" s="2">
        <v>319</v>
      </c>
      <c r="B320" s="65">
        <v>45729</v>
      </c>
      <c r="C320" s="70">
        <v>0.69525462962962958</v>
      </c>
      <c r="D320" s="66" t="s">
        <v>98</v>
      </c>
      <c r="G320" s="66" t="s">
        <v>176</v>
      </c>
      <c r="H320" s="66" t="s">
        <v>100</v>
      </c>
      <c r="I320" s="33" t="str">
        <f ca="1"/>
        <v>25,18</v>
      </c>
      <c r="J320" s="2">
        <v>320</v>
      </c>
      <c r="K320" s="2" t="str">
        <v>No Match</v>
      </c>
      <c r="M320" s="33">
        <f ca="1"/>
        <v>25.18</v>
      </c>
      <c r="N320" s="2" t="e">
        <f ca="1"/>
        <v>#N/A</v>
      </c>
      <c r="O320" s="2" t="e">
        <f ca="1"/>
        <v>#N/A</v>
      </c>
      <c r="P320" s="2" t="e">
        <f ca="1"/>
        <v>#N/A</v>
      </c>
      <c r="Q320" s="33" t="e">
        <f ca="1"/>
        <v>#N/A</v>
      </c>
      <c r="R320" s="33" t="e">
        <f ca="1"/>
        <v>#N/A</v>
      </c>
    </row>
    <row r="321" spans="1:18" x14ac:dyDescent="0.2">
      <c r="A321" s="2">
        <v>320</v>
      </c>
      <c r="B321" s="65">
        <v>45729</v>
      </c>
      <c r="C321" s="70">
        <v>0.69528935185185181</v>
      </c>
      <c r="D321" s="66" t="s">
        <v>98</v>
      </c>
      <c r="G321" s="66" t="s">
        <v>176</v>
      </c>
      <c r="H321" s="66" t="s">
        <v>100</v>
      </c>
      <c r="I321" s="33" t="str">
        <f ca="1"/>
        <v>25,18</v>
      </c>
      <c r="J321" s="2">
        <v>321</v>
      </c>
      <c r="K321" s="2" t="str">
        <v>No Match</v>
      </c>
      <c r="M321" s="33">
        <f ca="1"/>
        <v>25.18</v>
      </c>
      <c r="N321" s="2">
        <f ca="1"/>
        <v>25</v>
      </c>
      <c r="O321" s="2">
        <f ca="1"/>
        <v>24.625</v>
      </c>
      <c r="P321" s="2">
        <f ca="1"/>
        <v>25.375</v>
      </c>
      <c r="Q321" s="33">
        <f ca="1"/>
        <v>25.228812500000011</v>
      </c>
      <c r="R321" s="33">
        <f ca="1"/>
        <v>25.240000000000002</v>
      </c>
    </row>
    <row r="322" spans="1:18" x14ac:dyDescent="0.2">
      <c r="A322" s="2">
        <v>321</v>
      </c>
      <c r="B322" s="65">
        <v>45729</v>
      </c>
      <c r="C322" s="70">
        <v>0.73206018518518523</v>
      </c>
      <c r="D322" s="66" t="s">
        <v>98</v>
      </c>
      <c r="G322" s="66" t="s">
        <v>159</v>
      </c>
      <c r="H322" s="66" t="s">
        <v>100</v>
      </c>
      <c r="I322" s="33" t="str">
        <f ca="1"/>
        <v>25,26</v>
      </c>
      <c r="J322" s="2">
        <v>322</v>
      </c>
      <c r="K322" s="2" t="str">
        <v>No Match</v>
      </c>
      <c r="M322" s="33">
        <f ca="1"/>
        <v>25.26</v>
      </c>
      <c r="N322" s="2" t="e">
        <f ca="1"/>
        <v>#N/A</v>
      </c>
      <c r="O322" s="2" t="e">
        <f ca="1"/>
        <v>#N/A</v>
      </c>
      <c r="P322" s="2" t="e">
        <f ca="1"/>
        <v>#N/A</v>
      </c>
      <c r="Q322" s="33" t="e">
        <f ca="1"/>
        <v>#N/A</v>
      </c>
      <c r="R322" s="33" t="e">
        <f ca="1"/>
        <v>#N/A</v>
      </c>
    </row>
    <row r="323" spans="1:18" x14ac:dyDescent="0.2">
      <c r="A323" s="2">
        <v>322</v>
      </c>
      <c r="B323" s="65">
        <v>45729</v>
      </c>
      <c r="C323" s="70">
        <v>0.7349768518518518</v>
      </c>
      <c r="D323" s="66" t="s">
        <v>98</v>
      </c>
      <c r="G323" s="66" t="s">
        <v>116</v>
      </c>
      <c r="H323" s="66" t="s">
        <v>100</v>
      </c>
      <c r="I323" s="33" t="str">
        <f ca="1"/>
        <v>25,33</v>
      </c>
      <c r="J323" s="2">
        <v>323</v>
      </c>
      <c r="K323" s="2" t="str">
        <v>No Match</v>
      </c>
      <c r="M323" s="33">
        <f ca="1"/>
        <v>25.33</v>
      </c>
      <c r="N323" s="2" t="e">
        <f ca="1"/>
        <v>#N/A</v>
      </c>
      <c r="O323" s="2" t="e">
        <f ca="1"/>
        <v>#N/A</v>
      </c>
      <c r="P323" s="2" t="e">
        <f ca="1"/>
        <v>#N/A</v>
      </c>
      <c r="Q323" s="33" t="e">
        <f ca="1"/>
        <v>#N/A</v>
      </c>
      <c r="R323" s="33" t="e">
        <f ca="1"/>
        <v>#N/A</v>
      </c>
    </row>
    <row r="324" spans="1:18" x14ac:dyDescent="0.2">
      <c r="A324" s="2">
        <v>323</v>
      </c>
      <c r="B324" s="65">
        <v>45729</v>
      </c>
      <c r="C324" s="70">
        <v>0.73503472222222221</v>
      </c>
      <c r="D324" s="66" t="s">
        <v>98</v>
      </c>
      <c r="G324" s="66" t="s">
        <v>161</v>
      </c>
      <c r="H324" s="66" t="s">
        <v>100</v>
      </c>
      <c r="I324" s="33" t="str">
        <f ca="1"/>
        <v>25,38</v>
      </c>
      <c r="J324" s="2">
        <v>324</v>
      </c>
      <c r="K324" s="2" t="str">
        <v>No Match</v>
      </c>
      <c r="M324" s="33">
        <f ca="1"/>
        <v>25.38</v>
      </c>
      <c r="N324" s="2" t="e">
        <f ca="1"/>
        <v>#N/A</v>
      </c>
      <c r="O324" s="2" t="e">
        <f ca="1"/>
        <v>#N/A</v>
      </c>
      <c r="P324" s="2" t="e">
        <f ca="1"/>
        <v>#N/A</v>
      </c>
      <c r="Q324" s="33" t="e">
        <f ca="1"/>
        <v>#N/A</v>
      </c>
      <c r="R324" s="33" t="e">
        <f ca="1"/>
        <v>#N/A</v>
      </c>
    </row>
    <row r="325" spans="1:18" x14ac:dyDescent="0.2">
      <c r="A325" s="2">
        <v>324</v>
      </c>
      <c r="B325" s="65">
        <v>45729</v>
      </c>
      <c r="C325" s="70">
        <v>0.75153935185185183</v>
      </c>
      <c r="D325" s="66" t="s">
        <v>98</v>
      </c>
      <c r="G325" s="66" t="s">
        <v>105</v>
      </c>
      <c r="H325" s="66" t="s">
        <v>100</v>
      </c>
      <c r="I325" s="33" t="str">
        <f ca="1"/>
        <v>25,39</v>
      </c>
      <c r="J325" s="2">
        <v>325</v>
      </c>
      <c r="K325" s="2" t="str">
        <v>No Match</v>
      </c>
      <c r="M325" s="33">
        <f ca="1"/>
        <v>25.39</v>
      </c>
      <c r="N325" s="2" t="e">
        <f ca="1"/>
        <v>#N/A</v>
      </c>
      <c r="O325" s="2" t="e">
        <f ca="1"/>
        <v>#N/A</v>
      </c>
      <c r="P325" s="2" t="e">
        <f ca="1"/>
        <v>#N/A</v>
      </c>
      <c r="Q325" s="33" t="e">
        <f ca="1"/>
        <v>#N/A</v>
      </c>
      <c r="R325" s="33" t="e">
        <f ca="1"/>
        <v>#N/A</v>
      </c>
    </row>
    <row r="326" spans="1:18" x14ac:dyDescent="0.2">
      <c r="A326" s="2">
        <v>325</v>
      </c>
      <c r="B326" s="65">
        <v>45729</v>
      </c>
      <c r="C326" s="70">
        <v>0.75728009259259255</v>
      </c>
      <c r="D326" s="66" t="s">
        <v>98</v>
      </c>
      <c r="G326" s="66" t="s">
        <v>198</v>
      </c>
      <c r="H326" s="66" t="s">
        <v>100</v>
      </c>
      <c r="I326" s="33" t="str">
        <f ca="1"/>
        <v>25,45</v>
      </c>
      <c r="J326" s="2">
        <v>326</v>
      </c>
      <c r="K326" s="2" t="str">
        <v>No Match</v>
      </c>
      <c r="M326" s="33">
        <f ca="1"/>
        <v>25.45</v>
      </c>
      <c r="N326" s="2" t="e">
        <f ca="1"/>
        <v>#N/A</v>
      </c>
      <c r="O326" s="2" t="e">
        <f ca="1"/>
        <v>#N/A</v>
      </c>
      <c r="P326" s="2" t="e">
        <f ca="1"/>
        <v>#N/A</v>
      </c>
      <c r="Q326" s="33" t="e">
        <f ca="1"/>
        <v>#N/A</v>
      </c>
      <c r="R326" s="33" t="e">
        <f ca="1"/>
        <v>#N/A</v>
      </c>
    </row>
    <row r="327" spans="1:18" x14ac:dyDescent="0.2">
      <c r="A327" s="2">
        <v>326</v>
      </c>
      <c r="B327" s="65">
        <v>45729</v>
      </c>
      <c r="C327" s="70">
        <v>0.75832175925925926</v>
      </c>
      <c r="D327" s="66" t="s">
        <v>98</v>
      </c>
      <c r="G327" s="66" t="s">
        <v>195</v>
      </c>
      <c r="H327" s="66" t="s">
        <v>100</v>
      </c>
      <c r="I327" s="33" t="str">
        <f ca="1"/>
        <v>25,60</v>
      </c>
      <c r="J327" s="2">
        <v>327</v>
      </c>
      <c r="K327" s="2" t="str">
        <v>No Match</v>
      </c>
      <c r="M327" s="33">
        <f ca="1"/>
        <v>25.6</v>
      </c>
      <c r="N327" s="2" t="e">
        <f ca="1"/>
        <v>#N/A</v>
      </c>
      <c r="O327" s="2" t="e">
        <f ca="1"/>
        <v>#N/A</v>
      </c>
      <c r="P327" s="2" t="e">
        <f ca="1"/>
        <v>#N/A</v>
      </c>
      <c r="Q327" s="33" t="e">
        <f ca="1"/>
        <v>#N/A</v>
      </c>
      <c r="R327" s="33" t="e">
        <f ca="1"/>
        <v>#N/A</v>
      </c>
    </row>
    <row r="328" spans="1:18" x14ac:dyDescent="0.2">
      <c r="A328" s="2">
        <v>327</v>
      </c>
      <c r="B328" s="65">
        <v>45729</v>
      </c>
      <c r="C328" s="70">
        <v>0.75914351851851847</v>
      </c>
      <c r="D328" s="66" t="s">
        <v>98</v>
      </c>
      <c r="G328" s="66" t="s">
        <v>145</v>
      </c>
      <c r="H328" s="66" t="s">
        <v>100</v>
      </c>
      <c r="I328" s="33" t="str">
        <f ca="1"/>
        <v>25,30</v>
      </c>
      <c r="J328" s="2">
        <v>328</v>
      </c>
      <c r="K328" s="2" t="str">
        <v>No Match</v>
      </c>
      <c r="M328" s="33">
        <f ca="1"/>
        <v>25.3</v>
      </c>
      <c r="N328" s="2" t="e">
        <f ca="1"/>
        <v>#N/A</v>
      </c>
      <c r="O328" s="2" t="e">
        <f ca="1"/>
        <v>#N/A</v>
      </c>
      <c r="P328" s="2" t="e">
        <f ca="1"/>
        <v>#N/A</v>
      </c>
      <c r="Q328" s="33" t="e">
        <f ca="1"/>
        <v>#N/A</v>
      </c>
      <c r="R328" s="33" t="e">
        <f ca="1"/>
        <v>#N/A</v>
      </c>
    </row>
    <row r="329" spans="1:18" x14ac:dyDescent="0.2">
      <c r="A329" s="2">
        <v>328</v>
      </c>
      <c r="B329" s="65">
        <v>45729</v>
      </c>
      <c r="C329" s="70">
        <v>0.75951388888888893</v>
      </c>
      <c r="D329" s="66" t="s">
        <v>98</v>
      </c>
      <c r="G329" s="66" t="s">
        <v>107</v>
      </c>
      <c r="H329" s="66" t="s">
        <v>100</v>
      </c>
      <c r="I329" s="33" t="str">
        <f ca="1"/>
        <v>25,43</v>
      </c>
      <c r="J329" s="2">
        <v>329</v>
      </c>
      <c r="K329" s="2" t="str">
        <v>No Match</v>
      </c>
      <c r="M329" s="33">
        <f ca="1"/>
        <v>25.43</v>
      </c>
      <c r="N329" s="2" t="e">
        <f ca="1"/>
        <v>#N/A</v>
      </c>
      <c r="O329" s="2" t="e">
        <f ca="1"/>
        <v>#N/A</v>
      </c>
      <c r="P329" s="2" t="e">
        <f ca="1"/>
        <v>#N/A</v>
      </c>
      <c r="Q329" s="33" t="e">
        <f ca="1"/>
        <v>#N/A</v>
      </c>
      <c r="R329" s="33" t="e">
        <f ca="1"/>
        <v>#N/A</v>
      </c>
    </row>
    <row r="330" spans="1:18" x14ac:dyDescent="0.2">
      <c r="A330" s="2">
        <v>329</v>
      </c>
      <c r="B330" s="65">
        <v>45729</v>
      </c>
      <c r="C330" s="70">
        <v>0.76023148148148145</v>
      </c>
      <c r="D330" s="66" t="s">
        <v>98</v>
      </c>
      <c r="G330" s="66" t="s">
        <v>198</v>
      </c>
      <c r="H330" s="66" t="s">
        <v>100</v>
      </c>
      <c r="I330" s="33" t="str">
        <f ca="1"/>
        <v>25,45</v>
      </c>
      <c r="J330" s="2">
        <v>330</v>
      </c>
      <c r="K330" s="2" t="str">
        <v>No Match</v>
      </c>
      <c r="M330" s="33">
        <f ca="1"/>
        <v>25.45</v>
      </c>
      <c r="N330" s="2" t="e">
        <f ca="1"/>
        <v>#N/A</v>
      </c>
      <c r="O330" s="2" t="e">
        <f ca="1"/>
        <v>#N/A</v>
      </c>
      <c r="P330" s="2" t="e">
        <f ca="1"/>
        <v>#N/A</v>
      </c>
      <c r="Q330" s="33" t="e">
        <f ca="1"/>
        <v>#N/A</v>
      </c>
      <c r="R330" s="33" t="e">
        <f ca="1"/>
        <v>#N/A</v>
      </c>
    </row>
    <row r="331" spans="1:18" x14ac:dyDescent="0.2">
      <c r="A331" s="2">
        <v>330</v>
      </c>
      <c r="B331" s="65">
        <v>45729</v>
      </c>
      <c r="C331" s="70">
        <v>0.76039351851851855</v>
      </c>
      <c r="D331" s="66" t="s">
        <v>98</v>
      </c>
      <c r="G331" s="66" t="s">
        <v>198</v>
      </c>
      <c r="H331" s="66" t="s">
        <v>100</v>
      </c>
      <c r="I331" s="33" t="str">
        <f ca="1"/>
        <v>25,45</v>
      </c>
      <c r="J331" s="2">
        <v>331</v>
      </c>
      <c r="K331" s="2" t="str">
        <v>No Match</v>
      </c>
      <c r="M331" s="33">
        <f ca="1"/>
        <v>25.45</v>
      </c>
      <c r="N331" s="2">
        <f ca="1"/>
        <v>25</v>
      </c>
      <c r="O331" s="2">
        <f ca="1"/>
        <v>24.625</v>
      </c>
      <c r="P331" s="2">
        <f ca="1"/>
        <v>25.375</v>
      </c>
      <c r="Q331" s="33">
        <f ca="1"/>
        <v>25.234121212121231</v>
      </c>
      <c r="R331" s="33">
        <f ca="1"/>
        <v>25.404</v>
      </c>
    </row>
    <row r="332" spans="1:18" x14ac:dyDescent="0.2">
      <c r="A332" s="2">
        <v>331</v>
      </c>
      <c r="B332" s="65">
        <v>45729</v>
      </c>
      <c r="C332" s="70">
        <v>0.76150462962962961</v>
      </c>
      <c r="D332" s="66" t="s">
        <v>98</v>
      </c>
      <c r="G332" s="66" t="s">
        <v>143</v>
      </c>
      <c r="H332" s="66" t="s">
        <v>100</v>
      </c>
      <c r="I332" s="33" t="str">
        <f ca="1"/>
        <v>25,53</v>
      </c>
      <c r="J332" s="2">
        <v>332</v>
      </c>
      <c r="K332" s="2" t="str">
        <v>No Match</v>
      </c>
      <c r="M332" s="33">
        <f ca="1"/>
        <v>25.53</v>
      </c>
      <c r="N332" s="2" t="e">
        <f ca="1"/>
        <v>#N/A</v>
      </c>
      <c r="O332" s="2" t="e">
        <f ca="1"/>
        <v>#N/A</v>
      </c>
      <c r="P332" s="2" t="e">
        <f ca="1"/>
        <v>#N/A</v>
      </c>
      <c r="Q332" s="33" t="e">
        <f ca="1"/>
        <v>#N/A</v>
      </c>
      <c r="R332" s="33" t="e">
        <f ca="1"/>
        <v>#N/A</v>
      </c>
    </row>
    <row r="333" spans="1:18" x14ac:dyDescent="0.2">
      <c r="A333" s="2">
        <v>332</v>
      </c>
      <c r="B333" s="65">
        <v>45729</v>
      </c>
      <c r="C333" s="70">
        <v>0.76390046296296299</v>
      </c>
      <c r="D333" s="66" t="s">
        <v>98</v>
      </c>
      <c r="G333" s="66" t="s">
        <v>101</v>
      </c>
      <c r="H333" s="66" t="s">
        <v>100</v>
      </c>
      <c r="I333" s="33" t="str">
        <f ca="1"/>
        <v>25,64</v>
      </c>
      <c r="J333" s="2">
        <v>333</v>
      </c>
      <c r="K333" s="2" t="str">
        <v>No Match</v>
      </c>
      <c r="M333" s="33">
        <f ca="1"/>
        <v>25.64</v>
      </c>
      <c r="N333" s="2" t="e">
        <f ca="1"/>
        <v>#N/A</v>
      </c>
      <c r="O333" s="2" t="e">
        <f ca="1"/>
        <v>#N/A</v>
      </c>
      <c r="P333" s="2" t="e">
        <f ca="1"/>
        <v>#N/A</v>
      </c>
      <c r="Q333" s="33" t="e">
        <f ca="1"/>
        <v>#N/A</v>
      </c>
      <c r="R333" s="33" t="e">
        <f ca="1"/>
        <v>#N/A</v>
      </c>
    </row>
    <row r="334" spans="1:18" x14ac:dyDescent="0.2">
      <c r="A334" s="2">
        <v>333</v>
      </c>
      <c r="B334" s="65">
        <v>45729</v>
      </c>
      <c r="C334" s="70">
        <v>0.80776620370370367</v>
      </c>
      <c r="D334" s="66" t="s">
        <v>98</v>
      </c>
      <c r="G334" s="66" t="s">
        <v>144</v>
      </c>
      <c r="H334" s="66" t="s">
        <v>100</v>
      </c>
      <c r="I334" s="33" t="str">
        <f ca="1"/>
        <v>25,63</v>
      </c>
      <c r="J334" s="2">
        <v>334</v>
      </c>
      <c r="K334" s="2" t="str">
        <v>No Match</v>
      </c>
      <c r="M334" s="33">
        <f ca="1"/>
        <v>25.63</v>
      </c>
      <c r="N334" s="2" t="e">
        <f ca="1"/>
        <v>#N/A</v>
      </c>
      <c r="O334" s="2" t="e">
        <f ca="1"/>
        <v>#N/A</v>
      </c>
      <c r="P334" s="2" t="e">
        <f ca="1"/>
        <v>#N/A</v>
      </c>
      <c r="Q334" s="33" t="e">
        <f ca="1"/>
        <v>#N/A</v>
      </c>
      <c r="R334" s="33" t="e">
        <f ca="1"/>
        <v>#N/A</v>
      </c>
    </row>
    <row r="335" spans="1:18" x14ac:dyDescent="0.2">
      <c r="A335" s="2">
        <v>334</v>
      </c>
      <c r="B335" s="65">
        <v>45729</v>
      </c>
      <c r="C335" s="70">
        <v>0.80844907407407407</v>
      </c>
      <c r="D335" s="66" t="s">
        <v>98</v>
      </c>
      <c r="G335" s="66" t="s">
        <v>223</v>
      </c>
      <c r="H335" s="66" t="s">
        <v>100</v>
      </c>
      <c r="I335" s="33" t="str">
        <f ca="1"/>
        <v>25,73</v>
      </c>
      <c r="J335" s="2">
        <v>335</v>
      </c>
      <c r="K335" s="2" t="str">
        <v>No Match</v>
      </c>
      <c r="M335" s="33">
        <f ca="1"/>
        <v>25.73</v>
      </c>
      <c r="N335" s="2" t="e">
        <f ca="1"/>
        <v>#N/A</v>
      </c>
      <c r="O335" s="2" t="e">
        <f ca="1"/>
        <v>#N/A</v>
      </c>
      <c r="P335" s="2" t="e">
        <f ca="1"/>
        <v>#N/A</v>
      </c>
      <c r="Q335" s="33" t="e">
        <f ca="1"/>
        <v>#N/A</v>
      </c>
      <c r="R335" s="33" t="e">
        <f ca="1"/>
        <v>#N/A</v>
      </c>
    </row>
    <row r="336" spans="1:18" x14ac:dyDescent="0.2">
      <c r="A336" s="2">
        <v>335</v>
      </c>
      <c r="B336" s="65">
        <v>45729</v>
      </c>
      <c r="C336" s="70">
        <v>0.80858796296296298</v>
      </c>
      <c r="D336" s="66" t="s">
        <v>98</v>
      </c>
      <c r="G336" s="66" t="s">
        <v>170</v>
      </c>
      <c r="H336" s="66" t="s">
        <v>100</v>
      </c>
      <c r="I336" s="33" t="str">
        <f ca="1"/>
        <v>25,52</v>
      </c>
      <c r="J336" s="2">
        <v>336</v>
      </c>
      <c r="K336" s="2" t="str">
        <v>No Match</v>
      </c>
      <c r="M336" s="33">
        <f ca="1"/>
        <v>25.52</v>
      </c>
      <c r="N336" s="2" t="e">
        <f ca="1"/>
        <v>#N/A</v>
      </c>
      <c r="O336" s="2" t="e">
        <f ca="1"/>
        <v>#N/A</v>
      </c>
      <c r="P336" s="2" t="e">
        <f ca="1"/>
        <v>#N/A</v>
      </c>
      <c r="Q336" s="33" t="e">
        <f ca="1"/>
        <v>#N/A</v>
      </c>
      <c r="R336" s="33" t="e">
        <f ca="1"/>
        <v>#N/A</v>
      </c>
    </row>
    <row r="337" spans="1:18" x14ac:dyDescent="0.2">
      <c r="A337" s="2">
        <v>336</v>
      </c>
      <c r="B337" s="65">
        <v>45729</v>
      </c>
      <c r="C337" s="70">
        <v>0.80947916666666664</v>
      </c>
      <c r="D337" s="66" t="s">
        <v>98</v>
      </c>
      <c r="G337" s="66" t="s">
        <v>105</v>
      </c>
      <c r="H337" s="66" t="s">
        <v>100</v>
      </c>
      <c r="I337" s="33" t="str">
        <f ca="1"/>
        <v>25,39</v>
      </c>
      <c r="J337" s="2">
        <v>337</v>
      </c>
      <c r="K337" s="2" t="str">
        <v>No Match</v>
      </c>
      <c r="M337" s="33">
        <f ca="1"/>
        <v>25.39</v>
      </c>
      <c r="N337" s="2" t="e">
        <f ca="1"/>
        <v>#N/A</v>
      </c>
      <c r="O337" s="2" t="e">
        <f ca="1"/>
        <v>#N/A</v>
      </c>
      <c r="P337" s="2" t="e">
        <f ca="1"/>
        <v>#N/A</v>
      </c>
      <c r="Q337" s="33" t="e">
        <f ca="1"/>
        <v>#N/A</v>
      </c>
      <c r="R337" s="33" t="e">
        <f ca="1"/>
        <v>#N/A</v>
      </c>
    </row>
    <row r="338" spans="1:18" x14ac:dyDescent="0.2">
      <c r="A338" s="2">
        <v>337</v>
      </c>
      <c r="B338" s="65">
        <v>45729</v>
      </c>
      <c r="C338" s="70">
        <v>0.81055555555555558</v>
      </c>
      <c r="D338" s="66" t="s">
        <v>98</v>
      </c>
      <c r="G338" s="66" t="s">
        <v>202</v>
      </c>
      <c r="H338" s="66" t="s">
        <v>100</v>
      </c>
      <c r="I338" s="33" t="str">
        <f ca="1"/>
        <v>25,31</v>
      </c>
      <c r="J338" s="2">
        <v>338</v>
      </c>
      <c r="K338" s="2" t="str">
        <v>No Match</v>
      </c>
      <c r="M338" s="33">
        <f ca="1"/>
        <v>25.31</v>
      </c>
      <c r="N338" s="2" t="e">
        <f ca="1"/>
        <v>#N/A</v>
      </c>
      <c r="O338" s="2" t="e">
        <f ca="1"/>
        <v>#N/A</v>
      </c>
      <c r="P338" s="2" t="e">
        <f ca="1"/>
        <v>#N/A</v>
      </c>
      <c r="Q338" s="33" t="e">
        <f ca="1"/>
        <v>#N/A</v>
      </c>
      <c r="R338" s="33" t="e">
        <f ca="1"/>
        <v>#N/A</v>
      </c>
    </row>
    <row r="339" spans="1:18" x14ac:dyDescent="0.2">
      <c r="A339" s="2">
        <v>338</v>
      </c>
      <c r="B339" s="65">
        <v>45729</v>
      </c>
      <c r="C339" s="70">
        <v>0.81120370370370365</v>
      </c>
      <c r="D339" s="66" t="s">
        <v>98</v>
      </c>
      <c r="G339" s="66" t="s">
        <v>129</v>
      </c>
      <c r="H339" s="66" t="s">
        <v>100</v>
      </c>
      <c r="I339" s="33" t="str">
        <f ca="1"/>
        <v>25,08</v>
      </c>
      <c r="J339" s="2">
        <v>339</v>
      </c>
      <c r="K339" s="2" t="str">
        <v>No Match</v>
      </c>
      <c r="M339" s="33">
        <f ca="1"/>
        <v>25.08</v>
      </c>
      <c r="N339" s="2" t="e">
        <f ca="1"/>
        <v>#N/A</v>
      </c>
      <c r="O339" s="2" t="e">
        <f ca="1"/>
        <v>#N/A</v>
      </c>
      <c r="P339" s="2" t="e">
        <f ca="1"/>
        <v>#N/A</v>
      </c>
      <c r="Q339" s="33" t="e">
        <f ca="1"/>
        <v>#N/A</v>
      </c>
      <c r="R339" s="33" t="e">
        <f ca="1"/>
        <v>#N/A</v>
      </c>
    </row>
    <row r="340" spans="1:18" x14ac:dyDescent="0.2">
      <c r="A340" s="2">
        <v>339</v>
      </c>
      <c r="B340" s="65">
        <v>45729</v>
      </c>
      <c r="C340" s="70">
        <v>0.81195601851851851</v>
      </c>
      <c r="D340" s="66" t="s">
        <v>98</v>
      </c>
      <c r="G340" s="66" t="s">
        <v>165</v>
      </c>
      <c r="H340" s="66" t="s">
        <v>100</v>
      </c>
      <c r="I340" s="33" t="str">
        <f ca="1"/>
        <v>25,42</v>
      </c>
      <c r="J340" s="2">
        <v>340</v>
      </c>
      <c r="K340" s="2" t="str">
        <v>No Match</v>
      </c>
      <c r="M340" s="33">
        <f ca="1"/>
        <v>25.42</v>
      </c>
      <c r="N340" s="2" t="e">
        <f ca="1"/>
        <v>#N/A</v>
      </c>
      <c r="O340" s="2" t="e">
        <f ca="1"/>
        <v>#N/A</v>
      </c>
      <c r="P340" s="2" t="e">
        <f ca="1"/>
        <v>#N/A</v>
      </c>
      <c r="Q340" s="33" t="e">
        <f ca="1"/>
        <v>#N/A</v>
      </c>
      <c r="R340" s="33" t="e">
        <f ca="1"/>
        <v>#N/A</v>
      </c>
    </row>
    <row r="341" spans="1:18" x14ac:dyDescent="0.2">
      <c r="A341" s="2">
        <v>340</v>
      </c>
      <c r="B341" s="65">
        <v>45729</v>
      </c>
      <c r="C341" s="70">
        <v>0.81285879629629632</v>
      </c>
      <c r="D341" s="66" t="s">
        <v>98</v>
      </c>
      <c r="G341" s="66" t="s">
        <v>105</v>
      </c>
      <c r="H341" s="66" t="s">
        <v>100</v>
      </c>
      <c r="I341" s="33" t="str">
        <f ca="1"/>
        <v>25,39</v>
      </c>
      <c r="J341" s="2">
        <v>341</v>
      </c>
      <c r="K341" s="2" t="str">
        <v>No Match</v>
      </c>
      <c r="M341" s="33">
        <f ca="1"/>
        <v>25.39</v>
      </c>
      <c r="N341" s="2">
        <f ca="1"/>
        <v>25</v>
      </c>
      <c r="O341" s="2">
        <f ca="1"/>
        <v>24.625</v>
      </c>
      <c r="P341" s="2">
        <f ca="1"/>
        <v>25.375</v>
      </c>
      <c r="Q341" s="33">
        <f ca="1"/>
        <v>25.240882352941185</v>
      </c>
      <c r="R341" s="33">
        <f ca="1"/>
        <v>25.463999999999999</v>
      </c>
    </row>
    <row r="342" spans="1:18" x14ac:dyDescent="0.2">
      <c r="A342" s="2">
        <v>341</v>
      </c>
      <c r="B342" s="65">
        <v>45729</v>
      </c>
      <c r="C342" s="70">
        <v>0.81437499999999996</v>
      </c>
      <c r="D342" s="66" t="s">
        <v>98</v>
      </c>
      <c r="G342" s="66" t="s">
        <v>116</v>
      </c>
      <c r="H342" s="66" t="s">
        <v>100</v>
      </c>
      <c r="I342" s="33" t="str">
        <f ca="1"/>
        <v>25,33</v>
      </c>
      <c r="J342" s="2">
        <v>342</v>
      </c>
      <c r="K342" s="2" t="str">
        <v>No Match</v>
      </c>
      <c r="M342" s="33">
        <f ca="1"/>
        <v>25.33</v>
      </c>
      <c r="N342" s="2" t="e">
        <f ca="1"/>
        <v>#N/A</v>
      </c>
      <c r="O342" s="2" t="e">
        <f ca="1"/>
        <v>#N/A</v>
      </c>
      <c r="P342" s="2" t="e">
        <f ca="1"/>
        <v>#N/A</v>
      </c>
      <c r="Q342" s="33" t="e">
        <f ca="1"/>
        <v>#N/A</v>
      </c>
      <c r="R342" s="33" t="e">
        <f ca="1"/>
        <v>#N/A</v>
      </c>
    </row>
    <row r="343" spans="1:18" x14ac:dyDescent="0.2">
      <c r="A343" s="2">
        <v>342</v>
      </c>
      <c r="B343" s="65">
        <v>45729</v>
      </c>
      <c r="C343" s="70">
        <v>0.81841435185185185</v>
      </c>
      <c r="D343" s="66" t="s">
        <v>98</v>
      </c>
      <c r="G343" s="66" t="s">
        <v>139</v>
      </c>
      <c r="H343" s="66" t="s">
        <v>100</v>
      </c>
      <c r="I343" s="33" t="str">
        <f ca="1"/>
        <v>25,35</v>
      </c>
      <c r="J343" s="2">
        <v>343</v>
      </c>
      <c r="K343" s="2" t="str">
        <v>No Match</v>
      </c>
      <c r="M343" s="33">
        <f ca="1"/>
        <v>25.35</v>
      </c>
      <c r="N343" s="2" t="e">
        <f ca="1"/>
        <v>#N/A</v>
      </c>
      <c r="O343" s="2" t="e">
        <f ca="1"/>
        <v>#N/A</v>
      </c>
      <c r="P343" s="2" t="e">
        <f ca="1"/>
        <v>#N/A</v>
      </c>
      <c r="Q343" s="33" t="e">
        <f ca="1"/>
        <v>#N/A</v>
      </c>
      <c r="R343" s="33" t="e">
        <f ca="1"/>
        <v>#N/A</v>
      </c>
    </row>
    <row r="344" spans="1:18" x14ac:dyDescent="0.2">
      <c r="A344" s="2">
        <v>343</v>
      </c>
      <c r="B344" s="65">
        <v>45729</v>
      </c>
      <c r="C344" s="70">
        <v>0.84122685185185186</v>
      </c>
      <c r="D344" s="66" t="s">
        <v>98</v>
      </c>
      <c r="G344" s="66" t="s">
        <v>189</v>
      </c>
      <c r="H344" s="66" t="s">
        <v>100</v>
      </c>
      <c r="I344" s="33" t="str">
        <f ca="1"/>
        <v>25,48</v>
      </c>
      <c r="J344" s="2">
        <v>344</v>
      </c>
      <c r="K344" s="2" t="str">
        <v>No Match</v>
      </c>
      <c r="M344" s="33">
        <f ca="1"/>
        <v>25.48</v>
      </c>
      <c r="N344" s="2" t="e">
        <f ca="1"/>
        <v>#N/A</v>
      </c>
      <c r="O344" s="2" t="e">
        <f ca="1"/>
        <v>#N/A</v>
      </c>
      <c r="P344" s="2" t="e">
        <f ca="1"/>
        <v>#N/A</v>
      </c>
      <c r="Q344" s="33" t="e">
        <f ca="1"/>
        <v>#N/A</v>
      </c>
      <c r="R344" s="33" t="e">
        <f ca="1"/>
        <v>#N/A</v>
      </c>
    </row>
    <row r="345" spans="1:18" x14ac:dyDescent="0.2">
      <c r="A345" s="2">
        <v>344</v>
      </c>
      <c r="B345" s="65">
        <v>45729</v>
      </c>
      <c r="C345" s="70">
        <v>0.84324074074074074</v>
      </c>
      <c r="D345" s="66" t="s">
        <v>98</v>
      </c>
      <c r="G345" s="66" t="s">
        <v>182</v>
      </c>
      <c r="H345" s="66" t="s">
        <v>100</v>
      </c>
      <c r="I345" s="33" t="str">
        <f ca="1"/>
        <v>25,29</v>
      </c>
      <c r="J345" s="2">
        <v>345</v>
      </c>
      <c r="K345" s="2" t="str">
        <v>No Match</v>
      </c>
      <c r="M345" s="33">
        <f ca="1"/>
        <v>25.29</v>
      </c>
      <c r="N345" s="2" t="e">
        <f ca="1"/>
        <v>#N/A</v>
      </c>
      <c r="O345" s="2" t="e">
        <f ca="1"/>
        <v>#N/A</v>
      </c>
      <c r="P345" s="2" t="e">
        <f ca="1"/>
        <v>#N/A</v>
      </c>
      <c r="Q345" s="33" t="e">
        <f ca="1"/>
        <v>#N/A</v>
      </c>
      <c r="R345" s="33" t="e">
        <f ca="1"/>
        <v>#N/A</v>
      </c>
    </row>
    <row r="346" spans="1:18" x14ac:dyDescent="0.2">
      <c r="A346" s="2">
        <v>345</v>
      </c>
      <c r="B346" s="65">
        <v>45729</v>
      </c>
      <c r="C346" s="70">
        <v>0.84386574074074072</v>
      </c>
      <c r="D346" s="66" t="s">
        <v>98</v>
      </c>
      <c r="G346" s="66" t="s">
        <v>198</v>
      </c>
      <c r="H346" s="66" t="s">
        <v>100</v>
      </c>
      <c r="I346" s="33" t="str">
        <f ca="1"/>
        <v>25,45</v>
      </c>
      <c r="J346" s="2">
        <v>346</v>
      </c>
      <c r="K346" s="2" t="str">
        <v>No Match</v>
      </c>
      <c r="M346" s="33">
        <f ca="1"/>
        <v>25.45</v>
      </c>
      <c r="N346" s="2" t="e">
        <f ca="1"/>
        <v>#N/A</v>
      </c>
      <c r="O346" s="2" t="e">
        <f ca="1"/>
        <v>#N/A</v>
      </c>
      <c r="P346" s="2" t="e">
        <f ca="1"/>
        <v>#N/A</v>
      </c>
      <c r="Q346" s="33" t="e">
        <f ca="1"/>
        <v>#N/A</v>
      </c>
      <c r="R346" s="33" t="e">
        <f ca="1"/>
        <v>#N/A</v>
      </c>
    </row>
    <row r="347" spans="1:18" x14ac:dyDescent="0.2">
      <c r="A347" s="2">
        <v>346</v>
      </c>
      <c r="B347" s="65">
        <v>45729</v>
      </c>
      <c r="C347" s="70">
        <v>0.84412037037037035</v>
      </c>
      <c r="D347" s="66" t="s">
        <v>98</v>
      </c>
      <c r="G347" s="66" t="s">
        <v>125</v>
      </c>
      <c r="H347" s="66" t="s">
        <v>100</v>
      </c>
      <c r="I347" s="33" t="str">
        <f ca="1"/>
        <v>25,20</v>
      </c>
      <c r="J347" s="2">
        <v>347</v>
      </c>
      <c r="K347" s="2" t="str">
        <v>No Match</v>
      </c>
      <c r="M347" s="33">
        <f ca="1"/>
        <v>25.2</v>
      </c>
      <c r="N347" s="2" t="e">
        <f ca="1"/>
        <v>#N/A</v>
      </c>
      <c r="O347" s="2" t="e">
        <f ca="1"/>
        <v>#N/A</v>
      </c>
      <c r="P347" s="2" t="e">
        <f ca="1"/>
        <v>#N/A</v>
      </c>
      <c r="Q347" s="33" t="e">
        <f ca="1"/>
        <v>#N/A</v>
      </c>
      <c r="R347" s="33" t="e">
        <f ca="1"/>
        <v>#N/A</v>
      </c>
    </row>
    <row r="348" spans="1:18" x14ac:dyDescent="0.2">
      <c r="A348" s="2">
        <v>347</v>
      </c>
      <c r="B348" s="65">
        <v>45729</v>
      </c>
      <c r="C348" s="70">
        <v>0.84541666666666671</v>
      </c>
      <c r="D348" s="66" t="s">
        <v>98</v>
      </c>
      <c r="G348" s="66" t="s">
        <v>128</v>
      </c>
      <c r="H348" s="66" t="s">
        <v>100</v>
      </c>
      <c r="I348" s="33" t="str">
        <f ca="1"/>
        <v>25,23</v>
      </c>
      <c r="J348" s="2">
        <v>348</v>
      </c>
      <c r="K348" s="2" t="str">
        <v>No Match</v>
      </c>
      <c r="M348" s="33">
        <f ca="1"/>
        <v>25.23</v>
      </c>
      <c r="N348" s="2" t="e">
        <f ca="1"/>
        <v>#N/A</v>
      </c>
      <c r="O348" s="2" t="e">
        <f ca="1"/>
        <v>#N/A</v>
      </c>
      <c r="P348" s="2" t="e">
        <f ca="1"/>
        <v>#N/A</v>
      </c>
      <c r="Q348" s="33" t="e">
        <f ca="1"/>
        <v>#N/A</v>
      </c>
      <c r="R348" s="33" t="e">
        <f ca="1"/>
        <v>#N/A</v>
      </c>
    </row>
    <row r="349" spans="1:18" x14ac:dyDescent="0.2">
      <c r="A349" s="2">
        <v>348</v>
      </c>
      <c r="B349" s="65">
        <v>45729</v>
      </c>
      <c r="C349" s="70">
        <v>0.84587962962962959</v>
      </c>
      <c r="D349" s="66" t="s">
        <v>98</v>
      </c>
      <c r="G349" s="66" t="s">
        <v>202</v>
      </c>
      <c r="H349" s="66" t="s">
        <v>100</v>
      </c>
      <c r="I349" s="33" t="str">
        <f ca="1"/>
        <v>25,31</v>
      </c>
      <c r="J349" s="2">
        <v>349</v>
      </c>
      <c r="K349" s="2" t="str">
        <v>No Match</v>
      </c>
      <c r="M349" s="33">
        <f ca="1"/>
        <v>25.31</v>
      </c>
      <c r="N349" s="2" t="e">
        <f ca="1"/>
        <v>#N/A</v>
      </c>
      <c r="O349" s="2" t="e">
        <f ca="1"/>
        <v>#N/A</v>
      </c>
      <c r="P349" s="2" t="e">
        <f ca="1"/>
        <v>#N/A</v>
      </c>
      <c r="Q349" s="33" t="e">
        <f ca="1"/>
        <v>#N/A</v>
      </c>
      <c r="R349" s="33" t="e">
        <f ca="1"/>
        <v>#N/A</v>
      </c>
    </row>
    <row r="350" spans="1:18" x14ac:dyDescent="0.2">
      <c r="A350" s="2">
        <v>349</v>
      </c>
      <c r="B350" s="65">
        <v>45729</v>
      </c>
      <c r="C350" s="70">
        <v>0.84655092592592596</v>
      </c>
      <c r="D350" s="66" t="s">
        <v>98</v>
      </c>
      <c r="G350" s="66" t="s">
        <v>146</v>
      </c>
      <c r="H350" s="66" t="s">
        <v>100</v>
      </c>
      <c r="I350" s="33" t="str">
        <f ca="1"/>
        <v>25,37</v>
      </c>
      <c r="J350" s="2">
        <v>350</v>
      </c>
      <c r="K350" s="2" t="str">
        <v>No Match</v>
      </c>
      <c r="M350" s="33">
        <f ca="1"/>
        <v>25.37</v>
      </c>
      <c r="N350" s="2" t="e">
        <f ca="1"/>
        <v>#N/A</v>
      </c>
      <c r="O350" s="2" t="e">
        <f ca="1"/>
        <v>#N/A</v>
      </c>
      <c r="P350" s="2" t="e">
        <f ca="1"/>
        <v>#N/A</v>
      </c>
      <c r="Q350" s="33" t="e">
        <f ca="1"/>
        <v>#N/A</v>
      </c>
      <c r="R350" s="33" t="e">
        <f ca="1"/>
        <v>#N/A</v>
      </c>
    </row>
    <row r="351" spans="1:18" x14ac:dyDescent="0.2">
      <c r="A351" s="2">
        <v>350</v>
      </c>
      <c r="B351" s="65">
        <v>45729</v>
      </c>
      <c r="C351" s="70">
        <v>0.8467824074074074</v>
      </c>
      <c r="D351" s="66" t="s">
        <v>98</v>
      </c>
      <c r="G351" s="66" t="s">
        <v>99</v>
      </c>
      <c r="H351" s="66" t="s">
        <v>100</v>
      </c>
      <c r="I351" s="33" t="str">
        <f ca="1"/>
        <v>25,16</v>
      </c>
      <c r="J351" s="2">
        <v>351</v>
      </c>
      <c r="K351" s="2" t="str">
        <v>No Match</v>
      </c>
      <c r="M351" s="33">
        <f ca="1"/>
        <v>25.16</v>
      </c>
      <c r="N351" s="2">
        <f ca="1"/>
        <v>25</v>
      </c>
      <c r="O351" s="2">
        <f ca="1"/>
        <v>24.625</v>
      </c>
      <c r="P351" s="2">
        <f ca="1"/>
        <v>25.375</v>
      </c>
      <c r="Q351" s="33">
        <f ca="1"/>
        <v>25.243057142857158</v>
      </c>
      <c r="R351" s="33">
        <f ca="1"/>
        <v>25.317</v>
      </c>
    </row>
    <row r="352" spans="1:18" x14ac:dyDescent="0.2">
      <c r="A352" s="2">
        <v>351</v>
      </c>
      <c r="B352" s="65">
        <v>45729</v>
      </c>
      <c r="C352" s="70">
        <v>0.84892361111111114</v>
      </c>
      <c r="D352" s="66" t="s">
        <v>98</v>
      </c>
      <c r="G352" s="66" t="s">
        <v>107</v>
      </c>
      <c r="H352" s="66" t="s">
        <v>100</v>
      </c>
      <c r="I352" s="33" t="str">
        <f ca="1"/>
        <v>25,43</v>
      </c>
      <c r="J352" s="2">
        <v>352</v>
      </c>
      <c r="K352" s="2" t="str">
        <v>No Match</v>
      </c>
      <c r="M352" s="33">
        <f ca="1"/>
        <v>25.43</v>
      </c>
      <c r="N352" s="2" t="e">
        <f ca="1"/>
        <v>#N/A</v>
      </c>
      <c r="O352" s="2" t="e">
        <f ca="1"/>
        <v>#N/A</v>
      </c>
      <c r="P352" s="2" t="e">
        <f ca="1"/>
        <v>#N/A</v>
      </c>
      <c r="Q352" s="33" t="e">
        <f ca="1"/>
        <v>#N/A</v>
      </c>
      <c r="R352" s="33" t="e">
        <f ca="1"/>
        <v>#N/A</v>
      </c>
    </row>
    <row r="353" spans="1:18" x14ac:dyDescent="0.2">
      <c r="A353" s="2">
        <v>352</v>
      </c>
      <c r="B353" s="65">
        <v>45729</v>
      </c>
      <c r="C353" s="70">
        <v>0.85017361111111112</v>
      </c>
      <c r="D353" s="66" t="s">
        <v>98</v>
      </c>
      <c r="G353" s="66" t="s">
        <v>207</v>
      </c>
      <c r="H353" s="66" t="s">
        <v>100</v>
      </c>
      <c r="I353" s="33" t="str">
        <f ca="1"/>
        <v>25,07</v>
      </c>
      <c r="J353" s="2">
        <v>353</v>
      </c>
      <c r="K353" s="2" t="str">
        <v>No Match</v>
      </c>
      <c r="M353" s="33">
        <f ca="1"/>
        <v>25.07</v>
      </c>
      <c r="N353" s="2" t="e">
        <f ca="1"/>
        <v>#N/A</v>
      </c>
      <c r="O353" s="2" t="e">
        <f ca="1"/>
        <v>#N/A</v>
      </c>
      <c r="P353" s="2" t="e">
        <f ca="1"/>
        <v>#N/A</v>
      </c>
      <c r="Q353" s="33" t="e">
        <f ca="1"/>
        <v>#N/A</v>
      </c>
      <c r="R353" s="33" t="e">
        <f ca="1"/>
        <v>#N/A</v>
      </c>
    </row>
    <row r="354" spans="1:18" x14ac:dyDescent="0.2">
      <c r="A354" s="2">
        <v>353</v>
      </c>
      <c r="B354" s="65">
        <v>45729</v>
      </c>
      <c r="C354" s="70">
        <v>0.85123842592592591</v>
      </c>
      <c r="D354" s="66" t="s">
        <v>98</v>
      </c>
      <c r="G354" s="66" t="s">
        <v>134</v>
      </c>
      <c r="H354" s="66" t="s">
        <v>100</v>
      </c>
      <c r="I354" s="33" t="str">
        <f ca="1"/>
        <v>24,94</v>
      </c>
      <c r="J354" s="2">
        <v>354</v>
      </c>
      <c r="K354" s="2" t="str">
        <v>No Match</v>
      </c>
      <c r="M354" s="33">
        <f ca="1"/>
        <v>24.94</v>
      </c>
      <c r="N354" s="2" t="e">
        <f ca="1"/>
        <v>#N/A</v>
      </c>
      <c r="O354" s="2" t="e">
        <f ca="1"/>
        <v>#N/A</v>
      </c>
      <c r="P354" s="2" t="e">
        <f ca="1"/>
        <v>#N/A</v>
      </c>
      <c r="Q354" s="33" t="e">
        <f ca="1"/>
        <v>#N/A</v>
      </c>
      <c r="R354" s="33" t="e">
        <f ca="1"/>
        <v>#N/A</v>
      </c>
    </row>
    <row r="355" spans="1:18" x14ac:dyDescent="0.2">
      <c r="A355" s="2">
        <v>354</v>
      </c>
      <c r="B355" s="65">
        <v>45729</v>
      </c>
      <c r="C355" s="70">
        <v>0.85233796296296294</v>
      </c>
      <c r="D355" s="66" t="s">
        <v>98</v>
      </c>
      <c r="G355" s="66" t="s">
        <v>125</v>
      </c>
      <c r="H355" s="66" t="s">
        <v>100</v>
      </c>
      <c r="I355" s="33" t="str">
        <f ca="1"/>
        <v>25,20</v>
      </c>
      <c r="J355" s="2">
        <v>355</v>
      </c>
      <c r="K355" s="2" t="str">
        <v>No Match</v>
      </c>
      <c r="M355" s="33">
        <f ca="1"/>
        <v>25.2</v>
      </c>
      <c r="N355" s="2" t="e">
        <f ca="1"/>
        <v>#N/A</v>
      </c>
      <c r="O355" s="2" t="e">
        <f ca="1"/>
        <v>#N/A</v>
      </c>
      <c r="P355" s="2" t="e">
        <f ca="1"/>
        <v>#N/A</v>
      </c>
      <c r="Q355" s="33" t="e">
        <f ca="1"/>
        <v>#N/A</v>
      </c>
      <c r="R355" s="33" t="e">
        <f ca="1"/>
        <v>#N/A</v>
      </c>
    </row>
    <row r="356" spans="1:18" x14ac:dyDescent="0.2">
      <c r="A356" s="2">
        <v>355</v>
      </c>
      <c r="B356" s="65">
        <v>45729</v>
      </c>
      <c r="C356" s="70">
        <v>0.85348379629629634</v>
      </c>
      <c r="D356" s="66" t="s">
        <v>98</v>
      </c>
      <c r="G356" s="66" t="s">
        <v>142</v>
      </c>
      <c r="H356" s="66" t="s">
        <v>100</v>
      </c>
      <c r="I356" s="33" t="str">
        <f ca="1"/>
        <v>25,03</v>
      </c>
      <c r="J356" s="2">
        <v>356</v>
      </c>
      <c r="K356" s="2" t="str">
        <v>No Match</v>
      </c>
      <c r="M356" s="33">
        <f ca="1"/>
        <v>25.03</v>
      </c>
      <c r="N356" s="2" t="e">
        <f ca="1"/>
        <v>#N/A</v>
      </c>
      <c r="O356" s="2" t="e">
        <f ca="1"/>
        <v>#N/A</v>
      </c>
      <c r="P356" s="2" t="e">
        <f ca="1"/>
        <v>#N/A</v>
      </c>
      <c r="Q356" s="33" t="e">
        <f ca="1"/>
        <v>#N/A</v>
      </c>
      <c r="R356" s="33" t="e">
        <f ca="1"/>
        <v>#N/A</v>
      </c>
    </row>
    <row r="357" spans="1:18" x14ac:dyDescent="0.2">
      <c r="A357" s="2">
        <v>356</v>
      </c>
      <c r="B357" s="65">
        <v>45729</v>
      </c>
      <c r="C357" s="70">
        <v>0.85363425925925929</v>
      </c>
      <c r="D357" s="66" t="s">
        <v>98</v>
      </c>
      <c r="G357" s="66" t="s">
        <v>104</v>
      </c>
      <c r="H357" s="66" t="s">
        <v>100</v>
      </c>
      <c r="I357" s="33" t="str">
        <f ca="1"/>
        <v>25,40</v>
      </c>
      <c r="J357" s="2">
        <v>357</v>
      </c>
      <c r="K357" s="2" t="str">
        <v>No Match</v>
      </c>
      <c r="M357" s="33">
        <f ca="1"/>
        <v>25.4</v>
      </c>
      <c r="N357" s="2" t="e">
        <f ca="1"/>
        <v>#N/A</v>
      </c>
      <c r="O357" s="2" t="e">
        <f ca="1"/>
        <v>#N/A</v>
      </c>
      <c r="P357" s="2" t="e">
        <f ca="1"/>
        <v>#N/A</v>
      </c>
      <c r="Q357" s="33" t="e">
        <f ca="1"/>
        <v>#N/A</v>
      </c>
      <c r="R357" s="33" t="e">
        <f ca="1"/>
        <v>#N/A</v>
      </c>
    </row>
    <row r="358" spans="1:18" x14ac:dyDescent="0.2">
      <c r="A358" s="2">
        <v>357</v>
      </c>
      <c r="B358" s="65">
        <v>45729</v>
      </c>
      <c r="C358" s="70">
        <v>0.85368055555555555</v>
      </c>
      <c r="D358" s="66" t="s">
        <v>98</v>
      </c>
      <c r="G358" s="66" t="s">
        <v>139</v>
      </c>
      <c r="H358" s="66" t="s">
        <v>100</v>
      </c>
      <c r="I358" s="33" t="str">
        <f ca="1"/>
        <v>25,35</v>
      </c>
      <c r="J358" s="2">
        <v>358</v>
      </c>
      <c r="K358" s="2" t="str">
        <v>No Match</v>
      </c>
      <c r="M358" s="33">
        <f ca="1"/>
        <v>25.35</v>
      </c>
      <c r="N358" s="2" t="e">
        <f ca="1"/>
        <v>#N/A</v>
      </c>
      <c r="O358" s="2" t="e">
        <f ca="1"/>
        <v>#N/A</v>
      </c>
      <c r="P358" s="2" t="e">
        <f ca="1"/>
        <v>#N/A</v>
      </c>
      <c r="Q358" s="33" t="e">
        <f ca="1"/>
        <v>#N/A</v>
      </c>
      <c r="R358" s="33" t="e">
        <f ca="1"/>
        <v>#N/A</v>
      </c>
    </row>
    <row r="359" spans="1:18" x14ac:dyDescent="0.2">
      <c r="A359" s="2">
        <v>358</v>
      </c>
      <c r="B359" s="65">
        <v>45729</v>
      </c>
      <c r="C359" s="70">
        <v>0.85372685185185182</v>
      </c>
      <c r="D359" s="66" t="s">
        <v>98</v>
      </c>
      <c r="G359" s="66" t="s">
        <v>127</v>
      </c>
      <c r="H359" s="66" t="s">
        <v>100</v>
      </c>
      <c r="I359" s="33" t="str">
        <f ca="1"/>
        <v>25,28</v>
      </c>
      <c r="J359" s="2">
        <v>359</v>
      </c>
      <c r="K359" s="2" t="str">
        <v>No Match</v>
      </c>
      <c r="M359" s="33">
        <f ca="1"/>
        <v>25.28</v>
      </c>
      <c r="N359" s="2" t="e">
        <f ca="1"/>
        <v>#N/A</v>
      </c>
      <c r="O359" s="2" t="e">
        <f ca="1"/>
        <v>#N/A</v>
      </c>
      <c r="P359" s="2" t="e">
        <f ca="1"/>
        <v>#N/A</v>
      </c>
      <c r="Q359" s="33" t="e">
        <f ca="1"/>
        <v>#N/A</v>
      </c>
      <c r="R359" s="33" t="e">
        <f ca="1"/>
        <v>#N/A</v>
      </c>
    </row>
    <row r="360" spans="1:18" x14ac:dyDescent="0.2">
      <c r="A360" s="2">
        <v>359</v>
      </c>
      <c r="B360" s="65">
        <v>45729</v>
      </c>
      <c r="C360" s="70">
        <v>0.85379629629629628</v>
      </c>
      <c r="D360" s="66" t="s">
        <v>98</v>
      </c>
      <c r="G360" s="66" t="s">
        <v>120</v>
      </c>
      <c r="H360" s="66" t="s">
        <v>100</v>
      </c>
      <c r="I360" s="33" t="str">
        <f ca="1"/>
        <v>25,34</v>
      </c>
      <c r="J360" s="2">
        <v>360</v>
      </c>
      <c r="K360" s="2" t="str">
        <v>No Match</v>
      </c>
      <c r="M360" s="33">
        <f ca="1"/>
        <v>25.34</v>
      </c>
      <c r="N360" s="2" t="e">
        <f ca="1"/>
        <v>#N/A</v>
      </c>
      <c r="O360" s="2" t="e">
        <f ca="1"/>
        <v>#N/A</v>
      </c>
      <c r="P360" s="2" t="e">
        <f ca="1"/>
        <v>#N/A</v>
      </c>
      <c r="Q360" s="33" t="e">
        <f ca="1"/>
        <v>#N/A</v>
      </c>
      <c r="R360" s="33" t="e">
        <f ca="1"/>
        <v>#N/A</v>
      </c>
    </row>
    <row r="361" spans="1:18" x14ac:dyDescent="0.2">
      <c r="A361" s="2">
        <v>360</v>
      </c>
      <c r="B361" s="65">
        <v>45729</v>
      </c>
      <c r="C361" s="70">
        <v>0.85384259259259254</v>
      </c>
      <c r="D361" s="66" t="s">
        <v>98</v>
      </c>
      <c r="G361" s="66" t="s">
        <v>165</v>
      </c>
      <c r="H361" s="66" t="s">
        <v>100</v>
      </c>
      <c r="I361" s="33" t="str">
        <f ca="1"/>
        <v>25,42</v>
      </c>
      <c r="J361" s="2">
        <v>361</v>
      </c>
      <c r="K361" s="2" t="str">
        <v>No Match</v>
      </c>
      <c r="M361" s="33">
        <f ca="1"/>
        <v>25.42</v>
      </c>
      <c r="N361" s="2">
        <f ca="1"/>
        <v>25</v>
      </c>
      <c r="O361" s="2">
        <f ca="1"/>
        <v>24.625</v>
      </c>
      <c r="P361" s="2">
        <f ca="1"/>
        <v>25.375</v>
      </c>
      <c r="Q361" s="33">
        <f ca="1"/>
        <v>25.243138888888911</v>
      </c>
      <c r="R361" s="33">
        <f ca="1"/>
        <v>25.245999999999999</v>
      </c>
    </row>
    <row r="362" spans="1:18" x14ac:dyDescent="0.2">
      <c r="A362" s="2">
        <v>361</v>
      </c>
      <c r="B362" s="65">
        <v>45729</v>
      </c>
      <c r="C362" s="70">
        <v>0.8576273148148148</v>
      </c>
      <c r="D362" s="66" t="s">
        <v>98</v>
      </c>
      <c r="G362" s="66" t="s">
        <v>139</v>
      </c>
      <c r="H362" s="66" t="s">
        <v>100</v>
      </c>
      <c r="I362" s="33" t="str">
        <f ca="1"/>
        <v>25,35</v>
      </c>
      <c r="J362" s="2">
        <v>362</v>
      </c>
      <c r="K362" s="2" t="str">
        <v>No Match</v>
      </c>
      <c r="M362" s="33">
        <f ca="1"/>
        <v>25.35</v>
      </c>
      <c r="N362" s="2" t="e">
        <f ca="1"/>
        <v>#N/A</v>
      </c>
      <c r="O362" s="2" t="e">
        <f ca="1"/>
        <v>#N/A</v>
      </c>
      <c r="P362" s="2" t="e">
        <f ca="1"/>
        <v>#N/A</v>
      </c>
      <c r="Q362" s="33" t="e">
        <f ca="1"/>
        <v>#N/A</v>
      </c>
      <c r="R362" s="33" t="e">
        <f ca="1"/>
        <v>#N/A</v>
      </c>
    </row>
    <row r="363" spans="1:18" x14ac:dyDescent="0.2">
      <c r="A363" s="2">
        <v>362</v>
      </c>
      <c r="B363" s="65">
        <v>45729</v>
      </c>
      <c r="C363" s="70">
        <v>0.85847222222222219</v>
      </c>
      <c r="D363" s="66" t="s">
        <v>98</v>
      </c>
      <c r="G363" s="66" t="s">
        <v>131</v>
      </c>
      <c r="H363" s="66" t="s">
        <v>100</v>
      </c>
      <c r="I363" s="33" t="str">
        <f ca="1"/>
        <v>25,24</v>
      </c>
      <c r="J363" s="2">
        <v>363</v>
      </c>
      <c r="K363" s="2" t="str">
        <v>No Match</v>
      </c>
      <c r="M363" s="33">
        <f ca="1"/>
        <v>25.24</v>
      </c>
      <c r="N363" s="2" t="e">
        <f ca="1"/>
        <v>#N/A</v>
      </c>
      <c r="O363" s="2" t="e">
        <f ca="1"/>
        <v>#N/A</v>
      </c>
      <c r="P363" s="2" t="e">
        <f ca="1"/>
        <v>#N/A</v>
      </c>
      <c r="Q363" s="33" t="e">
        <f ca="1"/>
        <v>#N/A</v>
      </c>
      <c r="R363" s="33" t="e">
        <f ca="1"/>
        <v>#N/A</v>
      </c>
    </row>
    <row r="364" spans="1:18" x14ac:dyDescent="0.2">
      <c r="A364" s="2">
        <v>363</v>
      </c>
      <c r="B364" s="65">
        <v>45729</v>
      </c>
      <c r="C364" s="70">
        <v>0.85853009259259261</v>
      </c>
      <c r="D364" s="66" t="s">
        <v>98</v>
      </c>
      <c r="G364" s="66" t="s">
        <v>210</v>
      </c>
      <c r="H364" s="66" t="s">
        <v>100</v>
      </c>
      <c r="I364" s="33" t="str">
        <f ca="1"/>
        <v>24,93</v>
      </c>
      <c r="J364" s="2">
        <v>364</v>
      </c>
      <c r="K364" s="2" t="str">
        <v>No Match</v>
      </c>
      <c r="M364" s="33">
        <f ca="1"/>
        <v>24.93</v>
      </c>
      <c r="N364" s="2" t="e">
        <f ca="1"/>
        <v>#N/A</v>
      </c>
      <c r="O364" s="2" t="e">
        <f ca="1"/>
        <v>#N/A</v>
      </c>
      <c r="P364" s="2" t="e">
        <f ca="1"/>
        <v>#N/A</v>
      </c>
      <c r="Q364" s="33" t="e">
        <f ca="1"/>
        <v>#N/A</v>
      </c>
      <c r="R364" s="33" t="e">
        <f ca="1"/>
        <v>#N/A</v>
      </c>
    </row>
    <row r="365" spans="1:18" x14ac:dyDescent="0.2">
      <c r="A365" s="2">
        <v>364</v>
      </c>
      <c r="B365" s="65">
        <v>45729</v>
      </c>
      <c r="C365" s="70">
        <v>0.85932870370370373</v>
      </c>
      <c r="D365" s="66" t="s">
        <v>98</v>
      </c>
      <c r="G365" s="66" t="s">
        <v>108</v>
      </c>
      <c r="H365" s="66" t="s">
        <v>100</v>
      </c>
      <c r="I365" s="33" t="str">
        <f ca="1"/>
        <v>24,96</v>
      </c>
      <c r="J365" s="2">
        <v>365</v>
      </c>
      <c r="K365" s="2" t="str">
        <v>No Match</v>
      </c>
      <c r="M365" s="33">
        <f ca="1"/>
        <v>24.96</v>
      </c>
      <c r="N365" s="2" t="e">
        <f ca="1"/>
        <v>#N/A</v>
      </c>
      <c r="O365" s="2" t="e">
        <f ca="1"/>
        <v>#N/A</v>
      </c>
      <c r="P365" s="2" t="e">
        <f ca="1"/>
        <v>#N/A</v>
      </c>
      <c r="Q365" s="33" t="e">
        <f ca="1"/>
        <v>#N/A</v>
      </c>
      <c r="R365" s="33" t="e">
        <f ca="1"/>
        <v>#N/A</v>
      </c>
    </row>
    <row r="366" spans="1:18" x14ac:dyDescent="0.2">
      <c r="A366" s="2">
        <v>365</v>
      </c>
      <c r="B366" s="65">
        <v>45729</v>
      </c>
      <c r="C366" s="70">
        <v>0.86006944444444444</v>
      </c>
      <c r="D366" s="66" t="s">
        <v>98</v>
      </c>
      <c r="G366" s="66" t="s">
        <v>140</v>
      </c>
      <c r="H366" s="66" t="s">
        <v>100</v>
      </c>
      <c r="I366" s="33" t="str">
        <f ca="1"/>
        <v>25,10</v>
      </c>
      <c r="J366" s="2">
        <v>366</v>
      </c>
      <c r="K366" s="2" t="str">
        <v>No Match</v>
      </c>
      <c r="M366" s="33">
        <f ca="1"/>
        <v>25.1</v>
      </c>
      <c r="N366" s="2" t="e">
        <f ca="1"/>
        <v>#N/A</v>
      </c>
      <c r="O366" s="2" t="e">
        <f ca="1"/>
        <v>#N/A</v>
      </c>
      <c r="P366" s="2" t="e">
        <f ca="1"/>
        <v>#N/A</v>
      </c>
      <c r="Q366" s="33" t="e">
        <f ca="1"/>
        <v>#N/A</v>
      </c>
      <c r="R366" s="33" t="e">
        <f ca="1"/>
        <v>#N/A</v>
      </c>
    </row>
    <row r="367" spans="1:18" x14ac:dyDescent="0.2">
      <c r="A367" s="2">
        <v>366</v>
      </c>
      <c r="B367" s="65">
        <v>45729</v>
      </c>
      <c r="C367" s="70">
        <v>0.8613425925925926</v>
      </c>
      <c r="D367" s="66" t="s">
        <v>98</v>
      </c>
      <c r="G367" s="66" t="s">
        <v>99</v>
      </c>
      <c r="H367" s="66" t="s">
        <v>100</v>
      </c>
      <c r="I367" s="33" t="str">
        <f ca="1"/>
        <v>25,16</v>
      </c>
      <c r="J367" s="2">
        <v>367</v>
      </c>
      <c r="K367" s="2" t="str">
        <v>No Match</v>
      </c>
      <c r="M367" s="33">
        <f ca="1"/>
        <v>25.16</v>
      </c>
      <c r="N367" s="2" t="e">
        <f ca="1"/>
        <v>#N/A</v>
      </c>
      <c r="O367" s="2" t="e">
        <f ca="1"/>
        <v>#N/A</v>
      </c>
      <c r="P367" s="2" t="e">
        <f ca="1"/>
        <v>#N/A</v>
      </c>
      <c r="Q367" s="33" t="e">
        <f ca="1"/>
        <v>#N/A</v>
      </c>
      <c r="R367" s="33" t="e">
        <f ca="1"/>
        <v>#N/A</v>
      </c>
    </row>
    <row r="368" spans="1:18" x14ac:dyDescent="0.2">
      <c r="A368" s="2">
        <v>367</v>
      </c>
      <c r="B368" s="65">
        <v>45729</v>
      </c>
      <c r="C368" s="70">
        <v>0.86372685185185183</v>
      </c>
      <c r="D368" s="66" t="s">
        <v>98</v>
      </c>
      <c r="G368" s="66" t="s">
        <v>122</v>
      </c>
      <c r="H368" s="66" t="s">
        <v>100</v>
      </c>
      <c r="I368" s="33" t="str">
        <f ca="1"/>
        <v>25,27</v>
      </c>
      <c r="J368" s="2">
        <v>368</v>
      </c>
      <c r="K368" s="2" t="str">
        <v>No Match</v>
      </c>
      <c r="M368" s="33">
        <f ca="1"/>
        <v>25.27</v>
      </c>
      <c r="N368" s="2" t="e">
        <f ca="1"/>
        <v>#N/A</v>
      </c>
      <c r="O368" s="2" t="e">
        <f ca="1"/>
        <v>#N/A</v>
      </c>
      <c r="P368" s="2" t="e">
        <f ca="1"/>
        <v>#N/A</v>
      </c>
      <c r="Q368" s="33" t="e">
        <f ca="1"/>
        <v>#N/A</v>
      </c>
      <c r="R368" s="33" t="e">
        <f ca="1"/>
        <v>#N/A</v>
      </c>
    </row>
    <row r="369" spans="1:18" x14ac:dyDescent="0.2">
      <c r="A369" s="2">
        <v>368</v>
      </c>
      <c r="B369" s="65">
        <v>45729</v>
      </c>
      <c r="C369" s="70">
        <v>0.86420138888888887</v>
      </c>
      <c r="D369" s="66" t="s">
        <v>98</v>
      </c>
      <c r="G369" s="66" t="s">
        <v>99</v>
      </c>
      <c r="H369" s="66" t="s">
        <v>100</v>
      </c>
      <c r="I369" s="33" t="str">
        <f ca="1"/>
        <v>25,16</v>
      </c>
      <c r="J369" s="2">
        <v>369</v>
      </c>
      <c r="K369" s="2" t="str">
        <v>No Match</v>
      </c>
      <c r="M369" s="33">
        <f ca="1"/>
        <v>25.16</v>
      </c>
      <c r="N369" s="2" t="e">
        <f ca="1"/>
        <v>#N/A</v>
      </c>
      <c r="O369" s="2" t="e">
        <f ca="1"/>
        <v>#N/A</v>
      </c>
      <c r="P369" s="2" t="e">
        <f ca="1"/>
        <v>#N/A</v>
      </c>
      <c r="Q369" s="33" t="e">
        <f ca="1"/>
        <v>#N/A</v>
      </c>
      <c r="R369" s="33" t="e">
        <f ca="1"/>
        <v>#N/A</v>
      </c>
    </row>
    <row r="370" spans="1:18" x14ac:dyDescent="0.2">
      <c r="A370" s="2">
        <v>369</v>
      </c>
      <c r="B370" s="65">
        <v>45729</v>
      </c>
      <c r="C370" s="70">
        <v>0.8656018518518519</v>
      </c>
      <c r="D370" s="66" t="s">
        <v>98</v>
      </c>
      <c r="G370" s="66" t="s">
        <v>160</v>
      </c>
      <c r="H370" s="66" t="s">
        <v>100</v>
      </c>
      <c r="I370" s="33" t="str">
        <f ca="1"/>
        <v>25,14</v>
      </c>
      <c r="J370" s="2">
        <v>370</v>
      </c>
      <c r="K370" s="2" t="str">
        <v>No Match</v>
      </c>
      <c r="M370" s="33">
        <f ca="1"/>
        <v>25.14</v>
      </c>
      <c r="N370" s="2" t="e">
        <f ca="1"/>
        <v>#N/A</v>
      </c>
      <c r="O370" s="2" t="e">
        <f ca="1"/>
        <v>#N/A</v>
      </c>
      <c r="P370" s="2" t="e">
        <f ca="1"/>
        <v>#N/A</v>
      </c>
      <c r="Q370" s="33" t="e">
        <f ca="1"/>
        <v>#N/A</v>
      </c>
      <c r="R370" s="33" t="e">
        <f ca="1"/>
        <v>#N/A</v>
      </c>
    </row>
    <row r="371" spans="1:18" x14ac:dyDescent="0.2">
      <c r="A371" s="2">
        <v>370</v>
      </c>
      <c r="B371" s="65">
        <v>45729</v>
      </c>
      <c r="C371" s="70">
        <v>0.86564814814814817</v>
      </c>
      <c r="D371" s="66" t="s">
        <v>98</v>
      </c>
      <c r="G371" s="66" t="s">
        <v>110</v>
      </c>
      <c r="H371" s="66" t="s">
        <v>100</v>
      </c>
      <c r="I371" s="33" t="str">
        <f ca="1"/>
        <v>25,12</v>
      </c>
      <c r="J371" s="2">
        <v>371</v>
      </c>
      <c r="K371" s="2" t="str">
        <v>No Match</v>
      </c>
      <c r="M371" s="33">
        <f ca="1"/>
        <v>25.12</v>
      </c>
      <c r="N371" s="2">
        <f ca="1"/>
        <v>25</v>
      </c>
      <c r="O371" s="2">
        <f ca="1"/>
        <v>24.625</v>
      </c>
      <c r="P371" s="2">
        <f ca="1"/>
        <v>25.375</v>
      </c>
      <c r="Q371" s="33">
        <f ca="1"/>
        <v>25.240432432432456</v>
      </c>
      <c r="R371" s="33">
        <f ca="1"/>
        <v>25.143000000000001</v>
      </c>
    </row>
    <row r="372" spans="1:18" x14ac:dyDescent="0.2">
      <c r="A372" s="2">
        <v>371</v>
      </c>
      <c r="B372" s="65">
        <v>45730</v>
      </c>
      <c r="C372" s="70">
        <v>0.2371875</v>
      </c>
      <c r="D372" s="66" t="s">
        <v>98</v>
      </c>
      <c r="G372" s="66" t="s">
        <v>244</v>
      </c>
      <c r="H372" s="66" t="s">
        <v>100</v>
      </c>
      <c r="I372" s="33" t="str">
        <f ca="1"/>
        <v>26,33</v>
      </c>
      <c r="J372" s="2">
        <v>372</v>
      </c>
      <c r="K372" s="2" t="str">
        <v>No Match</v>
      </c>
      <c r="M372" s="33">
        <f ca="1"/>
        <v>26.33</v>
      </c>
      <c r="N372" s="2" t="e">
        <f ca="1"/>
        <v>#N/A</v>
      </c>
      <c r="O372" s="2" t="e">
        <f ca="1"/>
        <v>#N/A</v>
      </c>
      <c r="P372" s="2" t="e">
        <f ca="1"/>
        <v>#N/A</v>
      </c>
      <c r="Q372" s="33" t="e">
        <f ca="1"/>
        <v>#N/A</v>
      </c>
      <c r="R372" s="33" t="e">
        <f ca="1"/>
        <v>#N/A</v>
      </c>
    </row>
    <row r="373" spans="1:18" x14ac:dyDescent="0.2">
      <c r="A373" s="2">
        <v>372</v>
      </c>
      <c r="B373" s="65">
        <v>45730</v>
      </c>
      <c r="C373" s="70">
        <v>0.23728009259259258</v>
      </c>
      <c r="D373" s="66" t="s">
        <v>98</v>
      </c>
      <c r="G373" s="66" t="s">
        <v>143</v>
      </c>
      <c r="H373" s="66" t="s">
        <v>100</v>
      </c>
      <c r="I373" s="33" t="str">
        <f ca="1"/>
        <v>25,53</v>
      </c>
      <c r="J373" s="2">
        <v>373</v>
      </c>
      <c r="K373" s="2" t="str">
        <v>No Match</v>
      </c>
      <c r="M373" s="33">
        <f ca="1"/>
        <v>25.53</v>
      </c>
      <c r="N373" s="2" t="e">
        <f ca="1"/>
        <v>#N/A</v>
      </c>
      <c r="O373" s="2" t="e">
        <f ca="1"/>
        <v>#N/A</v>
      </c>
      <c r="P373" s="2" t="e">
        <f ca="1"/>
        <v>#N/A</v>
      </c>
      <c r="Q373" s="33" t="e">
        <f ca="1"/>
        <v>#N/A</v>
      </c>
      <c r="R373" s="33" t="e">
        <f ca="1"/>
        <v>#N/A</v>
      </c>
    </row>
    <row r="374" spans="1:18" x14ac:dyDescent="0.2">
      <c r="A374" s="2">
        <v>373</v>
      </c>
      <c r="B374" s="65">
        <v>45730</v>
      </c>
      <c r="C374" s="70">
        <v>0.23733796296296297</v>
      </c>
      <c r="D374" s="66" t="s">
        <v>98</v>
      </c>
      <c r="G374" s="66" t="s">
        <v>229</v>
      </c>
      <c r="H374" s="66" t="s">
        <v>100</v>
      </c>
      <c r="I374" s="33" t="str">
        <f ca="1"/>
        <v>26,41</v>
      </c>
      <c r="J374" s="2">
        <v>374</v>
      </c>
      <c r="K374" s="2" t="str">
        <v>No Match</v>
      </c>
      <c r="M374" s="33">
        <f ca="1"/>
        <v>26.41</v>
      </c>
      <c r="N374" s="2" t="e">
        <f ca="1"/>
        <v>#N/A</v>
      </c>
      <c r="O374" s="2" t="e">
        <f ca="1"/>
        <v>#N/A</v>
      </c>
      <c r="P374" s="2" t="e">
        <f ca="1"/>
        <v>#N/A</v>
      </c>
      <c r="Q374" s="33" t="e">
        <f ca="1"/>
        <v>#N/A</v>
      </c>
      <c r="R374" s="33" t="e">
        <f ca="1"/>
        <v>#N/A</v>
      </c>
    </row>
    <row r="375" spans="1:18" x14ac:dyDescent="0.2">
      <c r="A375" s="2">
        <v>374</v>
      </c>
      <c r="B375" s="65">
        <v>45730</v>
      </c>
      <c r="C375" s="70">
        <v>0.23739583333333333</v>
      </c>
      <c r="D375" s="66" t="s">
        <v>98</v>
      </c>
      <c r="G375" s="66" t="s">
        <v>107</v>
      </c>
      <c r="H375" s="66" t="s">
        <v>100</v>
      </c>
      <c r="I375" s="33" t="str">
        <f ca="1"/>
        <v>25,43</v>
      </c>
      <c r="J375" s="2">
        <v>375</v>
      </c>
      <c r="K375" s="2" t="str">
        <v>No Match</v>
      </c>
      <c r="M375" s="33">
        <f ca="1"/>
        <v>25.43</v>
      </c>
      <c r="N375" s="2" t="e">
        <f ca="1"/>
        <v>#N/A</v>
      </c>
      <c r="O375" s="2" t="e">
        <f ca="1"/>
        <v>#N/A</v>
      </c>
      <c r="P375" s="2" t="e">
        <f ca="1"/>
        <v>#N/A</v>
      </c>
      <c r="Q375" s="33" t="e">
        <f ca="1"/>
        <v>#N/A</v>
      </c>
      <c r="R375" s="33" t="e">
        <f ca="1"/>
        <v>#N/A</v>
      </c>
    </row>
    <row r="376" spans="1:18" x14ac:dyDescent="0.2">
      <c r="A376" s="2">
        <v>375</v>
      </c>
      <c r="B376" s="65">
        <v>45730</v>
      </c>
      <c r="C376" s="70">
        <v>0.23755787037037038</v>
      </c>
      <c r="D376" s="66" t="s">
        <v>98</v>
      </c>
      <c r="G376" s="66" t="s">
        <v>174</v>
      </c>
      <c r="H376" s="66" t="s">
        <v>100</v>
      </c>
      <c r="I376" s="33" t="str">
        <f ca="1"/>
        <v>25,65</v>
      </c>
      <c r="J376" s="2">
        <v>376</v>
      </c>
      <c r="K376" s="2" t="str">
        <v>No Match</v>
      </c>
      <c r="M376" s="33">
        <f ca="1"/>
        <v>25.65</v>
      </c>
      <c r="N376" s="2" t="e">
        <f ca="1"/>
        <v>#N/A</v>
      </c>
      <c r="O376" s="2" t="e">
        <f ca="1"/>
        <v>#N/A</v>
      </c>
      <c r="P376" s="2" t="e">
        <f ca="1"/>
        <v>#N/A</v>
      </c>
      <c r="Q376" s="33" t="e">
        <f ca="1"/>
        <v>#N/A</v>
      </c>
      <c r="R376" s="33" t="e">
        <f ca="1"/>
        <v>#N/A</v>
      </c>
    </row>
    <row r="377" spans="1:18" x14ac:dyDescent="0.2">
      <c r="A377" s="2">
        <v>376</v>
      </c>
      <c r="B377" s="65">
        <v>45730</v>
      </c>
      <c r="C377" s="70">
        <v>0.23761574074074074</v>
      </c>
      <c r="D377" s="66" t="s">
        <v>98</v>
      </c>
      <c r="G377" s="66" t="s">
        <v>168</v>
      </c>
      <c r="H377" s="66" t="s">
        <v>100</v>
      </c>
      <c r="I377" s="33" t="str">
        <f ca="1"/>
        <v>25,59</v>
      </c>
      <c r="J377" s="2">
        <v>377</v>
      </c>
      <c r="K377" s="2" t="str">
        <v>No Match</v>
      </c>
      <c r="M377" s="33">
        <f ca="1"/>
        <v>25.59</v>
      </c>
      <c r="N377" s="2" t="e">
        <f ca="1"/>
        <v>#N/A</v>
      </c>
      <c r="O377" s="2" t="e">
        <f ca="1"/>
        <v>#N/A</v>
      </c>
      <c r="P377" s="2" t="e">
        <f ca="1"/>
        <v>#N/A</v>
      </c>
      <c r="Q377" s="33" t="e">
        <f ca="1"/>
        <v>#N/A</v>
      </c>
      <c r="R377" s="33" t="e">
        <f ca="1"/>
        <v>#N/A</v>
      </c>
    </row>
    <row r="378" spans="1:18" x14ac:dyDescent="0.2">
      <c r="A378" s="2">
        <v>377</v>
      </c>
      <c r="B378" s="65">
        <v>45730</v>
      </c>
      <c r="C378" s="70">
        <v>0.2376736111111111</v>
      </c>
      <c r="D378" s="66" t="s">
        <v>98</v>
      </c>
      <c r="G378" s="66" t="s">
        <v>215</v>
      </c>
      <c r="H378" s="66" t="s">
        <v>100</v>
      </c>
      <c r="I378" s="33" t="str">
        <f ca="1"/>
        <v>25,92</v>
      </c>
      <c r="J378" s="2">
        <v>378</v>
      </c>
      <c r="K378" s="2" t="str">
        <v>No Match</v>
      </c>
      <c r="M378" s="33">
        <f ca="1"/>
        <v>25.92</v>
      </c>
      <c r="N378" s="2" t="e">
        <f ca="1"/>
        <v>#N/A</v>
      </c>
      <c r="O378" s="2" t="e">
        <f ca="1"/>
        <v>#N/A</v>
      </c>
      <c r="P378" s="2" t="e">
        <f ca="1"/>
        <v>#N/A</v>
      </c>
      <c r="Q378" s="33" t="e">
        <f ca="1"/>
        <v>#N/A</v>
      </c>
      <c r="R378" s="33" t="e">
        <f ca="1"/>
        <v>#N/A</v>
      </c>
    </row>
    <row r="379" spans="1:18" x14ac:dyDescent="0.2">
      <c r="A379" s="2">
        <v>378</v>
      </c>
      <c r="B379" s="65">
        <v>45730</v>
      </c>
      <c r="C379" s="70">
        <v>0.23777777777777778</v>
      </c>
      <c r="D379" s="66" t="s">
        <v>98</v>
      </c>
      <c r="G379" s="66" t="s">
        <v>175</v>
      </c>
      <c r="H379" s="66" t="s">
        <v>100</v>
      </c>
      <c r="I379" s="33" t="str">
        <f ca="1"/>
        <v>25,58</v>
      </c>
      <c r="J379" s="2">
        <v>379</v>
      </c>
      <c r="K379" s="2" t="str">
        <v>No Match</v>
      </c>
      <c r="M379" s="33">
        <f ca="1"/>
        <v>25.58</v>
      </c>
      <c r="N379" s="2" t="e">
        <f ca="1"/>
        <v>#N/A</v>
      </c>
      <c r="O379" s="2" t="e">
        <f ca="1"/>
        <v>#N/A</v>
      </c>
      <c r="P379" s="2" t="e">
        <f ca="1"/>
        <v>#N/A</v>
      </c>
      <c r="Q379" s="33" t="e">
        <f ca="1"/>
        <v>#N/A</v>
      </c>
      <c r="R379" s="33" t="e">
        <f ca="1"/>
        <v>#N/A</v>
      </c>
    </row>
    <row r="380" spans="1:18" x14ac:dyDescent="0.2">
      <c r="A380" s="2">
        <v>379</v>
      </c>
      <c r="B380" s="65">
        <v>45730</v>
      </c>
      <c r="C380" s="70">
        <v>0.23783564814814814</v>
      </c>
      <c r="D380" s="66" t="s">
        <v>98</v>
      </c>
      <c r="G380" s="66" t="s">
        <v>101</v>
      </c>
      <c r="H380" s="66" t="s">
        <v>100</v>
      </c>
      <c r="I380" s="33" t="str">
        <f ca="1"/>
        <v>25,64</v>
      </c>
      <c r="J380" s="2">
        <v>380</v>
      </c>
      <c r="K380" s="2" t="str">
        <v>No Match</v>
      </c>
      <c r="M380" s="33">
        <f ca="1"/>
        <v>25.64</v>
      </c>
      <c r="N380" s="2" t="e">
        <f ca="1"/>
        <v>#N/A</v>
      </c>
      <c r="O380" s="2" t="e">
        <f ca="1"/>
        <v>#N/A</v>
      </c>
      <c r="P380" s="2" t="e">
        <f ca="1"/>
        <v>#N/A</v>
      </c>
      <c r="Q380" s="33" t="e">
        <f ca="1"/>
        <v>#N/A</v>
      </c>
      <c r="R380" s="33" t="e">
        <f ca="1"/>
        <v>#N/A</v>
      </c>
    </row>
    <row r="381" spans="1:18" x14ac:dyDescent="0.2">
      <c r="A381" s="2">
        <v>380</v>
      </c>
      <c r="B381" s="65">
        <v>45730</v>
      </c>
      <c r="C381" s="70">
        <v>0.23789351851851853</v>
      </c>
      <c r="D381" s="66" t="s">
        <v>98</v>
      </c>
      <c r="G381" s="66" t="s">
        <v>245</v>
      </c>
      <c r="H381" s="66" t="s">
        <v>100</v>
      </c>
      <c r="I381" s="33" t="str">
        <f ca="1"/>
        <v>26,40</v>
      </c>
      <c r="J381" s="2">
        <v>381</v>
      </c>
      <c r="K381" s="2" t="str">
        <v>No Match</v>
      </c>
      <c r="M381" s="33">
        <f ca="1"/>
        <v>26.4</v>
      </c>
      <c r="N381" s="2">
        <f ca="1"/>
        <v>25</v>
      </c>
      <c r="O381" s="2">
        <f ca="1"/>
        <v>24.625</v>
      </c>
      <c r="P381" s="2">
        <f ca="1"/>
        <v>25.375</v>
      </c>
      <c r="Q381" s="33">
        <f ca="1"/>
        <v>25.256421052631598</v>
      </c>
      <c r="R381" s="33">
        <f ca="1"/>
        <v>25.847999999999995</v>
      </c>
    </row>
    <row r="382" spans="1:18" x14ac:dyDescent="0.2">
      <c r="A382" s="2">
        <v>381</v>
      </c>
      <c r="B382" s="65">
        <v>45730</v>
      </c>
      <c r="C382" s="70">
        <v>0.23866898148148147</v>
      </c>
      <c r="D382" s="66" t="s">
        <v>98</v>
      </c>
      <c r="G382" s="66" t="s">
        <v>128</v>
      </c>
      <c r="H382" s="66" t="s">
        <v>100</v>
      </c>
      <c r="I382" s="33" t="str">
        <f ca="1"/>
        <v>25,23</v>
      </c>
      <c r="J382" s="2">
        <v>382</v>
      </c>
      <c r="K382" s="2" t="str">
        <v>No Match</v>
      </c>
      <c r="M382" s="33">
        <f ca="1"/>
        <v>25.23</v>
      </c>
      <c r="N382" s="2" t="e">
        <f ca="1"/>
        <v>#N/A</v>
      </c>
      <c r="O382" s="2" t="e">
        <f ca="1"/>
        <v>#N/A</v>
      </c>
      <c r="P382" s="2" t="e">
        <f ca="1"/>
        <v>#N/A</v>
      </c>
      <c r="Q382" s="33" t="e">
        <f ca="1"/>
        <v>#N/A</v>
      </c>
      <c r="R382" s="33" t="e">
        <f ca="1"/>
        <v>#N/A</v>
      </c>
    </row>
    <row r="383" spans="1:18" x14ac:dyDescent="0.2">
      <c r="A383" s="2">
        <v>382</v>
      </c>
      <c r="B383" s="65">
        <v>45730</v>
      </c>
      <c r="C383" s="70">
        <v>0.23940972222222223</v>
      </c>
      <c r="D383" s="66" t="s">
        <v>98</v>
      </c>
      <c r="G383" s="66" t="s">
        <v>147</v>
      </c>
      <c r="H383" s="66" t="s">
        <v>100</v>
      </c>
      <c r="I383" s="33" t="str">
        <f ca="1"/>
        <v>25,00</v>
      </c>
      <c r="J383" s="2">
        <v>383</v>
      </c>
      <c r="K383" s="2" t="str">
        <v>No Match</v>
      </c>
      <c r="M383" s="33">
        <f ca="1"/>
        <v>25</v>
      </c>
      <c r="N383" s="2" t="e">
        <f ca="1"/>
        <v>#N/A</v>
      </c>
      <c r="O383" s="2" t="e">
        <f ca="1"/>
        <v>#N/A</v>
      </c>
      <c r="P383" s="2" t="e">
        <f ca="1"/>
        <v>#N/A</v>
      </c>
      <c r="Q383" s="33" t="e">
        <f ca="1"/>
        <v>#N/A</v>
      </c>
      <c r="R383" s="33" t="e">
        <f ca="1"/>
        <v>#N/A</v>
      </c>
    </row>
    <row r="384" spans="1:18" x14ac:dyDescent="0.2">
      <c r="A384" s="2">
        <v>383</v>
      </c>
      <c r="B384" s="65">
        <v>45730</v>
      </c>
      <c r="C384" s="70">
        <v>0.24114583333333334</v>
      </c>
      <c r="D384" s="66" t="s">
        <v>98</v>
      </c>
      <c r="G384" s="66" t="s">
        <v>113</v>
      </c>
      <c r="H384" s="66" t="s">
        <v>100</v>
      </c>
      <c r="I384" s="33" t="str">
        <f ca="1"/>
        <v>24,98</v>
      </c>
      <c r="J384" s="2">
        <v>384</v>
      </c>
      <c r="K384" s="2" t="str">
        <v>No Match</v>
      </c>
      <c r="M384" s="33">
        <f ca="1"/>
        <v>24.98</v>
      </c>
      <c r="N384" s="2" t="e">
        <f ca="1"/>
        <v>#N/A</v>
      </c>
      <c r="O384" s="2" t="e">
        <f ca="1"/>
        <v>#N/A</v>
      </c>
      <c r="P384" s="2" t="e">
        <f ca="1"/>
        <v>#N/A</v>
      </c>
      <c r="Q384" s="33" t="e">
        <f ca="1"/>
        <v>#N/A</v>
      </c>
      <c r="R384" s="33" t="e">
        <f ca="1"/>
        <v>#N/A</v>
      </c>
    </row>
    <row r="385" spans="1:18" x14ac:dyDescent="0.2">
      <c r="A385" s="2">
        <v>384</v>
      </c>
      <c r="B385" s="65">
        <v>45730</v>
      </c>
      <c r="C385" s="70">
        <v>0.24162037037037037</v>
      </c>
      <c r="D385" s="66" t="s">
        <v>98</v>
      </c>
      <c r="G385" s="66" t="s">
        <v>131</v>
      </c>
      <c r="H385" s="66" t="s">
        <v>100</v>
      </c>
      <c r="I385" s="33" t="str">
        <f ca="1"/>
        <v>25,24</v>
      </c>
      <c r="J385" s="2">
        <v>385</v>
      </c>
      <c r="K385" s="2" t="str">
        <v>No Match</v>
      </c>
      <c r="M385" s="33">
        <f ca="1"/>
        <v>25.24</v>
      </c>
      <c r="N385" s="2" t="e">
        <f ca="1"/>
        <v>#N/A</v>
      </c>
      <c r="O385" s="2" t="e">
        <f ca="1"/>
        <v>#N/A</v>
      </c>
      <c r="P385" s="2" t="e">
        <f ca="1"/>
        <v>#N/A</v>
      </c>
      <c r="Q385" s="33" t="e">
        <f ca="1"/>
        <v>#N/A</v>
      </c>
      <c r="R385" s="33" t="e">
        <f ca="1"/>
        <v>#N/A</v>
      </c>
    </row>
    <row r="386" spans="1:18" x14ac:dyDescent="0.2">
      <c r="A386" s="2">
        <v>385</v>
      </c>
      <c r="B386" s="65">
        <v>45730</v>
      </c>
      <c r="C386" s="70">
        <v>0.24491898148148147</v>
      </c>
      <c r="D386" s="66" t="s">
        <v>98</v>
      </c>
      <c r="G386" s="66" t="s">
        <v>102</v>
      </c>
      <c r="H386" s="66" t="s">
        <v>100</v>
      </c>
      <c r="I386" s="33" t="str">
        <f ca="1"/>
        <v>25,06</v>
      </c>
      <c r="J386" s="2">
        <v>386</v>
      </c>
      <c r="K386" s="2" t="str">
        <v>No Match</v>
      </c>
      <c r="M386" s="33">
        <f ca="1"/>
        <v>25.06</v>
      </c>
      <c r="N386" s="2" t="e">
        <f ca="1"/>
        <v>#N/A</v>
      </c>
      <c r="O386" s="2" t="e">
        <f ca="1"/>
        <v>#N/A</v>
      </c>
      <c r="P386" s="2" t="e">
        <f ca="1"/>
        <v>#N/A</v>
      </c>
      <c r="Q386" s="33" t="e">
        <f ca="1"/>
        <v>#N/A</v>
      </c>
      <c r="R386" s="33" t="e">
        <f ca="1"/>
        <v>#N/A</v>
      </c>
    </row>
    <row r="387" spans="1:18" x14ac:dyDescent="0.2">
      <c r="A387" s="2">
        <v>386</v>
      </c>
      <c r="B387" s="65">
        <v>45730</v>
      </c>
      <c r="C387" s="70">
        <v>0.24568287037037037</v>
      </c>
      <c r="D387" s="66" t="s">
        <v>98</v>
      </c>
      <c r="G387" s="66" t="s">
        <v>196</v>
      </c>
      <c r="H387" s="66" t="s">
        <v>100</v>
      </c>
      <c r="I387" s="33" t="str">
        <f ca="1"/>
        <v>24,81</v>
      </c>
      <c r="J387" s="2">
        <v>387</v>
      </c>
      <c r="K387" s="2" t="str">
        <v>No Match</v>
      </c>
      <c r="M387" s="33">
        <f ca="1"/>
        <v>24.81</v>
      </c>
      <c r="N387" s="2" t="e">
        <f ca="1"/>
        <v>#N/A</v>
      </c>
      <c r="O387" s="2" t="e">
        <f ca="1"/>
        <v>#N/A</v>
      </c>
      <c r="P387" s="2" t="e">
        <f ca="1"/>
        <v>#N/A</v>
      </c>
      <c r="Q387" s="33" t="e">
        <f ca="1"/>
        <v>#N/A</v>
      </c>
      <c r="R387" s="33" t="e">
        <f ca="1"/>
        <v>#N/A</v>
      </c>
    </row>
    <row r="388" spans="1:18" x14ac:dyDescent="0.2">
      <c r="A388" s="2">
        <v>387</v>
      </c>
      <c r="B388" s="65">
        <v>45730</v>
      </c>
      <c r="C388" s="70">
        <v>0.24626157407407406</v>
      </c>
      <c r="D388" s="66" t="s">
        <v>98</v>
      </c>
      <c r="G388" s="66" t="s">
        <v>207</v>
      </c>
      <c r="H388" s="66" t="s">
        <v>100</v>
      </c>
      <c r="I388" s="33" t="str">
        <f ca="1"/>
        <v>25,07</v>
      </c>
      <c r="J388" s="2">
        <v>388</v>
      </c>
      <c r="K388" s="2" t="str">
        <v>No Match</v>
      </c>
      <c r="M388" s="33">
        <f ca="1"/>
        <v>25.07</v>
      </c>
      <c r="N388" s="2" t="e">
        <f ca="1"/>
        <v>#N/A</v>
      </c>
      <c r="O388" s="2" t="e">
        <f ca="1"/>
        <v>#N/A</v>
      </c>
      <c r="P388" s="2" t="e">
        <f ca="1"/>
        <v>#N/A</v>
      </c>
      <c r="Q388" s="33" t="e">
        <f ca="1"/>
        <v>#N/A</v>
      </c>
      <c r="R388" s="33" t="e">
        <f ca="1"/>
        <v>#N/A</v>
      </c>
    </row>
    <row r="389" spans="1:18" x14ac:dyDescent="0.2">
      <c r="A389" s="2">
        <v>388</v>
      </c>
      <c r="B389" s="65">
        <v>45730</v>
      </c>
      <c r="C389" s="70">
        <v>0.24840277777777778</v>
      </c>
      <c r="D389" s="66" t="s">
        <v>98</v>
      </c>
      <c r="G389" s="66" t="s">
        <v>134</v>
      </c>
      <c r="H389" s="66" t="s">
        <v>100</v>
      </c>
      <c r="I389" s="33" t="str">
        <f ca="1"/>
        <v>24,94</v>
      </c>
      <c r="J389" s="2">
        <v>389</v>
      </c>
      <c r="K389" s="2" t="str">
        <v>No Match</v>
      </c>
      <c r="M389" s="33">
        <f ca="1"/>
        <v>24.94</v>
      </c>
      <c r="N389" s="2" t="e">
        <f ca="1"/>
        <v>#N/A</v>
      </c>
      <c r="O389" s="2" t="e">
        <f ca="1"/>
        <v>#N/A</v>
      </c>
      <c r="P389" s="2" t="e">
        <f ca="1"/>
        <v>#N/A</v>
      </c>
      <c r="Q389" s="33" t="e">
        <f ca="1"/>
        <v>#N/A</v>
      </c>
      <c r="R389" s="33" t="e">
        <f ca="1"/>
        <v>#N/A</v>
      </c>
    </row>
    <row r="390" spans="1:18" x14ac:dyDescent="0.2">
      <c r="A390" s="2">
        <v>389</v>
      </c>
      <c r="B390" s="65">
        <v>45730</v>
      </c>
      <c r="C390" s="70">
        <v>0.24898148148148147</v>
      </c>
      <c r="D390" s="66" t="s">
        <v>98</v>
      </c>
      <c r="G390" s="66" t="s">
        <v>201</v>
      </c>
      <c r="H390" s="66" t="s">
        <v>100</v>
      </c>
      <c r="I390" s="33" t="str">
        <f ca="1"/>
        <v>25,02</v>
      </c>
      <c r="J390" s="2">
        <v>390</v>
      </c>
      <c r="K390" s="2" t="str">
        <v>No Match</v>
      </c>
      <c r="M390" s="33">
        <f ca="1"/>
        <v>25.02</v>
      </c>
      <c r="N390" s="2" t="e">
        <f ca="1"/>
        <v>#N/A</v>
      </c>
      <c r="O390" s="2" t="e">
        <f ca="1"/>
        <v>#N/A</v>
      </c>
      <c r="P390" s="2" t="e">
        <f ca="1"/>
        <v>#N/A</v>
      </c>
      <c r="Q390" s="33" t="e">
        <f ca="1"/>
        <v>#N/A</v>
      </c>
      <c r="R390" s="33" t="e">
        <f ca="1"/>
        <v>#N/A</v>
      </c>
    </row>
    <row r="391" spans="1:18" x14ac:dyDescent="0.2">
      <c r="A391" s="2">
        <v>390</v>
      </c>
      <c r="B391" s="65">
        <v>45730</v>
      </c>
      <c r="C391" s="70">
        <v>0.25002314814814813</v>
      </c>
      <c r="D391" s="66" t="s">
        <v>98</v>
      </c>
      <c r="G391" s="66" t="s">
        <v>172</v>
      </c>
      <c r="H391" s="66" t="s">
        <v>100</v>
      </c>
      <c r="I391" s="33" t="str">
        <f ca="1"/>
        <v>24,73</v>
      </c>
      <c r="J391" s="2">
        <v>391</v>
      </c>
      <c r="K391" s="2" t="str">
        <v>No Match</v>
      </c>
      <c r="M391" s="33">
        <f ca="1"/>
        <v>24.73</v>
      </c>
      <c r="N391" s="2">
        <f ca="1"/>
        <v>25</v>
      </c>
      <c r="O391" s="2">
        <f ca="1"/>
        <v>24.625</v>
      </c>
      <c r="P391" s="2">
        <f ca="1"/>
        <v>25.375</v>
      </c>
      <c r="Q391" s="33">
        <f ca="1"/>
        <v>25.250051282051299</v>
      </c>
      <c r="R391" s="33">
        <f ca="1"/>
        <v>25.007999999999999</v>
      </c>
    </row>
    <row r="392" spans="1:18" x14ac:dyDescent="0.2">
      <c r="A392" s="2">
        <v>391</v>
      </c>
      <c r="B392" s="65">
        <v>45730</v>
      </c>
      <c r="C392" s="70">
        <v>0.25068287037037035</v>
      </c>
      <c r="D392" s="66" t="s">
        <v>98</v>
      </c>
      <c r="G392" s="66" t="s">
        <v>109</v>
      </c>
      <c r="H392" s="66" t="s">
        <v>100</v>
      </c>
      <c r="I392" s="33" t="str">
        <f ca="1"/>
        <v>24,88</v>
      </c>
      <c r="J392" s="2">
        <v>392</v>
      </c>
      <c r="K392" s="2" t="str">
        <v>No Match</v>
      </c>
      <c r="M392" s="33">
        <f ca="1"/>
        <v>24.88</v>
      </c>
      <c r="N392" s="2" t="e">
        <f ca="1"/>
        <v>#N/A</v>
      </c>
      <c r="O392" s="2" t="e">
        <f ca="1"/>
        <v>#N/A</v>
      </c>
      <c r="P392" s="2" t="e">
        <f ca="1"/>
        <v>#N/A</v>
      </c>
      <c r="Q392" s="33" t="e">
        <f ca="1"/>
        <v>#N/A</v>
      </c>
      <c r="R392" s="33" t="e">
        <f ca="1"/>
        <v>#N/A</v>
      </c>
    </row>
    <row r="393" spans="1:18" x14ac:dyDescent="0.2">
      <c r="A393" s="2">
        <v>392</v>
      </c>
      <c r="B393" s="65">
        <v>45730</v>
      </c>
      <c r="C393" s="70">
        <v>0.25245370370370368</v>
      </c>
      <c r="D393" s="66" t="s">
        <v>98</v>
      </c>
      <c r="G393" s="66" t="s">
        <v>203</v>
      </c>
      <c r="H393" s="66" t="s">
        <v>100</v>
      </c>
      <c r="I393" s="33" t="str">
        <f ca="1"/>
        <v>24,86</v>
      </c>
      <c r="J393" s="2">
        <v>393</v>
      </c>
      <c r="K393" s="2" t="str">
        <v>No Match</v>
      </c>
      <c r="M393" s="33">
        <f ca="1"/>
        <v>24.86</v>
      </c>
      <c r="N393" s="2" t="e">
        <f ca="1"/>
        <v>#N/A</v>
      </c>
      <c r="O393" s="2" t="e">
        <f ca="1"/>
        <v>#N/A</v>
      </c>
      <c r="P393" s="2" t="e">
        <f ca="1"/>
        <v>#N/A</v>
      </c>
      <c r="Q393" s="33" t="e">
        <f ca="1"/>
        <v>#N/A</v>
      </c>
      <c r="R393" s="33" t="e">
        <f ca="1"/>
        <v>#N/A</v>
      </c>
    </row>
    <row r="394" spans="1:18" x14ac:dyDescent="0.2">
      <c r="A394" s="2">
        <v>393</v>
      </c>
      <c r="B394" s="65">
        <v>45730</v>
      </c>
      <c r="C394" s="70">
        <v>0.25513888888888892</v>
      </c>
      <c r="D394" s="66" t="s">
        <v>98</v>
      </c>
      <c r="G394" s="66" t="s">
        <v>196</v>
      </c>
      <c r="H394" s="66" t="s">
        <v>100</v>
      </c>
      <c r="I394" s="33" t="str">
        <f ca="1"/>
        <v>24,81</v>
      </c>
      <c r="J394" s="2">
        <v>394</v>
      </c>
      <c r="K394" s="2" t="str">
        <v>No Match</v>
      </c>
      <c r="M394" s="33">
        <f ca="1"/>
        <v>24.81</v>
      </c>
      <c r="N394" s="2" t="e">
        <f ca="1"/>
        <v>#N/A</v>
      </c>
      <c r="O394" s="2" t="e">
        <f ca="1"/>
        <v>#N/A</v>
      </c>
      <c r="P394" s="2" t="e">
        <f ca="1"/>
        <v>#N/A</v>
      </c>
      <c r="Q394" s="33" t="e">
        <f ca="1"/>
        <v>#N/A</v>
      </c>
      <c r="R394" s="33" t="e">
        <f ca="1"/>
        <v>#N/A</v>
      </c>
    </row>
    <row r="395" spans="1:18" x14ac:dyDescent="0.2">
      <c r="A395" s="2">
        <v>394</v>
      </c>
      <c r="B395" s="65">
        <v>45730</v>
      </c>
      <c r="C395" s="70">
        <v>0.25592592592592595</v>
      </c>
      <c r="D395" s="66" t="s">
        <v>98</v>
      </c>
      <c r="G395" s="66" t="s">
        <v>246</v>
      </c>
      <c r="H395" s="66" t="s">
        <v>100</v>
      </c>
      <c r="I395" s="33" t="str">
        <f ca="1"/>
        <v>24,74</v>
      </c>
      <c r="J395" s="2">
        <v>395</v>
      </c>
      <c r="K395" s="2" t="str">
        <v>No Match</v>
      </c>
      <c r="M395" s="33">
        <f ca="1"/>
        <v>24.74</v>
      </c>
      <c r="N395" s="2" t="e">
        <f ca="1"/>
        <v>#N/A</v>
      </c>
      <c r="O395" s="2" t="e">
        <f ca="1"/>
        <v>#N/A</v>
      </c>
      <c r="P395" s="2" t="e">
        <f ca="1"/>
        <v>#N/A</v>
      </c>
      <c r="Q395" s="33" t="e">
        <f ca="1"/>
        <v>#N/A</v>
      </c>
      <c r="R395" s="33" t="e">
        <f ca="1"/>
        <v>#N/A</v>
      </c>
    </row>
    <row r="396" spans="1:18" x14ac:dyDescent="0.2">
      <c r="A396" s="2">
        <v>395</v>
      </c>
      <c r="B396" s="65">
        <v>45730</v>
      </c>
      <c r="C396" s="70">
        <v>0.25666666666666665</v>
      </c>
      <c r="D396" s="66" t="s">
        <v>98</v>
      </c>
      <c r="G396" s="66" t="s">
        <v>103</v>
      </c>
      <c r="H396" s="66" t="s">
        <v>100</v>
      </c>
      <c r="I396" s="33" t="str">
        <f ca="1"/>
        <v>24,97</v>
      </c>
      <c r="J396" s="2">
        <v>396</v>
      </c>
      <c r="K396" s="2" t="str">
        <v>No Match</v>
      </c>
      <c r="M396" s="33">
        <f ca="1"/>
        <v>24.97</v>
      </c>
      <c r="N396" s="2" t="e">
        <f ca="1"/>
        <v>#N/A</v>
      </c>
      <c r="O396" s="2" t="e">
        <f ca="1"/>
        <v>#N/A</v>
      </c>
      <c r="P396" s="2" t="e">
        <f ca="1"/>
        <v>#N/A</v>
      </c>
      <c r="Q396" s="33" t="e">
        <f ca="1"/>
        <v>#N/A</v>
      </c>
      <c r="R396" s="33" t="e">
        <f ca="1"/>
        <v>#N/A</v>
      </c>
    </row>
    <row r="397" spans="1:18" x14ac:dyDescent="0.2">
      <c r="A397" s="2">
        <v>396</v>
      </c>
      <c r="B397" s="65">
        <v>45730</v>
      </c>
      <c r="C397" s="70">
        <v>0.25754629629629627</v>
      </c>
      <c r="D397" s="66" t="s">
        <v>98</v>
      </c>
      <c r="G397" s="66" t="s">
        <v>180</v>
      </c>
      <c r="H397" s="66" t="s">
        <v>100</v>
      </c>
      <c r="I397" s="33" t="str">
        <f ca="1"/>
        <v>25,04</v>
      </c>
      <c r="J397" s="2">
        <v>397</v>
      </c>
      <c r="K397" s="2" t="str">
        <v>No Match</v>
      </c>
      <c r="M397" s="33">
        <f ca="1"/>
        <v>25.04</v>
      </c>
      <c r="N397" s="2" t="e">
        <f ca="1"/>
        <v>#N/A</v>
      </c>
      <c r="O397" s="2" t="e">
        <f ca="1"/>
        <v>#N/A</v>
      </c>
      <c r="P397" s="2" t="e">
        <f ca="1"/>
        <v>#N/A</v>
      </c>
      <c r="Q397" s="33" t="e">
        <f ca="1"/>
        <v>#N/A</v>
      </c>
      <c r="R397" s="33" t="e">
        <f ca="1"/>
        <v>#N/A</v>
      </c>
    </row>
    <row r="398" spans="1:18" x14ac:dyDescent="0.2">
      <c r="A398" s="2">
        <v>397</v>
      </c>
      <c r="B398" s="65">
        <v>45730</v>
      </c>
      <c r="C398" s="70">
        <v>0.25886574074074076</v>
      </c>
      <c r="D398" s="66" t="s">
        <v>98</v>
      </c>
      <c r="G398" s="66" t="s">
        <v>102</v>
      </c>
      <c r="H398" s="66" t="s">
        <v>100</v>
      </c>
      <c r="I398" s="33" t="str">
        <f ca="1"/>
        <v>25,06</v>
      </c>
      <c r="J398" s="2">
        <v>398</v>
      </c>
      <c r="K398" s="2" t="str">
        <v>No Match</v>
      </c>
      <c r="M398" s="33">
        <f ca="1"/>
        <v>25.06</v>
      </c>
      <c r="N398" s="2" t="e">
        <f ca="1"/>
        <v>#N/A</v>
      </c>
      <c r="O398" s="2" t="e">
        <f ca="1"/>
        <v>#N/A</v>
      </c>
      <c r="P398" s="2" t="e">
        <f ca="1"/>
        <v>#N/A</v>
      </c>
      <c r="Q398" s="33" t="e">
        <f ca="1"/>
        <v>#N/A</v>
      </c>
      <c r="R398" s="33" t="e">
        <f ca="1"/>
        <v>#N/A</v>
      </c>
    </row>
    <row r="399" spans="1:18" x14ac:dyDescent="0.2">
      <c r="A399" s="2">
        <v>398</v>
      </c>
      <c r="B399" s="65">
        <v>45730</v>
      </c>
      <c r="C399" s="70">
        <v>0.26143518518518516</v>
      </c>
      <c r="D399" s="66" t="s">
        <v>98</v>
      </c>
      <c r="G399" s="66" t="s">
        <v>118</v>
      </c>
      <c r="H399" s="66" t="s">
        <v>100</v>
      </c>
      <c r="I399" s="33" t="str">
        <f ca="1"/>
        <v>26,02</v>
      </c>
      <c r="J399" s="2">
        <v>399</v>
      </c>
      <c r="K399" s="2" t="str">
        <v>No Match</v>
      </c>
      <c r="M399" s="33">
        <f ca="1"/>
        <v>26.02</v>
      </c>
      <c r="N399" s="2" t="e">
        <f ca="1"/>
        <v>#N/A</v>
      </c>
      <c r="O399" s="2" t="e">
        <f ca="1"/>
        <v>#N/A</v>
      </c>
      <c r="P399" s="2" t="e">
        <f ca="1"/>
        <v>#N/A</v>
      </c>
      <c r="Q399" s="33" t="e">
        <f ca="1"/>
        <v>#N/A</v>
      </c>
      <c r="R399" s="33" t="e">
        <f ca="1"/>
        <v>#N/A</v>
      </c>
    </row>
    <row r="400" spans="1:18" x14ac:dyDescent="0.2">
      <c r="A400" s="2">
        <v>399</v>
      </c>
      <c r="B400" s="65">
        <v>45730</v>
      </c>
      <c r="C400" s="70">
        <v>0.26318287037037036</v>
      </c>
      <c r="D400" s="66" t="s">
        <v>98</v>
      </c>
      <c r="G400" s="66" t="s">
        <v>131</v>
      </c>
      <c r="H400" s="66" t="s">
        <v>100</v>
      </c>
      <c r="I400" s="33" t="str">
        <f ca="1"/>
        <v>25,24</v>
      </c>
      <c r="J400" s="2">
        <v>400</v>
      </c>
      <c r="K400" s="2" t="str">
        <v>No Match</v>
      </c>
      <c r="M400" s="33">
        <f ca="1"/>
        <v>25.24</v>
      </c>
      <c r="N400" s="2" t="e">
        <f ca="1"/>
        <v>#N/A</v>
      </c>
      <c r="O400" s="2" t="e">
        <f ca="1"/>
        <v>#N/A</v>
      </c>
      <c r="P400" s="2" t="e">
        <f ca="1"/>
        <v>#N/A</v>
      </c>
      <c r="Q400" s="33" t="e">
        <f ca="1"/>
        <v>#N/A</v>
      </c>
      <c r="R400" s="33" t="e">
        <f ca="1"/>
        <v>#N/A</v>
      </c>
    </row>
    <row r="401" spans="1:18" x14ac:dyDescent="0.2">
      <c r="A401" s="2">
        <v>400</v>
      </c>
      <c r="B401" s="65">
        <v>45730</v>
      </c>
      <c r="C401" s="70">
        <v>0.26384259259259257</v>
      </c>
      <c r="D401" s="66" t="s">
        <v>98</v>
      </c>
      <c r="G401" s="66" t="s">
        <v>122</v>
      </c>
      <c r="H401" s="66" t="s">
        <v>100</v>
      </c>
      <c r="I401" s="33" t="str">
        <f ca="1"/>
        <v>25,27</v>
      </c>
      <c r="J401" s="2">
        <v>401</v>
      </c>
      <c r="K401" s="2" t="str">
        <v>No Match</v>
      </c>
      <c r="M401" s="33">
        <f ca="1"/>
        <v>25.27</v>
      </c>
      <c r="N401" s="2">
        <f ca="1"/>
        <v>25</v>
      </c>
      <c r="O401" s="2">
        <f ca="1"/>
        <v>24.625</v>
      </c>
      <c r="P401" s="2">
        <f ca="1"/>
        <v>25.375</v>
      </c>
      <c r="Q401" s="33">
        <f ca="1"/>
        <v>25.246025000000014</v>
      </c>
      <c r="R401" s="33">
        <f ca="1"/>
        <v>25.089000000000002</v>
      </c>
    </row>
    <row r="402" spans="1:18" x14ac:dyDescent="0.2">
      <c r="A402" s="2">
        <v>401</v>
      </c>
      <c r="B402" s="65">
        <v>45730</v>
      </c>
      <c r="C402" s="70">
        <v>0.26516203703703706</v>
      </c>
      <c r="D402" s="66" t="s">
        <v>98</v>
      </c>
      <c r="G402" s="66" t="s">
        <v>190</v>
      </c>
      <c r="H402" s="66" t="s">
        <v>100</v>
      </c>
      <c r="I402" s="33" t="str">
        <f ca="1"/>
        <v>25,19</v>
      </c>
      <c r="J402" s="2">
        <v>402</v>
      </c>
      <c r="K402" s="2" t="str">
        <v>No Match</v>
      </c>
      <c r="M402" s="33">
        <f ca="1"/>
        <v>25.19</v>
      </c>
      <c r="N402" s="2" t="e">
        <f ca="1"/>
        <v>#N/A</v>
      </c>
      <c r="O402" s="2" t="e">
        <f ca="1"/>
        <v>#N/A</v>
      </c>
      <c r="P402" s="2" t="e">
        <f ca="1"/>
        <v>#N/A</v>
      </c>
      <c r="Q402" s="33" t="e">
        <f ca="1"/>
        <v>#N/A</v>
      </c>
      <c r="R402" s="33" t="e">
        <f ca="1"/>
        <v>#N/A</v>
      </c>
    </row>
    <row r="403" spans="1:18" x14ac:dyDescent="0.2">
      <c r="A403" s="2">
        <v>402</v>
      </c>
      <c r="B403" s="65">
        <v>45730</v>
      </c>
      <c r="C403" s="70">
        <v>0.26587962962962963</v>
      </c>
      <c r="D403" s="66" t="s">
        <v>98</v>
      </c>
      <c r="G403" s="66" t="s">
        <v>128</v>
      </c>
      <c r="H403" s="66" t="s">
        <v>100</v>
      </c>
      <c r="I403" s="33" t="str">
        <f ca="1"/>
        <v>25,23</v>
      </c>
      <c r="J403" s="2">
        <v>403</v>
      </c>
      <c r="K403" s="2" t="str">
        <v>No Match</v>
      </c>
      <c r="M403" s="33">
        <f ca="1"/>
        <v>25.23</v>
      </c>
      <c r="N403" s="2" t="e">
        <f ca="1"/>
        <v>#N/A</v>
      </c>
      <c r="O403" s="2" t="e">
        <f ca="1"/>
        <v>#N/A</v>
      </c>
      <c r="P403" s="2" t="e">
        <f ca="1"/>
        <v>#N/A</v>
      </c>
      <c r="Q403" s="33" t="e">
        <f ca="1"/>
        <v>#N/A</v>
      </c>
      <c r="R403" s="33" t="e">
        <f ca="1"/>
        <v>#N/A</v>
      </c>
    </row>
    <row r="404" spans="1:18" x14ac:dyDescent="0.2">
      <c r="A404" s="2">
        <v>403</v>
      </c>
      <c r="B404" s="65">
        <v>45730</v>
      </c>
      <c r="C404" s="70">
        <v>0.26870370370370372</v>
      </c>
      <c r="D404" s="66" t="s">
        <v>98</v>
      </c>
      <c r="G404" s="66" t="s">
        <v>133</v>
      </c>
      <c r="H404" s="66" t="s">
        <v>100</v>
      </c>
      <c r="I404" s="33" t="str">
        <f ca="1"/>
        <v>25,41</v>
      </c>
      <c r="J404" s="2">
        <v>404</v>
      </c>
      <c r="K404" s="2" t="str">
        <v>No Match</v>
      </c>
      <c r="M404" s="33">
        <f ca="1"/>
        <v>25.41</v>
      </c>
      <c r="N404" s="2" t="e">
        <f ca="1"/>
        <v>#N/A</v>
      </c>
      <c r="O404" s="2" t="e">
        <f ca="1"/>
        <v>#N/A</v>
      </c>
      <c r="P404" s="2" t="e">
        <f ca="1"/>
        <v>#N/A</v>
      </c>
      <c r="Q404" s="33" t="e">
        <f ca="1"/>
        <v>#N/A</v>
      </c>
      <c r="R404" s="33" t="e">
        <f ca="1"/>
        <v>#N/A</v>
      </c>
    </row>
    <row r="405" spans="1:18" x14ac:dyDescent="0.2">
      <c r="A405" s="2">
        <v>404</v>
      </c>
      <c r="B405" s="65">
        <v>45730</v>
      </c>
      <c r="C405" s="70">
        <v>0.27021990740740742</v>
      </c>
      <c r="D405" s="66" t="s">
        <v>98</v>
      </c>
      <c r="G405" s="66" t="s">
        <v>169</v>
      </c>
      <c r="H405" s="66" t="s">
        <v>100</v>
      </c>
      <c r="I405" s="33" t="str">
        <f ca="1"/>
        <v>25,11</v>
      </c>
      <c r="J405" s="2">
        <v>405</v>
      </c>
      <c r="K405" s="2" t="str">
        <v>No Match</v>
      </c>
      <c r="M405" s="33">
        <f ca="1"/>
        <v>25.11</v>
      </c>
      <c r="N405" s="2" t="e">
        <f ca="1"/>
        <v>#N/A</v>
      </c>
      <c r="O405" s="2" t="e">
        <f ca="1"/>
        <v>#N/A</v>
      </c>
      <c r="P405" s="2" t="e">
        <f ca="1"/>
        <v>#N/A</v>
      </c>
      <c r="Q405" s="33" t="e">
        <f ca="1"/>
        <v>#N/A</v>
      </c>
      <c r="R405" s="33" t="e">
        <f ca="1"/>
        <v>#N/A</v>
      </c>
    </row>
    <row r="406" spans="1:18" x14ac:dyDescent="0.2">
      <c r="A406" s="2">
        <v>405</v>
      </c>
      <c r="B406" s="65">
        <v>45730</v>
      </c>
      <c r="C406" s="70">
        <v>0.2707060185185185</v>
      </c>
      <c r="D406" s="66" t="s">
        <v>98</v>
      </c>
      <c r="G406" s="66" t="s">
        <v>159</v>
      </c>
      <c r="H406" s="66" t="s">
        <v>100</v>
      </c>
      <c r="I406" s="33" t="str">
        <f ca="1"/>
        <v>25,26</v>
      </c>
      <c r="J406" s="2">
        <v>406</v>
      </c>
      <c r="K406" s="2" t="str">
        <v>No Match</v>
      </c>
      <c r="M406" s="33">
        <f ca="1"/>
        <v>25.26</v>
      </c>
      <c r="N406" s="2" t="e">
        <f ca="1"/>
        <v>#N/A</v>
      </c>
      <c r="O406" s="2" t="e">
        <f ca="1"/>
        <v>#N/A</v>
      </c>
      <c r="P406" s="2" t="e">
        <f ca="1"/>
        <v>#N/A</v>
      </c>
      <c r="Q406" s="33" t="e">
        <f ca="1"/>
        <v>#N/A</v>
      </c>
      <c r="R406" s="33" t="e">
        <f ca="1"/>
        <v>#N/A</v>
      </c>
    </row>
    <row r="407" spans="1:18" x14ac:dyDescent="0.2">
      <c r="A407" s="2">
        <v>406</v>
      </c>
      <c r="B407" s="65">
        <v>45730</v>
      </c>
      <c r="C407" s="70">
        <v>0.2717013888888889</v>
      </c>
      <c r="D407" s="66" t="s">
        <v>98</v>
      </c>
      <c r="G407" s="66" t="s">
        <v>165</v>
      </c>
      <c r="H407" s="66" t="s">
        <v>100</v>
      </c>
      <c r="I407" s="33" t="str">
        <f ca="1"/>
        <v>25,42</v>
      </c>
      <c r="J407" s="2">
        <v>407</v>
      </c>
      <c r="K407" s="2" t="str">
        <v>No Match</v>
      </c>
      <c r="M407" s="33">
        <f ca="1"/>
        <v>25.42</v>
      </c>
      <c r="N407" s="2" t="e">
        <f ca="1"/>
        <v>#N/A</v>
      </c>
      <c r="O407" s="2" t="e">
        <f ca="1"/>
        <v>#N/A</v>
      </c>
      <c r="P407" s="2" t="e">
        <f ca="1"/>
        <v>#N/A</v>
      </c>
      <c r="Q407" s="33" t="e">
        <f ca="1"/>
        <v>#N/A</v>
      </c>
      <c r="R407" s="33" t="e">
        <f ca="1"/>
        <v>#N/A</v>
      </c>
    </row>
    <row r="408" spans="1:18" x14ac:dyDescent="0.2">
      <c r="A408" s="2">
        <v>407</v>
      </c>
      <c r="B408" s="65">
        <v>45730</v>
      </c>
      <c r="C408" s="70">
        <v>0.27311342592592591</v>
      </c>
      <c r="D408" s="66" t="s">
        <v>98</v>
      </c>
      <c r="G408" s="66" t="s">
        <v>111</v>
      </c>
      <c r="H408" s="66" t="s">
        <v>100</v>
      </c>
      <c r="I408" s="33" t="str">
        <f ca="1"/>
        <v>25,44</v>
      </c>
      <c r="J408" s="2">
        <v>408</v>
      </c>
      <c r="K408" s="2" t="str">
        <v>No Match</v>
      </c>
      <c r="M408" s="33">
        <f ca="1"/>
        <v>25.44</v>
      </c>
      <c r="N408" s="2" t="e">
        <f ca="1"/>
        <v>#N/A</v>
      </c>
      <c r="O408" s="2" t="e">
        <f ca="1"/>
        <v>#N/A</v>
      </c>
      <c r="P408" s="2" t="e">
        <f ca="1"/>
        <v>#N/A</v>
      </c>
      <c r="Q408" s="33" t="e">
        <f ca="1"/>
        <v>#N/A</v>
      </c>
      <c r="R408" s="33" t="e">
        <f ca="1"/>
        <v>#N/A</v>
      </c>
    </row>
    <row r="409" spans="1:18" x14ac:dyDescent="0.2">
      <c r="A409" s="2">
        <v>408</v>
      </c>
      <c r="B409" s="65">
        <v>45730</v>
      </c>
      <c r="C409" s="70">
        <v>0.27478009259259262</v>
      </c>
      <c r="D409" s="66" t="s">
        <v>98</v>
      </c>
      <c r="G409" s="66" t="s">
        <v>136</v>
      </c>
      <c r="H409" s="66" t="s">
        <v>100</v>
      </c>
      <c r="I409" s="33" t="str">
        <f ca="1"/>
        <v>25,22</v>
      </c>
      <c r="J409" s="2">
        <v>409</v>
      </c>
      <c r="K409" s="2" t="str">
        <v>No Match</v>
      </c>
      <c r="M409" s="33">
        <f ca="1"/>
        <v>25.22</v>
      </c>
      <c r="N409" s="2" t="e">
        <f ca="1"/>
        <v>#N/A</v>
      </c>
      <c r="O409" s="2" t="e">
        <f ca="1"/>
        <v>#N/A</v>
      </c>
      <c r="P409" s="2" t="e">
        <f ca="1"/>
        <v>#N/A</v>
      </c>
      <c r="Q409" s="33" t="e">
        <f ca="1"/>
        <v>#N/A</v>
      </c>
      <c r="R409" s="33" t="e">
        <f ca="1"/>
        <v>#N/A</v>
      </c>
    </row>
    <row r="410" spans="1:18" x14ac:dyDescent="0.2">
      <c r="A410" s="2">
        <v>409</v>
      </c>
      <c r="B410" s="65">
        <v>45730</v>
      </c>
      <c r="C410" s="70">
        <v>0.27519675925925924</v>
      </c>
      <c r="D410" s="66" t="s">
        <v>98</v>
      </c>
      <c r="G410" s="66" t="s">
        <v>120</v>
      </c>
      <c r="H410" s="66" t="s">
        <v>100</v>
      </c>
      <c r="I410" s="33" t="str">
        <f ca="1"/>
        <v>25,34</v>
      </c>
      <c r="J410" s="2">
        <v>410</v>
      </c>
      <c r="K410" s="2" t="str">
        <v>No Match</v>
      </c>
      <c r="M410" s="33">
        <f ca="1"/>
        <v>25.34</v>
      </c>
      <c r="N410" s="2" t="e">
        <f ca="1"/>
        <v>#N/A</v>
      </c>
      <c r="O410" s="2" t="e">
        <f ca="1"/>
        <v>#N/A</v>
      </c>
      <c r="P410" s="2" t="e">
        <f ca="1"/>
        <v>#N/A</v>
      </c>
      <c r="Q410" s="33" t="e">
        <f ca="1"/>
        <v>#N/A</v>
      </c>
      <c r="R410" s="33" t="e">
        <f ca="1"/>
        <v>#N/A</v>
      </c>
    </row>
    <row r="411" spans="1:18" x14ac:dyDescent="0.2">
      <c r="A411" s="2">
        <v>410</v>
      </c>
      <c r="B411" s="65">
        <v>45730</v>
      </c>
      <c r="C411" s="70">
        <v>0.27696759259259257</v>
      </c>
      <c r="D411" s="66" t="s">
        <v>98</v>
      </c>
      <c r="G411" s="66" t="s">
        <v>202</v>
      </c>
      <c r="H411" s="66" t="s">
        <v>100</v>
      </c>
      <c r="I411" s="33" t="str">
        <f ca="1"/>
        <v>25,31</v>
      </c>
      <c r="J411" s="2">
        <v>411</v>
      </c>
      <c r="K411" s="2" t="str">
        <v>No Match</v>
      </c>
      <c r="M411" s="33">
        <f ca="1"/>
        <v>25.31</v>
      </c>
      <c r="N411" s="2">
        <f ca="1"/>
        <v>25</v>
      </c>
      <c r="O411" s="2">
        <f ca="1"/>
        <v>24.625</v>
      </c>
      <c r="P411" s="2">
        <f ca="1"/>
        <v>25.375</v>
      </c>
      <c r="Q411" s="33">
        <f ca="1"/>
        <v>25.247170731707332</v>
      </c>
      <c r="R411" s="33">
        <f ca="1"/>
        <v>25.292999999999999</v>
      </c>
    </row>
    <row r="412" spans="1:18" x14ac:dyDescent="0.2">
      <c r="A412" s="2">
        <v>411</v>
      </c>
      <c r="B412" s="65">
        <v>45730</v>
      </c>
      <c r="C412" s="70">
        <v>0.27818287037037037</v>
      </c>
      <c r="D412" s="66" t="s">
        <v>98</v>
      </c>
      <c r="G412" s="66" t="s">
        <v>161</v>
      </c>
      <c r="H412" s="66" t="s">
        <v>100</v>
      </c>
      <c r="I412" s="33" t="str">
        <f ca="1"/>
        <v>25,38</v>
      </c>
      <c r="J412" s="2">
        <v>412</v>
      </c>
      <c r="K412" s="2" t="str">
        <v>No Match</v>
      </c>
      <c r="M412" s="33">
        <f ca="1"/>
        <v>25.38</v>
      </c>
      <c r="N412" s="2" t="e">
        <f ca="1"/>
        <v>#N/A</v>
      </c>
      <c r="O412" s="2" t="e">
        <f ca="1"/>
        <v>#N/A</v>
      </c>
      <c r="P412" s="2" t="e">
        <f ca="1"/>
        <v>#N/A</v>
      </c>
      <c r="Q412" s="33" t="e">
        <f ca="1"/>
        <v>#N/A</v>
      </c>
      <c r="R412" s="33" t="e">
        <f ca="1"/>
        <v>#N/A</v>
      </c>
    </row>
    <row r="413" spans="1:18" x14ac:dyDescent="0.2">
      <c r="A413" s="2">
        <v>412</v>
      </c>
      <c r="B413" s="65">
        <v>45730</v>
      </c>
      <c r="C413" s="70">
        <v>0.27931712962962962</v>
      </c>
      <c r="D413" s="66" t="s">
        <v>98</v>
      </c>
      <c r="G413" s="66" t="s">
        <v>162</v>
      </c>
      <c r="H413" s="66" t="s">
        <v>100</v>
      </c>
      <c r="I413" s="33" t="str">
        <f ca="1"/>
        <v>25,51</v>
      </c>
      <c r="J413" s="2">
        <v>413</v>
      </c>
      <c r="K413" s="2" t="str">
        <v>No Match</v>
      </c>
      <c r="M413" s="33">
        <f ca="1"/>
        <v>25.51</v>
      </c>
      <c r="N413" s="2" t="e">
        <f ca="1"/>
        <v>#N/A</v>
      </c>
      <c r="O413" s="2" t="e">
        <f ca="1"/>
        <v>#N/A</v>
      </c>
      <c r="P413" s="2" t="e">
        <f ca="1"/>
        <v>#N/A</v>
      </c>
      <c r="Q413" s="33" t="e">
        <f ca="1"/>
        <v>#N/A</v>
      </c>
      <c r="R413" s="33" t="e">
        <f ca="1"/>
        <v>#N/A</v>
      </c>
    </row>
    <row r="414" spans="1:18" x14ac:dyDescent="0.2">
      <c r="A414" s="2">
        <v>413</v>
      </c>
      <c r="B414" s="65">
        <v>45730</v>
      </c>
      <c r="C414" s="70">
        <v>0.28068287037037037</v>
      </c>
      <c r="D414" s="66" t="s">
        <v>98</v>
      </c>
      <c r="G414" s="66" t="s">
        <v>165</v>
      </c>
      <c r="H414" s="66" t="s">
        <v>100</v>
      </c>
      <c r="I414" s="33" t="str">
        <f ca="1"/>
        <v>25,42</v>
      </c>
      <c r="J414" s="2">
        <v>414</v>
      </c>
      <c r="K414" s="2" t="str">
        <v>No Match</v>
      </c>
      <c r="M414" s="33">
        <f ca="1"/>
        <v>25.42</v>
      </c>
      <c r="N414" s="2" t="e">
        <f ca="1"/>
        <v>#N/A</v>
      </c>
      <c r="O414" s="2" t="e">
        <f ca="1"/>
        <v>#N/A</v>
      </c>
      <c r="P414" s="2" t="e">
        <f ca="1"/>
        <v>#N/A</v>
      </c>
      <c r="Q414" s="33" t="e">
        <f ca="1"/>
        <v>#N/A</v>
      </c>
      <c r="R414" s="33" t="e">
        <f ca="1"/>
        <v>#N/A</v>
      </c>
    </row>
    <row r="415" spans="1:18" x14ac:dyDescent="0.2">
      <c r="A415" s="2">
        <v>414</v>
      </c>
      <c r="B415" s="65">
        <v>45730</v>
      </c>
      <c r="C415" s="70">
        <v>0.28336805555555555</v>
      </c>
      <c r="D415" s="66" t="s">
        <v>98</v>
      </c>
      <c r="G415" s="66" t="s">
        <v>104</v>
      </c>
      <c r="H415" s="66" t="s">
        <v>100</v>
      </c>
      <c r="I415" s="33" t="str">
        <f ca="1"/>
        <v>25,40</v>
      </c>
      <c r="J415" s="2">
        <v>415</v>
      </c>
      <c r="K415" s="2" t="str">
        <v>No Match</v>
      </c>
      <c r="M415" s="33">
        <f ca="1"/>
        <v>25.4</v>
      </c>
      <c r="N415" s="2" t="e">
        <f ca="1"/>
        <v>#N/A</v>
      </c>
      <c r="O415" s="2" t="e">
        <f ca="1"/>
        <v>#N/A</v>
      </c>
      <c r="P415" s="2" t="e">
        <f ca="1"/>
        <v>#N/A</v>
      </c>
      <c r="Q415" s="33" t="e">
        <f ca="1"/>
        <v>#N/A</v>
      </c>
      <c r="R415" s="33" t="e">
        <f ca="1"/>
        <v>#N/A</v>
      </c>
    </row>
    <row r="416" spans="1:18" x14ac:dyDescent="0.2">
      <c r="A416" s="2">
        <v>415</v>
      </c>
      <c r="B416" s="65">
        <v>45730</v>
      </c>
      <c r="C416" s="70">
        <v>0.28454861111111113</v>
      </c>
      <c r="D416" s="66" t="s">
        <v>98</v>
      </c>
      <c r="G416" s="66" t="s">
        <v>128</v>
      </c>
      <c r="H416" s="66" t="s">
        <v>100</v>
      </c>
      <c r="I416" s="33" t="str">
        <f ca="1"/>
        <v>25,23</v>
      </c>
      <c r="J416" s="2">
        <v>416</v>
      </c>
      <c r="K416" s="2" t="str">
        <v>No Match</v>
      </c>
      <c r="M416" s="33">
        <f ca="1"/>
        <v>25.23</v>
      </c>
      <c r="N416" s="2" t="e">
        <f ca="1"/>
        <v>#N/A</v>
      </c>
      <c r="O416" s="2" t="e">
        <f ca="1"/>
        <v>#N/A</v>
      </c>
      <c r="P416" s="2" t="e">
        <f ca="1"/>
        <v>#N/A</v>
      </c>
      <c r="Q416" s="33" t="e">
        <f ca="1"/>
        <v>#N/A</v>
      </c>
      <c r="R416" s="33" t="e">
        <f ca="1"/>
        <v>#N/A</v>
      </c>
    </row>
    <row r="417" spans="1:18" x14ac:dyDescent="0.2">
      <c r="A417" s="2">
        <v>416</v>
      </c>
      <c r="B417" s="65">
        <v>45730</v>
      </c>
      <c r="C417" s="70">
        <v>0.28532407407407406</v>
      </c>
      <c r="D417" s="66" t="s">
        <v>98</v>
      </c>
      <c r="G417" s="66" t="s">
        <v>161</v>
      </c>
      <c r="H417" s="66" t="s">
        <v>100</v>
      </c>
      <c r="I417" s="33" t="str">
        <f ca="1"/>
        <v>25,38</v>
      </c>
      <c r="J417" s="2">
        <v>417</v>
      </c>
      <c r="K417" s="2" t="str">
        <v>No Match</v>
      </c>
      <c r="M417" s="33">
        <f ca="1"/>
        <v>25.38</v>
      </c>
      <c r="N417" s="2" t="e">
        <f ca="1"/>
        <v>#N/A</v>
      </c>
      <c r="O417" s="2" t="e">
        <f ca="1"/>
        <v>#N/A</v>
      </c>
      <c r="P417" s="2" t="e">
        <f ca="1"/>
        <v>#N/A</v>
      </c>
      <c r="Q417" s="33" t="e">
        <f ca="1"/>
        <v>#N/A</v>
      </c>
      <c r="R417" s="33" t="e">
        <f ca="1"/>
        <v>#N/A</v>
      </c>
    </row>
    <row r="418" spans="1:18" x14ac:dyDescent="0.2">
      <c r="A418" s="2">
        <v>417</v>
      </c>
      <c r="B418" s="65">
        <v>45730</v>
      </c>
      <c r="C418" s="70">
        <v>0.28706018518518517</v>
      </c>
      <c r="D418" s="66" t="s">
        <v>98</v>
      </c>
      <c r="G418" s="66" t="s">
        <v>116</v>
      </c>
      <c r="H418" s="66" t="s">
        <v>100</v>
      </c>
      <c r="I418" s="33" t="str">
        <f ca="1"/>
        <v>25,33</v>
      </c>
      <c r="J418" s="2">
        <v>418</v>
      </c>
      <c r="K418" s="2" t="str">
        <v>No Match</v>
      </c>
      <c r="M418" s="33">
        <f ca="1"/>
        <v>25.33</v>
      </c>
      <c r="N418" s="2" t="e">
        <f ca="1"/>
        <v>#N/A</v>
      </c>
      <c r="O418" s="2" t="e">
        <f ca="1"/>
        <v>#N/A</v>
      </c>
      <c r="P418" s="2" t="e">
        <f ca="1"/>
        <v>#N/A</v>
      </c>
      <c r="Q418" s="33" t="e">
        <f ca="1"/>
        <v>#N/A</v>
      </c>
      <c r="R418" s="33" t="e">
        <f ca="1"/>
        <v>#N/A</v>
      </c>
    </row>
    <row r="419" spans="1:18" x14ac:dyDescent="0.2">
      <c r="A419" s="2">
        <v>418</v>
      </c>
      <c r="B419" s="65">
        <v>45730</v>
      </c>
      <c r="C419" s="70">
        <v>0.28820601851851851</v>
      </c>
      <c r="D419" s="66" t="s">
        <v>98</v>
      </c>
      <c r="G419" s="66" t="s">
        <v>105</v>
      </c>
      <c r="H419" s="66" t="s">
        <v>100</v>
      </c>
      <c r="I419" s="33" t="str">
        <f ca="1"/>
        <v>25,39</v>
      </c>
      <c r="J419" s="2">
        <v>419</v>
      </c>
      <c r="K419" s="2" t="str">
        <v>No Match</v>
      </c>
      <c r="M419" s="33">
        <f ca="1"/>
        <v>25.39</v>
      </c>
      <c r="N419" s="2" t="e">
        <f ca="1"/>
        <v>#N/A</v>
      </c>
      <c r="O419" s="2" t="e">
        <f ca="1"/>
        <v>#N/A</v>
      </c>
      <c r="P419" s="2" t="e">
        <f ca="1"/>
        <v>#N/A</v>
      </c>
      <c r="Q419" s="33" t="e">
        <f ca="1"/>
        <v>#N/A</v>
      </c>
      <c r="R419" s="33" t="e">
        <f ca="1"/>
        <v>#N/A</v>
      </c>
    </row>
    <row r="420" spans="1:18" x14ac:dyDescent="0.2">
      <c r="A420" s="2">
        <v>419</v>
      </c>
      <c r="B420" s="65">
        <v>45730</v>
      </c>
      <c r="C420" s="70">
        <v>0.28954861111111113</v>
      </c>
      <c r="D420" s="66" t="s">
        <v>98</v>
      </c>
      <c r="G420" s="66" t="s">
        <v>104</v>
      </c>
      <c r="H420" s="66" t="s">
        <v>100</v>
      </c>
      <c r="I420" s="33" t="str">
        <f ca="1"/>
        <v>25,40</v>
      </c>
      <c r="J420" s="2">
        <v>420</v>
      </c>
      <c r="K420" s="2" t="str">
        <v>No Match</v>
      </c>
      <c r="M420" s="33">
        <f ca="1"/>
        <v>25.4</v>
      </c>
      <c r="N420" s="2" t="e">
        <f ca="1"/>
        <v>#N/A</v>
      </c>
      <c r="O420" s="2" t="e">
        <f ca="1"/>
        <v>#N/A</v>
      </c>
      <c r="P420" s="2" t="e">
        <f ca="1"/>
        <v>#N/A</v>
      </c>
      <c r="Q420" s="33" t="e">
        <f ca="1"/>
        <v>#N/A</v>
      </c>
      <c r="R420" s="33" t="e">
        <f ca="1"/>
        <v>#N/A</v>
      </c>
    </row>
    <row r="421" spans="1:18" x14ac:dyDescent="0.2">
      <c r="A421" s="2">
        <v>420</v>
      </c>
      <c r="B421" s="65">
        <v>45730</v>
      </c>
      <c r="C421" s="70">
        <v>0.29216435185185186</v>
      </c>
      <c r="D421" s="66" t="s">
        <v>98</v>
      </c>
      <c r="G421" s="66" t="s">
        <v>107</v>
      </c>
      <c r="H421" s="66" t="s">
        <v>100</v>
      </c>
      <c r="I421" s="33" t="str">
        <f ca="1"/>
        <v>25,43</v>
      </c>
      <c r="J421" s="2">
        <v>421</v>
      </c>
      <c r="K421" s="2" t="str">
        <v>No Match</v>
      </c>
      <c r="M421" s="33">
        <f ca="1"/>
        <v>25.43</v>
      </c>
      <c r="N421" s="2">
        <f ca="1"/>
        <v>25</v>
      </c>
      <c r="O421" s="2">
        <f ca="1"/>
        <v>24.625</v>
      </c>
      <c r="P421" s="2">
        <f ca="1"/>
        <v>25.375</v>
      </c>
      <c r="Q421" s="33">
        <f ca="1"/>
        <v>25.250500000000006</v>
      </c>
      <c r="R421" s="33">
        <f ca="1"/>
        <v>25.387000000000004</v>
      </c>
    </row>
    <row r="422" spans="1:18" x14ac:dyDescent="0.2">
      <c r="A422" s="2">
        <v>421</v>
      </c>
      <c r="B422" s="65">
        <v>45730</v>
      </c>
      <c r="C422" s="70">
        <v>0.29320601851851852</v>
      </c>
      <c r="D422" s="66" t="s">
        <v>98</v>
      </c>
      <c r="G422" s="66" t="s">
        <v>119</v>
      </c>
      <c r="H422" s="66" t="s">
        <v>100</v>
      </c>
      <c r="I422" s="33" t="str">
        <f ca="1"/>
        <v>25,56</v>
      </c>
      <c r="J422" s="2">
        <v>422</v>
      </c>
      <c r="K422" s="2" t="str">
        <v>No Match</v>
      </c>
      <c r="M422" s="33">
        <f ca="1"/>
        <v>25.56</v>
      </c>
      <c r="N422" s="2" t="e">
        <f ca="1"/>
        <v>#N/A</v>
      </c>
      <c r="O422" s="2" t="e">
        <f ca="1"/>
        <v>#N/A</v>
      </c>
      <c r="P422" s="2" t="e">
        <f ca="1"/>
        <v>#N/A</v>
      </c>
      <c r="Q422" s="33" t="e">
        <f ca="1"/>
        <v>#N/A</v>
      </c>
      <c r="R422" s="33" t="e">
        <f ca="1"/>
        <v>#N/A</v>
      </c>
    </row>
    <row r="423" spans="1:18" x14ac:dyDescent="0.2">
      <c r="A423" s="2">
        <v>422</v>
      </c>
      <c r="B423" s="65">
        <v>45730</v>
      </c>
      <c r="C423" s="70">
        <v>0.29438657407407409</v>
      </c>
      <c r="D423" s="66" t="s">
        <v>98</v>
      </c>
      <c r="G423" s="66" t="s">
        <v>141</v>
      </c>
      <c r="H423" s="66" t="s">
        <v>100</v>
      </c>
      <c r="I423" s="33" t="str">
        <f ca="1"/>
        <v>25,50</v>
      </c>
      <c r="J423" s="2">
        <v>423</v>
      </c>
      <c r="K423" s="2" t="str">
        <v>No Match</v>
      </c>
      <c r="M423" s="33">
        <f ca="1"/>
        <v>25.5</v>
      </c>
      <c r="N423" s="2" t="e">
        <f ca="1"/>
        <v>#N/A</v>
      </c>
      <c r="O423" s="2" t="e">
        <f ca="1"/>
        <v>#N/A</v>
      </c>
      <c r="P423" s="2" t="e">
        <f ca="1"/>
        <v>#N/A</v>
      </c>
      <c r="Q423" s="33" t="e">
        <f ca="1"/>
        <v>#N/A</v>
      </c>
      <c r="R423" s="33" t="e">
        <f ca="1"/>
        <v>#N/A</v>
      </c>
    </row>
    <row r="424" spans="1:18" x14ac:dyDescent="0.2">
      <c r="A424" s="2">
        <v>423</v>
      </c>
      <c r="B424" s="65">
        <v>45730</v>
      </c>
      <c r="C424" s="70">
        <v>0.29575231481481479</v>
      </c>
      <c r="D424" s="66" t="s">
        <v>98</v>
      </c>
      <c r="G424" s="66" t="s">
        <v>101</v>
      </c>
      <c r="H424" s="66" t="s">
        <v>100</v>
      </c>
      <c r="I424" s="33" t="str">
        <f ca="1"/>
        <v>25,64</v>
      </c>
      <c r="J424" s="2">
        <v>424</v>
      </c>
      <c r="K424" s="2" t="str">
        <v>No Match</v>
      </c>
      <c r="M424" s="33">
        <f ca="1"/>
        <v>25.64</v>
      </c>
      <c r="N424" s="2" t="e">
        <f ca="1"/>
        <v>#N/A</v>
      </c>
      <c r="O424" s="2" t="e">
        <f ca="1"/>
        <v>#N/A</v>
      </c>
      <c r="P424" s="2" t="e">
        <f ca="1"/>
        <v>#N/A</v>
      </c>
      <c r="Q424" s="33" t="e">
        <f ca="1"/>
        <v>#N/A</v>
      </c>
      <c r="R424" s="33" t="e">
        <f ca="1"/>
        <v>#N/A</v>
      </c>
    </row>
    <row r="425" spans="1:18" x14ac:dyDescent="0.2">
      <c r="A425" s="2">
        <v>424</v>
      </c>
      <c r="B425" s="65">
        <v>45730</v>
      </c>
      <c r="C425" s="70">
        <v>0.29798611111111112</v>
      </c>
      <c r="D425" s="66" t="s">
        <v>98</v>
      </c>
      <c r="G425" s="66" t="s">
        <v>105</v>
      </c>
      <c r="H425" s="66" t="s">
        <v>100</v>
      </c>
      <c r="I425" s="33" t="str">
        <f ca="1"/>
        <v>25,39</v>
      </c>
      <c r="J425" s="2">
        <v>425</v>
      </c>
      <c r="K425" s="2" t="str">
        <v>No Match</v>
      </c>
      <c r="M425" s="33">
        <f ca="1"/>
        <v>25.39</v>
      </c>
      <c r="N425" s="2" t="e">
        <f ca="1"/>
        <v>#N/A</v>
      </c>
      <c r="O425" s="2" t="e">
        <f ca="1"/>
        <v>#N/A</v>
      </c>
      <c r="P425" s="2" t="e">
        <f ca="1"/>
        <v>#N/A</v>
      </c>
      <c r="Q425" s="33" t="e">
        <f ca="1"/>
        <v>#N/A</v>
      </c>
      <c r="R425" s="33" t="e">
        <f ca="1"/>
        <v>#N/A</v>
      </c>
    </row>
    <row r="426" spans="1:18" x14ac:dyDescent="0.2">
      <c r="A426" s="2">
        <v>425</v>
      </c>
      <c r="B426" s="65">
        <v>45730</v>
      </c>
      <c r="C426" s="70">
        <v>0.30034722222222221</v>
      </c>
      <c r="D426" s="66" t="s">
        <v>98</v>
      </c>
      <c r="G426" s="66" t="s">
        <v>202</v>
      </c>
      <c r="H426" s="66" t="s">
        <v>100</v>
      </c>
      <c r="I426" s="33" t="str">
        <f ca="1"/>
        <v>25,31</v>
      </c>
      <c r="J426" s="2">
        <v>426</v>
      </c>
      <c r="K426" s="2" t="str">
        <v>No Match</v>
      </c>
      <c r="M426" s="33">
        <f ca="1"/>
        <v>25.31</v>
      </c>
      <c r="N426" s="2" t="e">
        <f ca="1"/>
        <v>#N/A</v>
      </c>
      <c r="O426" s="2" t="e">
        <f ca="1"/>
        <v>#N/A</v>
      </c>
      <c r="P426" s="2" t="e">
        <f ca="1"/>
        <v>#N/A</v>
      </c>
      <c r="Q426" s="33" t="e">
        <f ca="1"/>
        <v>#N/A</v>
      </c>
      <c r="R426" s="33" t="e">
        <f ca="1"/>
        <v>#N/A</v>
      </c>
    </row>
    <row r="427" spans="1:18" x14ac:dyDescent="0.2">
      <c r="A427" s="2">
        <v>426</v>
      </c>
      <c r="B427" s="65">
        <v>45730</v>
      </c>
      <c r="C427" s="70">
        <v>0.30239583333333331</v>
      </c>
      <c r="D427" s="66" t="s">
        <v>98</v>
      </c>
      <c r="G427" s="66" t="s">
        <v>182</v>
      </c>
      <c r="H427" s="66" t="s">
        <v>100</v>
      </c>
      <c r="I427" s="33" t="str">
        <f ca="1"/>
        <v>25,29</v>
      </c>
      <c r="J427" s="2">
        <v>427</v>
      </c>
      <c r="K427" s="2" t="str">
        <v>No Match</v>
      </c>
      <c r="M427" s="33">
        <f ca="1"/>
        <v>25.29</v>
      </c>
      <c r="N427" s="2" t="e">
        <f ca="1"/>
        <v>#N/A</v>
      </c>
      <c r="O427" s="2" t="e">
        <f ca="1"/>
        <v>#N/A</v>
      </c>
      <c r="P427" s="2" t="e">
        <f ca="1"/>
        <v>#N/A</v>
      </c>
      <c r="Q427" s="33" t="e">
        <f ca="1"/>
        <v>#N/A</v>
      </c>
      <c r="R427" s="33" t="e">
        <f ca="1"/>
        <v>#N/A</v>
      </c>
    </row>
    <row r="428" spans="1:18" x14ac:dyDescent="0.2">
      <c r="A428" s="2">
        <v>427</v>
      </c>
      <c r="B428" s="65">
        <v>45730</v>
      </c>
      <c r="C428" s="70">
        <v>0.30442129629629627</v>
      </c>
      <c r="D428" s="66" t="s">
        <v>98</v>
      </c>
      <c r="G428" s="66" t="s">
        <v>139</v>
      </c>
      <c r="H428" s="66" t="s">
        <v>100</v>
      </c>
      <c r="I428" s="33" t="str">
        <f ca="1"/>
        <v>25,35</v>
      </c>
      <c r="J428" s="2">
        <v>428</v>
      </c>
      <c r="K428" s="2" t="str">
        <v>No Match</v>
      </c>
      <c r="M428" s="33">
        <f ca="1"/>
        <v>25.35</v>
      </c>
      <c r="N428" s="2" t="e">
        <f ca="1"/>
        <v>#N/A</v>
      </c>
      <c r="O428" s="2" t="e">
        <f ca="1"/>
        <v>#N/A</v>
      </c>
      <c r="P428" s="2" t="e">
        <f ca="1"/>
        <v>#N/A</v>
      </c>
      <c r="Q428" s="33" t="e">
        <f ca="1"/>
        <v>#N/A</v>
      </c>
      <c r="R428" s="33" t="e">
        <f ca="1"/>
        <v>#N/A</v>
      </c>
    </row>
    <row r="429" spans="1:18" x14ac:dyDescent="0.2">
      <c r="A429" s="2">
        <v>428</v>
      </c>
      <c r="B429" s="65">
        <v>45730</v>
      </c>
      <c r="C429" s="70">
        <v>0.30509259259259258</v>
      </c>
      <c r="D429" s="66" t="s">
        <v>98</v>
      </c>
      <c r="G429" s="66" t="s">
        <v>143</v>
      </c>
      <c r="H429" s="66" t="s">
        <v>100</v>
      </c>
      <c r="I429" s="33" t="str">
        <f ca="1"/>
        <v>25,53</v>
      </c>
      <c r="J429" s="2">
        <v>429</v>
      </c>
      <c r="K429" s="2" t="str">
        <v>No Match</v>
      </c>
      <c r="M429" s="33">
        <f ca="1"/>
        <v>25.53</v>
      </c>
      <c r="N429" s="2" t="e">
        <f ca="1"/>
        <v>#N/A</v>
      </c>
      <c r="O429" s="2" t="e">
        <f ca="1"/>
        <v>#N/A</v>
      </c>
      <c r="P429" s="2" t="e">
        <f ca="1"/>
        <v>#N/A</v>
      </c>
      <c r="Q429" s="33" t="e">
        <f ca="1"/>
        <v>#N/A</v>
      </c>
      <c r="R429" s="33" t="e">
        <f ca="1"/>
        <v>#N/A</v>
      </c>
    </row>
    <row r="430" spans="1:18" x14ac:dyDescent="0.2">
      <c r="A430" s="2">
        <v>429</v>
      </c>
      <c r="B430" s="65">
        <v>45730</v>
      </c>
      <c r="C430" s="70">
        <v>0.30534722222222221</v>
      </c>
      <c r="D430" s="66" t="s">
        <v>98</v>
      </c>
      <c r="G430" s="66" t="s">
        <v>165</v>
      </c>
      <c r="H430" s="66" t="s">
        <v>100</v>
      </c>
      <c r="I430" s="33" t="str">
        <f ca="1"/>
        <v>25,42</v>
      </c>
      <c r="J430" s="2">
        <v>430</v>
      </c>
      <c r="K430" s="2" t="str">
        <v>No Match</v>
      </c>
      <c r="M430" s="33">
        <f ca="1"/>
        <v>25.42</v>
      </c>
      <c r="N430" s="2" t="e">
        <f ca="1"/>
        <v>#N/A</v>
      </c>
      <c r="O430" s="2" t="e">
        <f ca="1"/>
        <v>#N/A</v>
      </c>
      <c r="P430" s="2" t="e">
        <f ca="1"/>
        <v>#N/A</v>
      </c>
      <c r="Q430" s="33" t="e">
        <f ca="1"/>
        <v>#N/A</v>
      </c>
      <c r="R430" s="33" t="e">
        <f ca="1"/>
        <v>#N/A</v>
      </c>
    </row>
    <row r="431" spans="1:18" x14ac:dyDescent="0.2">
      <c r="A431" s="2">
        <v>430</v>
      </c>
      <c r="B431" s="65">
        <v>45730</v>
      </c>
      <c r="C431" s="70">
        <v>0.30548611111111112</v>
      </c>
      <c r="D431" s="66" t="s">
        <v>98</v>
      </c>
      <c r="G431" s="66" t="s">
        <v>165</v>
      </c>
      <c r="H431" s="66" t="s">
        <v>100</v>
      </c>
      <c r="I431" s="33" t="str">
        <f ca="1"/>
        <v>25,42</v>
      </c>
      <c r="J431" s="2">
        <v>431</v>
      </c>
      <c r="K431" s="2" t="str">
        <v>No Match</v>
      </c>
      <c r="M431" s="33">
        <f ca="1"/>
        <v>25.42</v>
      </c>
      <c r="N431" s="2">
        <f ca="1"/>
        <v>25</v>
      </c>
      <c r="O431" s="2">
        <f ca="1"/>
        <v>24.625</v>
      </c>
      <c r="P431" s="2">
        <f ca="1"/>
        <v>25.375</v>
      </c>
      <c r="Q431" s="33">
        <f ca="1"/>
        <v>25.254930232558145</v>
      </c>
      <c r="R431" s="33">
        <f ca="1"/>
        <v>25.441000000000003</v>
      </c>
    </row>
    <row r="432" spans="1:18" x14ac:dyDescent="0.2">
      <c r="A432" s="2">
        <v>431</v>
      </c>
      <c r="B432" s="65">
        <v>45730</v>
      </c>
      <c r="C432" s="70">
        <v>0.30686342592592591</v>
      </c>
      <c r="D432" s="66" t="s">
        <v>98</v>
      </c>
      <c r="G432" s="66" t="s">
        <v>107</v>
      </c>
      <c r="H432" s="66" t="s">
        <v>100</v>
      </c>
      <c r="I432" s="33" t="str">
        <f ca="1"/>
        <v>25,43</v>
      </c>
      <c r="J432" s="2">
        <v>432</v>
      </c>
      <c r="K432" s="2" t="str">
        <v>No Match</v>
      </c>
      <c r="M432" s="33">
        <f ca="1"/>
        <v>25.43</v>
      </c>
      <c r="N432" s="2" t="e">
        <f ca="1"/>
        <v>#N/A</v>
      </c>
      <c r="O432" s="2" t="e">
        <f ca="1"/>
        <v>#N/A</v>
      </c>
      <c r="P432" s="2" t="e">
        <f ca="1"/>
        <v>#N/A</v>
      </c>
      <c r="Q432" s="33" t="e">
        <f ca="1"/>
        <v>#N/A</v>
      </c>
      <c r="R432" s="33" t="e">
        <f ca="1"/>
        <v>#N/A</v>
      </c>
    </row>
    <row r="433" spans="1:18" x14ac:dyDescent="0.2">
      <c r="A433" s="2">
        <v>432</v>
      </c>
      <c r="B433" s="65">
        <v>45730</v>
      </c>
      <c r="C433" s="70">
        <v>0.31321759259259258</v>
      </c>
      <c r="D433" s="66" t="s">
        <v>98</v>
      </c>
      <c r="G433" s="66" t="s">
        <v>138</v>
      </c>
      <c r="H433" s="66" t="s">
        <v>100</v>
      </c>
      <c r="I433" s="33" t="str">
        <f ca="1"/>
        <v>25,32</v>
      </c>
      <c r="J433" s="2">
        <v>433</v>
      </c>
      <c r="K433" s="2" t="str">
        <v>No Match</v>
      </c>
      <c r="M433" s="33">
        <f ca="1"/>
        <v>25.32</v>
      </c>
      <c r="N433" s="2" t="e">
        <f ca="1"/>
        <v>#N/A</v>
      </c>
      <c r="O433" s="2" t="e">
        <f ca="1"/>
        <v>#N/A</v>
      </c>
      <c r="P433" s="2" t="e">
        <f ca="1"/>
        <v>#N/A</v>
      </c>
      <c r="Q433" s="33" t="e">
        <f ca="1"/>
        <v>#N/A</v>
      </c>
      <c r="R433" s="33" t="e">
        <f ca="1"/>
        <v>#N/A</v>
      </c>
    </row>
    <row r="434" spans="1:18" x14ac:dyDescent="0.2">
      <c r="A434" s="2">
        <v>433</v>
      </c>
      <c r="B434" s="65">
        <v>45730</v>
      </c>
      <c r="C434" s="70">
        <v>0.31334490740740739</v>
      </c>
      <c r="D434" s="66" t="s">
        <v>98</v>
      </c>
      <c r="G434" s="66" t="s">
        <v>144</v>
      </c>
      <c r="H434" s="66" t="s">
        <v>100</v>
      </c>
      <c r="I434" s="33" t="str">
        <f ca="1"/>
        <v>25,63</v>
      </c>
      <c r="J434" s="2">
        <v>434</v>
      </c>
      <c r="K434" s="2" t="str">
        <v>No Match</v>
      </c>
      <c r="M434" s="33">
        <f ca="1"/>
        <v>25.63</v>
      </c>
      <c r="N434" s="2" t="e">
        <f ca="1"/>
        <v>#N/A</v>
      </c>
      <c r="O434" s="2" t="e">
        <f ca="1"/>
        <v>#N/A</v>
      </c>
      <c r="P434" s="2" t="e">
        <f ca="1"/>
        <v>#N/A</v>
      </c>
      <c r="Q434" s="33" t="e">
        <f ca="1"/>
        <v>#N/A</v>
      </c>
      <c r="R434" s="33" t="e">
        <f ca="1"/>
        <v>#N/A</v>
      </c>
    </row>
    <row r="435" spans="1:18" x14ac:dyDescent="0.2">
      <c r="A435" s="2">
        <v>434</v>
      </c>
      <c r="B435" s="65">
        <v>45730</v>
      </c>
      <c r="C435" s="70">
        <v>0.31457175925925923</v>
      </c>
      <c r="D435" s="66" t="s">
        <v>98</v>
      </c>
      <c r="G435" s="66" t="s">
        <v>165</v>
      </c>
      <c r="H435" s="66" t="s">
        <v>100</v>
      </c>
      <c r="I435" s="33" t="str">
        <f ca="1"/>
        <v>25,42</v>
      </c>
      <c r="J435" s="2">
        <v>435</v>
      </c>
      <c r="K435" s="2" t="str">
        <v>No Match</v>
      </c>
      <c r="M435" s="33">
        <f ca="1"/>
        <v>25.42</v>
      </c>
      <c r="N435" s="2" t="e">
        <f ca="1"/>
        <v>#N/A</v>
      </c>
      <c r="O435" s="2" t="e">
        <f ca="1"/>
        <v>#N/A</v>
      </c>
      <c r="P435" s="2" t="e">
        <f ca="1"/>
        <v>#N/A</v>
      </c>
      <c r="Q435" s="33" t="e">
        <f ca="1"/>
        <v>#N/A</v>
      </c>
      <c r="R435" s="33" t="e">
        <f ca="1"/>
        <v>#N/A</v>
      </c>
    </row>
    <row r="436" spans="1:18" x14ac:dyDescent="0.2">
      <c r="A436" s="2">
        <v>435</v>
      </c>
      <c r="B436" s="65">
        <v>45730</v>
      </c>
      <c r="C436" s="70">
        <v>0.31635416666666666</v>
      </c>
      <c r="D436" s="66" t="s">
        <v>98</v>
      </c>
      <c r="G436" s="66" t="s">
        <v>195</v>
      </c>
      <c r="H436" s="66" t="s">
        <v>100</v>
      </c>
      <c r="I436" s="33" t="str">
        <f ca="1"/>
        <v>25,60</v>
      </c>
      <c r="J436" s="2">
        <v>436</v>
      </c>
      <c r="K436" s="2" t="str">
        <v>No Match</v>
      </c>
      <c r="M436" s="33">
        <f ca="1"/>
        <v>25.6</v>
      </c>
      <c r="N436" s="2" t="e">
        <f ca="1"/>
        <v>#N/A</v>
      </c>
      <c r="O436" s="2" t="e">
        <f ca="1"/>
        <v>#N/A</v>
      </c>
      <c r="P436" s="2" t="e">
        <f ca="1"/>
        <v>#N/A</v>
      </c>
      <c r="Q436" s="33" t="e">
        <f ca="1"/>
        <v>#N/A</v>
      </c>
      <c r="R436" s="33" t="e">
        <f ca="1"/>
        <v>#N/A</v>
      </c>
    </row>
    <row r="437" spans="1:18" x14ac:dyDescent="0.2">
      <c r="A437" s="2">
        <v>436</v>
      </c>
      <c r="B437" s="65">
        <v>45730</v>
      </c>
      <c r="C437" s="70">
        <v>0.3168287037037037</v>
      </c>
      <c r="D437" s="66" t="s">
        <v>98</v>
      </c>
      <c r="G437" s="66" t="s">
        <v>138</v>
      </c>
      <c r="H437" s="66" t="s">
        <v>100</v>
      </c>
      <c r="I437" s="33" t="str">
        <f ca="1"/>
        <v>25,32</v>
      </c>
      <c r="J437" s="2">
        <v>437</v>
      </c>
      <c r="K437" s="2" t="str">
        <v>No Match</v>
      </c>
      <c r="M437" s="33">
        <f ca="1"/>
        <v>25.32</v>
      </c>
      <c r="N437" s="2" t="e">
        <f ca="1"/>
        <v>#N/A</v>
      </c>
      <c r="O437" s="2" t="e">
        <f ca="1"/>
        <v>#N/A</v>
      </c>
      <c r="P437" s="2" t="e">
        <f ca="1"/>
        <v>#N/A</v>
      </c>
      <c r="Q437" s="33" t="e">
        <f ca="1"/>
        <v>#N/A</v>
      </c>
      <c r="R437" s="33" t="e">
        <f ca="1"/>
        <v>#N/A</v>
      </c>
    </row>
    <row r="438" spans="1:18" x14ac:dyDescent="0.2">
      <c r="A438" s="2">
        <v>437</v>
      </c>
      <c r="B438" s="65">
        <v>45730</v>
      </c>
      <c r="C438" s="70">
        <v>0.31712962962962965</v>
      </c>
      <c r="D438" s="66" t="s">
        <v>98</v>
      </c>
      <c r="G438" s="66" t="s">
        <v>116</v>
      </c>
      <c r="H438" s="66" t="s">
        <v>100</v>
      </c>
      <c r="I438" s="33" t="str">
        <f ca="1"/>
        <v>25,33</v>
      </c>
      <c r="J438" s="2">
        <v>438</v>
      </c>
      <c r="K438" s="2" t="str">
        <v>No Match</v>
      </c>
      <c r="M438" s="33">
        <f ca="1"/>
        <v>25.33</v>
      </c>
      <c r="N438" s="2" t="e">
        <f ca="1"/>
        <v>#N/A</v>
      </c>
      <c r="O438" s="2" t="e">
        <f ca="1"/>
        <v>#N/A</v>
      </c>
      <c r="P438" s="2" t="e">
        <f ca="1"/>
        <v>#N/A</v>
      </c>
      <c r="Q438" s="33" t="e">
        <f ca="1"/>
        <v>#N/A</v>
      </c>
      <c r="R438" s="33" t="e">
        <f ca="1"/>
        <v>#N/A</v>
      </c>
    </row>
    <row r="439" spans="1:18" x14ac:dyDescent="0.2">
      <c r="A439" s="2">
        <v>438</v>
      </c>
      <c r="B439" s="65">
        <v>45730</v>
      </c>
      <c r="C439" s="70">
        <v>0.31766203703703705</v>
      </c>
      <c r="D439" s="66" t="s">
        <v>98</v>
      </c>
      <c r="G439" s="66" t="s">
        <v>131</v>
      </c>
      <c r="H439" s="66" t="s">
        <v>100</v>
      </c>
      <c r="I439" s="33" t="str">
        <f ca="1"/>
        <v>25,24</v>
      </c>
      <c r="J439" s="2">
        <v>439</v>
      </c>
      <c r="K439" s="2" t="str">
        <v>No Match</v>
      </c>
      <c r="M439" s="33">
        <f ca="1"/>
        <v>25.24</v>
      </c>
      <c r="N439" s="2" t="e">
        <f ca="1"/>
        <v>#N/A</v>
      </c>
      <c r="O439" s="2" t="e">
        <f ca="1"/>
        <v>#N/A</v>
      </c>
      <c r="P439" s="2" t="e">
        <f ca="1"/>
        <v>#N/A</v>
      </c>
      <c r="Q439" s="33" t="e">
        <f ca="1"/>
        <v>#N/A</v>
      </c>
      <c r="R439" s="33" t="e">
        <f ca="1"/>
        <v>#N/A</v>
      </c>
    </row>
    <row r="440" spans="1:18" x14ac:dyDescent="0.2">
      <c r="A440" s="2">
        <v>439</v>
      </c>
      <c r="B440" s="65">
        <v>45730</v>
      </c>
      <c r="C440" s="70">
        <v>0.3192476851851852</v>
      </c>
      <c r="D440" s="66" t="s">
        <v>98</v>
      </c>
      <c r="G440" s="66" t="s">
        <v>133</v>
      </c>
      <c r="H440" s="66" t="s">
        <v>100</v>
      </c>
      <c r="I440" s="33" t="str">
        <f ca="1"/>
        <v>25,41</v>
      </c>
      <c r="J440" s="2">
        <v>440</v>
      </c>
      <c r="K440" s="2" t="str">
        <v>No Match</v>
      </c>
      <c r="M440" s="33">
        <f ca="1"/>
        <v>25.41</v>
      </c>
      <c r="N440" s="2" t="e">
        <f ca="1"/>
        <v>#N/A</v>
      </c>
      <c r="O440" s="2" t="e">
        <f ca="1"/>
        <v>#N/A</v>
      </c>
      <c r="P440" s="2" t="e">
        <f ca="1"/>
        <v>#N/A</v>
      </c>
      <c r="Q440" s="33" t="e">
        <f ca="1"/>
        <v>#N/A</v>
      </c>
      <c r="R440" s="33" t="e">
        <f ca="1"/>
        <v>#N/A</v>
      </c>
    </row>
    <row r="441" spans="1:18" x14ac:dyDescent="0.2">
      <c r="A441" s="2">
        <v>440</v>
      </c>
      <c r="B441" s="65">
        <v>45730</v>
      </c>
      <c r="C441" s="70">
        <v>0.31929398148148147</v>
      </c>
      <c r="D441" s="66" t="s">
        <v>98</v>
      </c>
      <c r="G441" s="66" t="s">
        <v>131</v>
      </c>
      <c r="H441" s="66" t="s">
        <v>100</v>
      </c>
      <c r="I441" s="33" t="str">
        <f ca="1"/>
        <v>25,24</v>
      </c>
      <c r="J441" s="2">
        <v>441</v>
      </c>
      <c r="K441" s="2" t="str">
        <v>No Match</v>
      </c>
      <c r="M441" s="33">
        <f ca="1"/>
        <v>25.24</v>
      </c>
      <c r="N441" s="2">
        <f ca="1"/>
        <v>25</v>
      </c>
      <c r="O441" s="2">
        <f ca="1"/>
        <v>24.625</v>
      </c>
      <c r="P441" s="2">
        <f ca="1"/>
        <v>25.375</v>
      </c>
      <c r="Q441" s="33">
        <f ca="1"/>
        <v>25.258090909090914</v>
      </c>
      <c r="R441" s="33">
        <f ca="1"/>
        <v>25.394000000000002</v>
      </c>
    </row>
    <row r="442" spans="1:18" x14ac:dyDescent="0.2">
      <c r="A442" s="2">
        <v>441</v>
      </c>
      <c r="B442" s="65">
        <v>45730</v>
      </c>
      <c r="C442" s="70">
        <v>0.31993055555555555</v>
      </c>
      <c r="D442" s="66" t="s">
        <v>98</v>
      </c>
      <c r="G442" s="66" t="s">
        <v>143</v>
      </c>
      <c r="H442" s="66" t="s">
        <v>100</v>
      </c>
      <c r="I442" s="33" t="str">
        <f ca="1"/>
        <v>25,53</v>
      </c>
      <c r="J442" s="2">
        <v>442</v>
      </c>
      <c r="K442" s="2" t="str">
        <v>No Match</v>
      </c>
      <c r="M442" s="33">
        <f ca="1"/>
        <v>25.53</v>
      </c>
      <c r="N442" s="2" t="e">
        <f ca="1"/>
        <v>#N/A</v>
      </c>
      <c r="O442" s="2" t="e">
        <f ca="1"/>
        <v>#N/A</v>
      </c>
      <c r="P442" s="2" t="e">
        <f ca="1"/>
        <v>#N/A</v>
      </c>
      <c r="Q442" s="33" t="e">
        <f ca="1"/>
        <v>#N/A</v>
      </c>
      <c r="R442" s="33" t="e">
        <f ca="1"/>
        <v>#N/A</v>
      </c>
    </row>
    <row r="443" spans="1:18" x14ac:dyDescent="0.2">
      <c r="A443" s="2">
        <v>442</v>
      </c>
      <c r="B443" s="65">
        <v>45730</v>
      </c>
      <c r="C443" s="70">
        <v>0.32063657407407409</v>
      </c>
      <c r="D443" s="66" t="s">
        <v>98</v>
      </c>
      <c r="G443" s="66" t="s">
        <v>141</v>
      </c>
      <c r="H443" s="66" t="s">
        <v>100</v>
      </c>
      <c r="I443" s="33" t="str">
        <f ca="1"/>
        <v>25,50</v>
      </c>
      <c r="J443" s="2">
        <v>443</v>
      </c>
      <c r="K443" s="2" t="str">
        <v>No Match</v>
      </c>
      <c r="M443" s="33">
        <f ca="1"/>
        <v>25.5</v>
      </c>
      <c r="N443" s="2" t="e">
        <f ca="1"/>
        <v>#N/A</v>
      </c>
      <c r="O443" s="2" t="e">
        <f ca="1"/>
        <v>#N/A</v>
      </c>
      <c r="P443" s="2" t="e">
        <f ca="1"/>
        <v>#N/A</v>
      </c>
      <c r="Q443" s="33" t="e">
        <f ca="1"/>
        <v>#N/A</v>
      </c>
      <c r="R443" s="33" t="e">
        <f ca="1"/>
        <v>#N/A</v>
      </c>
    </row>
    <row r="444" spans="1:18" x14ac:dyDescent="0.2">
      <c r="A444" s="2">
        <v>443</v>
      </c>
      <c r="B444" s="65">
        <v>45730</v>
      </c>
      <c r="C444" s="70">
        <v>0.32218750000000002</v>
      </c>
      <c r="D444" s="66" t="s">
        <v>98</v>
      </c>
      <c r="G444" s="66" t="s">
        <v>146</v>
      </c>
      <c r="H444" s="66" t="s">
        <v>100</v>
      </c>
      <c r="I444" s="33" t="str">
        <f ca="1"/>
        <v>25,37</v>
      </c>
      <c r="J444" s="2">
        <v>444</v>
      </c>
      <c r="K444" s="2" t="str">
        <v>No Match</v>
      </c>
      <c r="M444" s="33">
        <f ca="1"/>
        <v>25.37</v>
      </c>
      <c r="N444" s="2" t="e">
        <f ca="1"/>
        <v>#N/A</v>
      </c>
      <c r="O444" s="2" t="e">
        <f ca="1"/>
        <v>#N/A</v>
      </c>
      <c r="P444" s="2" t="e">
        <f ca="1"/>
        <v>#N/A</v>
      </c>
      <c r="Q444" s="33" t="e">
        <f ca="1"/>
        <v>#N/A</v>
      </c>
      <c r="R444" s="33" t="e">
        <f ca="1"/>
        <v>#N/A</v>
      </c>
    </row>
    <row r="445" spans="1:18" x14ac:dyDescent="0.2">
      <c r="A445" s="2">
        <v>444</v>
      </c>
      <c r="B445" s="65">
        <v>45730</v>
      </c>
      <c r="C445" s="70">
        <v>0.32263888888888886</v>
      </c>
      <c r="D445" s="66" t="s">
        <v>98</v>
      </c>
      <c r="G445" s="66" t="s">
        <v>159</v>
      </c>
      <c r="H445" s="66" t="s">
        <v>100</v>
      </c>
      <c r="I445" s="33" t="str">
        <f ca="1"/>
        <v>25,26</v>
      </c>
      <c r="J445" s="2">
        <v>445</v>
      </c>
      <c r="K445" s="2" t="str">
        <v>No Match</v>
      </c>
      <c r="M445" s="33">
        <f ca="1"/>
        <v>25.26</v>
      </c>
      <c r="N445" s="2" t="e">
        <f ca="1"/>
        <v>#N/A</v>
      </c>
      <c r="O445" s="2" t="e">
        <f ca="1"/>
        <v>#N/A</v>
      </c>
      <c r="P445" s="2" t="e">
        <f ca="1"/>
        <v>#N/A</v>
      </c>
      <c r="Q445" s="33" t="e">
        <f ca="1"/>
        <v>#N/A</v>
      </c>
      <c r="R445" s="33" t="e">
        <f ca="1"/>
        <v>#N/A</v>
      </c>
    </row>
    <row r="446" spans="1:18" x14ac:dyDescent="0.2">
      <c r="A446" s="2">
        <v>445</v>
      </c>
      <c r="B446" s="65">
        <v>45730</v>
      </c>
      <c r="C446" s="70">
        <v>0.32517361111111109</v>
      </c>
      <c r="D446" s="66" t="s">
        <v>98</v>
      </c>
      <c r="G446" s="66" t="s">
        <v>120</v>
      </c>
      <c r="H446" s="66" t="s">
        <v>100</v>
      </c>
      <c r="I446" s="33" t="str">
        <f ca="1"/>
        <v>25,34</v>
      </c>
      <c r="J446" s="2">
        <v>446</v>
      </c>
      <c r="K446" s="2" t="str">
        <v>No Match</v>
      </c>
      <c r="M446" s="33">
        <f ca="1"/>
        <v>25.34</v>
      </c>
      <c r="N446" s="2" t="e">
        <f ca="1"/>
        <v>#N/A</v>
      </c>
      <c r="O446" s="2" t="e">
        <f ca="1"/>
        <v>#N/A</v>
      </c>
      <c r="P446" s="2" t="e">
        <f ca="1"/>
        <v>#N/A</v>
      </c>
      <c r="Q446" s="33" t="e">
        <f ca="1"/>
        <v>#N/A</v>
      </c>
      <c r="R446" s="33" t="e">
        <f ca="1"/>
        <v>#N/A</v>
      </c>
    </row>
    <row r="447" spans="1:18" x14ac:dyDescent="0.2">
      <c r="A447" s="2">
        <v>446</v>
      </c>
      <c r="B447" s="65">
        <v>45730</v>
      </c>
      <c r="C447" s="70">
        <v>0.32686342592592593</v>
      </c>
      <c r="D447" s="66" t="s">
        <v>98</v>
      </c>
      <c r="G447" s="66" t="s">
        <v>161</v>
      </c>
      <c r="H447" s="66" t="s">
        <v>100</v>
      </c>
      <c r="I447" s="33" t="str">
        <f ca="1"/>
        <v>25,38</v>
      </c>
      <c r="J447" s="2">
        <v>447</v>
      </c>
      <c r="K447" s="2" t="str">
        <v>No Match</v>
      </c>
      <c r="M447" s="33">
        <f ca="1"/>
        <v>25.38</v>
      </c>
      <c r="N447" s="2" t="e">
        <f ca="1"/>
        <v>#N/A</v>
      </c>
      <c r="O447" s="2" t="e">
        <f ca="1"/>
        <v>#N/A</v>
      </c>
      <c r="P447" s="2" t="e">
        <f ca="1"/>
        <v>#N/A</v>
      </c>
      <c r="Q447" s="33" t="e">
        <f ca="1"/>
        <v>#N/A</v>
      </c>
      <c r="R447" s="33" t="e">
        <f ca="1"/>
        <v>#N/A</v>
      </c>
    </row>
    <row r="448" spans="1:18" x14ac:dyDescent="0.2">
      <c r="A448" s="2">
        <v>447</v>
      </c>
      <c r="B448" s="65">
        <v>45730</v>
      </c>
      <c r="C448" s="70">
        <v>0.32872685185185185</v>
      </c>
      <c r="D448" s="66" t="s">
        <v>98</v>
      </c>
      <c r="G448" s="66" t="s">
        <v>247</v>
      </c>
      <c r="H448" s="66" t="s">
        <v>100</v>
      </c>
      <c r="I448" s="33" t="str">
        <f ca="1"/>
        <v>24,65</v>
      </c>
      <c r="J448" s="2">
        <v>448</v>
      </c>
      <c r="K448" s="2" t="str">
        <v>No Match</v>
      </c>
      <c r="M448" s="33">
        <f ca="1"/>
        <v>24.65</v>
      </c>
      <c r="N448" s="2" t="e">
        <f ca="1"/>
        <v>#N/A</v>
      </c>
      <c r="O448" s="2" t="e">
        <f ca="1"/>
        <v>#N/A</v>
      </c>
      <c r="P448" s="2" t="e">
        <f ca="1"/>
        <v>#N/A</v>
      </c>
      <c r="Q448" s="33" t="e">
        <f ca="1"/>
        <v>#N/A</v>
      </c>
      <c r="R448" s="33" t="e">
        <f ca="1"/>
        <v>#N/A</v>
      </c>
    </row>
    <row r="449" spans="1:18" x14ac:dyDescent="0.2">
      <c r="A449" s="2">
        <v>448</v>
      </c>
      <c r="B449" s="65">
        <v>45730</v>
      </c>
      <c r="C449" s="70">
        <v>0.32890046296296294</v>
      </c>
      <c r="D449" s="66" t="s">
        <v>98</v>
      </c>
      <c r="G449" s="66" t="s">
        <v>230</v>
      </c>
      <c r="H449" s="66" t="s">
        <v>100</v>
      </c>
      <c r="I449" s="33" t="str">
        <f ca="1"/>
        <v>24,44</v>
      </c>
      <c r="J449" s="2">
        <v>449</v>
      </c>
      <c r="K449" s="2" t="str">
        <v>No Match</v>
      </c>
      <c r="M449" s="33">
        <f ca="1"/>
        <v>24.44</v>
      </c>
      <c r="N449" s="2" t="e">
        <f ca="1"/>
        <v>#N/A</v>
      </c>
      <c r="O449" s="2" t="e">
        <f ca="1"/>
        <v>#N/A</v>
      </c>
      <c r="P449" s="2" t="e">
        <f ca="1"/>
        <v>#N/A</v>
      </c>
      <c r="Q449" s="33" t="e">
        <f ca="1"/>
        <v>#N/A</v>
      </c>
      <c r="R449" s="33" t="e">
        <f ca="1"/>
        <v>#N/A</v>
      </c>
    </row>
    <row r="450" spans="1:18" x14ac:dyDescent="0.2">
      <c r="A450" s="2">
        <v>449</v>
      </c>
      <c r="B450" s="65">
        <v>45730</v>
      </c>
      <c r="C450" s="70">
        <v>0.33504629629629629</v>
      </c>
      <c r="D450" s="66" t="s">
        <v>98</v>
      </c>
      <c r="G450" s="66" t="s">
        <v>133</v>
      </c>
      <c r="H450" s="66" t="s">
        <v>100</v>
      </c>
      <c r="I450" s="33" t="str">
        <f ca="1"/>
        <v>25,41</v>
      </c>
      <c r="J450" s="2">
        <v>450</v>
      </c>
      <c r="K450" s="2" t="str">
        <v>No Match</v>
      </c>
      <c r="M450" s="33">
        <f ca="1"/>
        <v>25.41</v>
      </c>
      <c r="N450" s="2" t="e">
        <f ca="1"/>
        <v>#N/A</v>
      </c>
      <c r="O450" s="2" t="e">
        <f ca="1"/>
        <v>#N/A</v>
      </c>
      <c r="P450" s="2" t="e">
        <f ca="1"/>
        <v>#N/A</v>
      </c>
      <c r="Q450" s="33" t="e">
        <f ca="1"/>
        <v>#N/A</v>
      </c>
      <c r="R450" s="33" t="e">
        <f ca="1"/>
        <v>#N/A</v>
      </c>
    </row>
    <row r="451" spans="1:18" x14ac:dyDescent="0.2">
      <c r="A451" s="2">
        <v>450</v>
      </c>
      <c r="B451" s="65">
        <v>45730</v>
      </c>
      <c r="C451" s="70">
        <v>0.33568287037037037</v>
      </c>
      <c r="D451" s="66" t="s">
        <v>98</v>
      </c>
      <c r="G451" s="66" t="s">
        <v>146</v>
      </c>
      <c r="H451" s="66" t="s">
        <v>100</v>
      </c>
      <c r="I451" s="33" t="str">
        <f ca="1"/>
        <v>25,37</v>
      </c>
      <c r="J451" s="2">
        <v>451</v>
      </c>
      <c r="K451" s="2" t="str">
        <v>No Match</v>
      </c>
      <c r="M451" s="33">
        <f ca="1"/>
        <v>25.37</v>
      </c>
      <c r="N451" s="2">
        <f ca="1"/>
        <v>25</v>
      </c>
      <c r="O451" s="2">
        <f ca="1"/>
        <v>24.625</v>
      </c>
      <c r="P451" s="2">
        <f ca="1"/>
        <v>25.375</v>
      </c>
      <c r="Q451" s="33">
        <f ca="1"/>
        <v>25.257355555555563</v>
      </c>
      <c r="R451" s="33">
        <f ca="1"/>
        <v>25.225000000000001</v>
      </c>
    </row>
    <row r="452" spans="1:18" x14ac:dyDescent="0.2">
      <c r="A452" s="2">
        <v>451</v>
      </c>
      <c r="B452" s="65">
        <v>45730</v>
      </c>
      <c r="C452" s="70">
        <v>0.33662037037037035</v>
      </c>
      <c r="D452" s="66" t="s">
        <v>98</v>
      </c>
      <c r="G452" s="66" t="s">
        <v>208</v>
      </c>
      <c r="H452" s="66" t="s">
        <v>100</v>
      </c>
      <c r="I452" s="33" t="str">
        <f ca="1"/>
        <v>25,17</v>
      </c>
      <c r="J452" s="2">
        <v>452</v>
      </c>
      <c r="K452" s="2" t="str">
        <v>No Match</v>
      </c>
      <c r="M452" s="33">
        <f ca="1"/>
        <v>25.17</v>
      </c>
      <c r="N452" s="2" t="e">
        <f ca="1"/>
        <v>#N/A</v>
      </c>
      <c r="O452" s="2" t="e">
        <f ca="1"/>
        <v>#N/A</v>
      </c>
      <c r="P452" s="2" t="e">
        <f ca="1"/>
        <v>#N/A</v>
      </c>
      <c r="Q452" s="33" t="e">
        <f ca="1"/>
        <v>#N/A</v>
      </c>
      <c r="R452" s="33" t="e">
        <f ca="1"/>
        <v>#N/A</v>
      </c>
    </row>
    <row r="453" spans="1:18" x14ac:dyDescent="0.2">
      <c r="A453" s="2">
        <v>452</v>
      </c>
      <c r="B453" s="65">
        <v>45730</v>
      </c>
      <c r="C453" s="70">
        <v>0.33667824074074076</v>
      </c>
      <c r="D453" s="66" t="s">
        <v>98</v>
      </c>
      <c r="G453" s="66" t="s">
        <v>116</v>
      </c>
      <c r="H453" s="66" t="s">
        <v>100</v>
      </c>
      <c r="I453" s="33" t="str">
        <f ca="1"/>
        <v>25,33</v>
      </c>
      <c r="J453" s="2">
        <v>453</v>
      </c>
      <c r="K453" s="2" t="str">
        <v>No Match</v>
      </c>
      <c r="M453" s="33">
        <f ca="1"/>
        <v>25.33</v>
      </c>
      <c r="N453" s="2" t="e">
        <f ca="1"/>
        <v>#N/A</v>
      </c>
      <c r="O453" s="2" t="e">
        <f ca="1"/>
        <v>#N/A</v>
      </c>
      <c r="P453" s="2" t="e">
        <f ca="1"/>
        <v>#N/A</v>
      </c>
      <c r="Q453" s="33" t="e">
        <f ca="1"/>
        <v>#N/A</v>
      </c>
      <c r="R453" s="33" t="e">
        <f ca="1"/>
        <v>#N/A</v>
      </c>
    </row>
    <row r="454" spans="1:18" x14ac:dyDescent="0.2">
      <c r="A454" s="2">
        <v>453</v>
      </c>
      <c r="B454" s="65">
        <v>45730</v>
      </c>
      <c r="C454" s="70">
        <v>0.33891203703703704</v>
      </c>
      <c r="D454" s="66" t="s">
        <v>98</v>
      </c>
      <c r="G454" s="66" t="s">
        <v>124</v>
      </c>
      <c r="H454" s="66" t="s">
        <v>100</v>
      </c>
      <c r="I454" s="33" t="str">
        <f ca="1"/>
        <v>25,09</v>
      </c>
      <c r="J454" s="2">
        <v>454</v>
      </c>
      <c r="K454" s="2" t="str">
        <v>No Match</v>
      </c>
      <c r="M454" s="33">
        <f ca="1"/>
        <v>25.09</v>
      </c>
      <c r="N454" s="2" t="e">
        <f ca="1"/>
        <v>#N/A</v>
      </c>
      <c r="O454" s="2" t="e">
        <f ca="1"/>
        <v>#N/A</v>
      </c>
      <c r="P454" s="2" t="e">
        <f ca="1"/>
        <v>#N/A</v>
      </c>
      <c r="Q454" s="33" t="e">
        <f ca="1"/>
        <v>#N/A</v>
      </c>
      <c r="R454" s="33" t="e">
        <f ca="1"/>
        <v>#N/A</v>
      </c>
    </row>
    <row r="455" spans="1:18" x14ac:dyDescent="0.2">
      <c r="A455" s="2">
        <v>454</v>
      </c>
      <c r="B455" s="65">
        <v>45730</v>
      </c>
      <c r="C455" s="70">
        <v>0.34103009259259259</v>
      </c>
      <c r="D455" s="66" t="s">
        <v>98</v>
      </c>
      <c r="G455" s="66" t="s">
        <v>104</v>
      </c>
      <c r="H455" s="66" t="s">
        <v>100</v>
      </c>
      <c r="I455" s="33" t="str">
        <f ca="1"/>
        <v>25,40</v>
      </c>
      <c r="J455" s="2">
        <v>455</v>
      </c>
      <c r="K455" s="2" t="str">
        <v>No Match</v>
      </c>
      <c r="M455" s="33">
        <f ca="1"/>
        <v>25.4</v>
      </c>
      <c r="N455" s="2" t="e">
        <f ca="1"/>
        <v>#N/A</v>
      </c>
      <c r="O455" s="2" t="e">
        <f ca="1"/>
        <v>#N/A</v>
      </c>
      <c r="P455" s="2" t="e">
        <f ca="1"/>
        <v>#N/A</v>
      </c>
      <c r="Q455" s="33" t="e">
        <f ca="1"/>
        <v>#N/A</v>
      </c>
      <c r="R455" s="33" t="e">
        <f ca="1"/>
        <v>#N/A</v>
      </c>
    </row>
    <row r="456" spans="1:18" x14ac:dyDescent="0.2">
      <c r="A456" s="2">
        <v>455</v>
      </c>
      <c r="B456" s="65">
        <v>45730</v>
      </c>
      <c r="C456" s="70">
        <v>0.34247685185185184</v>
      </c>
      <c r="D456" s="66" t="s">
        <v>98</v>
      </c>
      <c r="G456" s="66" t="s">
        <v>138</v>
      </c>
      <c r="H456" s="66" t="s">
        <v>100</v>
      </c>
      <c r="I456" s="33" t="str">
        <f ca="1"/>
        <v>25,32</v>
      </c>
      <c r="J456" s="2">
        <v>456</v>
      </c>
      <c r="K456" s="2" t="str">
        <v>No Match</v>
      </c>
      <c r="M456" s="33">
        <f ca="1"/>
        <v>25.32</v>
      </c>
      <c r="N456" s="2" t="e">
        <f ca="1"/>
        <v>#N/A</v>
      </c>
      <c r="O456" s="2" t="e">
        <f ca="1"/>
        <v>#N/A</v>
      </c>
      <c r="P456" s="2" t="e">
        <f ca="1"/>
        <v>#N/A</v>
      </c>
      <c r="Q456" s="33" t="e">
        <f ca="1"/>
        <v>#N/A</v>
      </c>
      <c r="R456" s="33" t="e">
        <f ca="1"/>
        <v>#N/A</v>
      </c>
    </row>
    <row r="457" spans="1:18" x14ac:dyDescent="0.2">
      <c r="A457" s="2">
        <v>456</v>
      </c>
      <c r="B457" s="65">
        <v>45730</v>
      </c>
      <c r="C457" s="70">
        <v>0.34406249999999999</v>
      </c>
      <c r="D457" s="66" t="s">
        <v>98</v>
      </c>
      <c r="G457" s="66" t="s">
        <v>116</v>
      </c>
      <c r="H457" s="66" t="s">
        <v>100</v>
      </c>
      <c r="I457" s="33" t="str">
        <f ca="1"/>
        <v>25,33</v>
      </c>
      <c r="J457" s="2">
        <v>457</v>
      </c>
      <c r="K457" s="2" t="str">
        <v>No Match</v>
      </c>
      <c r="M457" s="33">
        <f ca="1"/>
        <v>25.33</v>
      </c>
      <c r="N457" s="2" t="e">
        <f ca="1"/>
        <v>#N/A</v>
      </c>
      <c r="O457" s="2" t="e">
        <f ca="1"/>
        <v>#N/A</v>
      </c>
      <c r="P457" s="2" t="e">
        <f ca="1"/>
        <v>#N/A</v>
      </c>
      <c r="Q457" s="33" t="e">
        <f ca="1"/>
        <v>#N/A</v>
      </c>
      <c r="R457" s="33" t="e">
        <f ca="1"/>
        <v>#N/A</v>
      </c>
    </row>
    <row r="458" spans="1:18" x14ac:dyDescent="0.2">
      <c r="A458" s="2">
        <v>457</v>
      </c>
      <c r="B458" s="65">
        <v>45730</v>
      </c>
      <c r="C458" s="70">
        <v>0.34591435185185188</v>
      </c>
      <c r="D458" s="66" t="s">
        <v>98</v>
      </c>
      <c r="G458" s="66" t="s">
        <v>105</v>
      </c>
      <c r="H458" s="66" t="s">
        <v>100</v>
      </c>
      <c r="I458" s="33" t="str">
        <f ca="1"/>
        <v>25,39</v>
      </c>
      <c r="J458" s="2">
        <v>458</v>
      </c>
      <c r="K458" s="2" t="str">
        <v>No Match</v>
      </c>
      <c r="M458" s="33">
        <f ca="1"/>
        <v>25.39</v>
      </c>
      <c r="N458" s="2" t="e">
        <f ca="1"/>
        <v>#N/A</v>
      </c>
      <c r="O458" s="2" t="e">
        <f ca="1"/>
        <v>#N/A</v>
      </c>
      <c r="P458" s="2" t="e">
        <f ca="1"/>
        <v>#N/A</v>
      </c>
      <c r="Q458" s="33" t="e">
        <f ca="1"/>
        <v>#N/A</v>
      </c>
      <c r="R458" s="33" t="e">
        <f ca="1"/>
        <v>#N/A</v>
      </c>
    </row>
    <row r="459" spans="1:18" x14ac:dyDescent="0.2">
      <c r="A459" s="2">
        <v>458</v>
      </c>
      <c r="B459" s="65">
        <v>45730</v>
      </c>
      <c r="C459" s="70">
        <v>0.34600694444444446</v>
      </c>
      <c r="D459" s="66" t="s">
        <v>98</v>
      </c>
      <c r="G459" s="66" t="s">
        <v>162</v>
      </c>
      <c r="H459" s="66" t="s">
        <v>100</v>
      </c>
      <c r="I459" s="33" t="str">
        <f ca="1"/>
        <v>25,51</v>
      </c>
      <c r="J459" s="2">
        <v>459</v>
      </c>
      <c r="K459" s="2" t="str">
        <v>No Match</v>
      </c>
      <c r="M459" s="33">
        <f ca="1"/>
        <v>25.51</v>
      </c>
      <c r="N459" s="2" t="e">
        <f ca="1"/>
        <v>#N/A</v>
      </c>
      <c r="O459" s="2" t="e">
        <f ca="1"/>
        <v>#N/A</v>
      </c>
      <c r="P459" s="2" t="e">
        <f ca="1"/>
        <v>#N/A</v>
      </c>
      <c r="Q459" s="33" t="e">
        <f ca="1"/>
        <v>#N/A</v>
      </c>
      <c r="R459" s="33" t="e">
        <f ca="1"/>
        <v>#N/A</v>
      </c>
    </row>
    <row r="460" spans="1:18" x14ac:dyDescent="0.2">
      <c r="A460" s="2">
        <v>459</v>
      </c>
      <c r="B460" s="65">
        <v>45730</v>
      </c>
      <c r="C460" s="70">
        <v>0.34652777777777777</v>
      </c>
      <c r="D460" s="66" t="s">
        <v>98</v>
      </c>
      <c r="G460" s="66" t="s">
        <v>133</v>
      </c>
      <c r="H460" s="66" t="s">
        <v>100</v>
      </c>
      <c r="I460" s="33" t="str">
        <f ca="1"/>
        <v>25,41</v>
      </c>
      <c r="J460" s="2">
        <v>460</v>
      </c>
      <c r="K460" s="2" t="str">
        <v>No Match</v>
      </c>
      <c r="M460" s="33">
        <f ca="1"/>
        <v>25.41</v>
      </c>
      <c r="N460" s="2" t="e">
        <f ca="1"/>
        <v>#N/A</v>
      </c>
      <c r="O460" s="2" t="e">
        <f ca="1"/>
        <v>#N/A</v>
      </c>
      <c r="P460" s="2" t="e">
        <f ca="1"/>
        <v>#N/A</v>
      </c>
      <c r="Q460" s="33" t="e">
        <f ca="1"/>
        <v>#N/A</v>
      </c>
      <c r="R460" s="33" t="e">
        <f ca="1"/>
        <v>#N/A</v>
      </c>
    </row>
    <row r="461" spans="1:18" x14ac:dyDescent="0.2">
      <c r="A461" s="2">
        <v>460</v>
      </c>
      <c r="B461" s="65">
        <v>45730</v>
      </c>
      <c r="C461" s="70">
        <v>0.34893518518518518</v>
      </c>
      <c r="D461" s="66" t="s">
        <v>98</v>
      </c>
      <c r="G461" s="66" t="s">
        <v>164</v>
      </c>
      <c r="H461" s="66" t="s">
        <v>100</v>
      </c>
      <c r="I461" s="33" t="str">
        <f ca="1"/>
        <v>25,46</v>
      </c>
      <c r="J461" s="2">
        <v>461</v>
      </c>
      <c r="K461" s="2" t="str">
        <v>No Match</v>
      </c>
      <c r="M461" s="33">
        <f ca="1"/>
        <v>25.46</v>
      </c>
      <c r="N461" s="2">
        <f ca="1"/>
        <v>25</v>
      </c>
      <c r="O461" s="2">
        <f ca="1"/>
        <v>24.625</v>
      </c>
      <c r="P461" s="2">
        <f ca="1"/>
        <v>25.375</v>
      </c>
      <c r="Q461" s="33">
        <f ca="1"/>
        <v>25.25917391304348</v>
      </c>
      <c r="R461" s="33">
        <f ca="1"/>
        <v>25.340999999999998</v>
      </c>
    </row>
    <row r="462" spans="1:18" x14ac:dyDescent="0.2">
      <c r="A462" s="2">
        <v>461</v>
      </c>
      <c r="B462" s="65">
        <v>45730</v>
      </c>
      <c r="C462" s="70">
        <v>0.34915509259259259</v>
      </c>
      <c r="D462" s="66" t="s">
        <v>98</v>
      </c>
      <c r="G462" s="66" t="s">
        <v>143</v>
      </c>
      <c r="H462" s="66" t="s">
        <v>100</v>
      </c>
      <c r="I462" s="33" t="str">
        <f ca="1"/>
        <v>25,53</v>
      </c>
      <c r="J462" s="2">
        <v>462</v>
      </c>
      <c r="K462" s="2" t="str">
        <v>No Match</v>
      </c>
      <c r="M462" s="33">
        <f ca="1"/>
        <v>25.53</v>
      </c>
      <c r="N462" s="2" t="e">
        <f ca="1"/>
        <v>#N/A</v>
      </c>
      <c r="O462" s="2" t="e">
        <f ca="1"/>
        <v>#N/A</v>
      </c>
      <c r="P462" s="2" t="e">
        <f ca="1"/>
        <v>#N/A</v>
      </c>
      <c r="Q462" s="33" t="e">
        <f ca="1"/>
        <v>#N/A</v>
      </c>
      <c r="R462" s="33" t="e">
        <f ca="1"/>
        <v>#N/A</v>
      </c>
    </row>
    <row r="463" spans="1:18" x14ac:dyDescent="0.2">
      <c r="A463" s="2">
        <v>462</v>
      </c>
      <c r="B463" s="65">
        <v>45730</v>
      </c>
      <c r="C463" s="70">
        <v>0.35115740740740742</v>
      </c>
      <c r="D463" s="66" t="s">
        <v>98</v>
      </c>
      <c r="G463" s="66" t="s">
        <v>133</v>
      </c>
      <c r="H463" s="66" t="s">
        <v>100</v>
      </c>
      <c r="I463" s="33" t="str">
        <f ca="1"/>
        <v>25,41</v>
      </c>
      <c r="J463" s="2">
        <v>463</v>
      </c>
      <c r="K463" s="2" t="str">
        <v>No Match</v>
      </c>
      <c r="M463" s="33">
        <f ca="1"/>
        <v>25.41</v>
      </c>
      <c r="N463" s="2" t="e">
        <f ca="1"/>
        <v>#N/A</v>
      </c>
      <c r="O463" s="2" t="e">
        <f ca="1"/>
        <v>#N/A</v>
      </c>
      <c r="P463" s="2" t="e">
        <f ca="1"/>
        <v>#N/A</v>
      </c>
      <c r="Q463" s="33" t="e">
        <f ca="1"/>
        <v>#N/A</v>
      </c>
      <c r="R463" s="33" t="e">
        <f ca="1"/>
        <v>#N/A</v>
      </c>
    </row>
    <row r="464" spans="1:18" x14ac:dyDescent="0.2">
      <c r="A464" s="2">
        <v>463</v>
      </c>
      <c r="B464" s="65">
        <v>45730</v>
      </c>
      <c r="C464" s="70">
        <v>0.35140046296296296</v>
      </c>
      <c r="D464" s="66" t="s">
        <v>98</v>
      </c>
      <c r="G464" s="66" t="s">
        <v>167</v>
      </c>
      <c r="H464" s="66" t="s">
        <v>100</v>
      </c>
      <c r="I464" s="33" t="str">
        <f ca="1"/>
        <v>25,62</v>
      </c>
      <c r="J464" s="2">
        <v>464</v>
      </c>
      <c r="K464" s="2" t="str">
        <v>No Match</v>
      </c>
      <c r="M464" s="33">
        <f ca="1"/>
        <v>25.62</v>
      </c>
      <c r="N464" s="2" t="e">
        <f ca="1"/>
        <v>#N/A</v>
      </c>
      <c r="O464" s="2" t="e">
        <f ca="1"/>
        <v>#N/A</v>
      </c>
      <c r="P464" s="2" t="e">
        <f ca="1"/>
        <v>#N/A</v>
      </c>
      <c r="Q464" s="33" t="e">
        <f ca="1"/>
        <v>#N/A</v>
      </c>
      <c r="R464" s="33" t="e">
        <f ca="1"/>
        <v>#N/A</v>
      </c>
    </row>
    <row r="465" spans="1:18" x14ac:dyDescent="0.2">
      <c r="A465" s="2">
        <v>464</v>
      </c>
      <c r="B465" s="65">
        <v>45730</v>
      </c>
      <c r="C465" s="70">
        <v>0.35311342592592593</v>
      </c>
      <c r="D465" s="66" t="s">
        <v>98</v>
      </c>
      <c r="G465" s="66" t="s">
        <v>139</v>
      </c>
      <c r="H465" s="66" t="s">
        <v>100</v>
      </c>
      <c r="I465" s="33" t="str">
        <f ca="1"/>
        <v>25,35</v>
      </c>
      <c r="J465" s="2">
        <v>465</v>
      </c>
      <c r="K465" s="2" t="str">
        <v>No Match</v>
      </c>
      <c r="M465" s="33">
        <f ca="1"/>
        <v>25.35</v>
      </c>
      <c r="N465" s="2" t="e">
        <f ca="1"/>
        <v>#N/A</v>
      </c>
      <c r="O465" s="2" t="e">
        <f ca="1"/>
        <v>#N/A</v>
      </c>
      <c r="P465" s="2" t="e">
        <f ca="1"/>
        <v>#N/A</v>
      </c>
      <c r="Q465" s="33" t="e">
        <f ca="1"/>
        <v>#N/A</v>
      </c>
      <c r="R465" s="33" t="e">
        <f ca="1"/>
        <v>#N/A</v>
      </c>
    </row>
    <row r="466" spans="1:18" x14ac:dyDescent="0.2">
      <c r="A466" s="2">
        <v>465</v>
      </c>
      <c r="B466" s="65">
        <v>45730</v>
      </c>
      <c r="C466" s="70">
        <v>0.35393518518518519</v>
      </c>
      <c r="D466" s="66" t="s">
        <v>98</v>
      </c>
      <c r="G466" s="66" t="s">
        <v>165</v>
      </c>
      <c r="H466" s="66" t="s">
        <v>100</v>
      </c>
      <c r="I466" s="33" t="str">
        <f ca="1"/>
        <v>25,42</v>
      </c>
      <c r="J466" s="2">
        <v>466</v>
      </c>
      <c r="K466" s="2" t="str">
        <v>No Match</v>
      </c>
      <c r="M466" s="33">
        <f ca="1"/>
        <v>25.42</v>
      </c>
      <c r="N466" s="2" t="e">
        <f ca="1"/>
        <v>#N/A</v>
      </c>
      <c r="O466" s="2" t="e">
        <f ca="1"/>
        <v>#N/A</v>
      </c>
      <c r="P466" s="2" t="e">
        <f ca="1"/>
        <v>#N/A</v>
      </c>
      <c r="Q466" s="33" t="e">
        <f ca="1"/>
        <v>#N/A</v>
      </c>
      <c r="R466" s="33" t="e">
        <f ca="1"/>
        <v>#N/A</v>
      </c>
    </row>
    <row r="467" spans="1:18" x14ac:dyDescent="0.2">
      <c r="A467" s="2">
        <v>466</v>
      </c>
      <c r="B467" s="65">
        <v>45730</v>
      </c>
      <c r="C467" s="70">
        <v>0.35553240740740738</v>
      </c>
      <c r="D467" s="66" t="s">
        <v>98</v>
      </c>
      <c r="G467" s="66" t="s">
        <v>159</v>
      </c>
      <c r="H467" s="66" t="s">
        <v>100</v>
      </c>
      <c r="I467" s="33" t="str">
        <f ca="1"/>
        <v>25,26</v>
      </c>
      <c r="J467" s="2">
        <v>467</v>
      </c>
      <c r="K467" s="2" t="str">
        <v>No Match</v>
      </c>
      <c r="M467" s="33">
        <f ca="1"/>
        <v>25.26</v>
      </c>
      <c r="N467" s="2" t="e">
        <f ca="1"/>
        <v>#N/A</v>
      </c>
      <c r="O467" s="2" t="e">
        <f ca="1"/>
        <v>#N/A</v>
      </c>
      <c r="P467" s="2" t="e">
        <f ca="1"/>
        <v>#N/A</v>
      </c>
      <c r="Q467" s="33" t="e">
        <f ca="1"/>
        <v>#N/A</v>
      </c>
      <c r="R467" s="33" t="e">
        <f ca="1"/>
        <v>#N/A</v>
      </c>
    </row>
    <row r="468" spans="1:18" x14ac:dyDescent="0.2">
      <c r="A468" s="2">
        <v>467</v>
      </c>
      <c r="B468" s="65">
        <v>45730</v>
      </c>
      <c r="C468" s="70">
        <v>0.35690972222222223</v>
      </c>
      <c r="D468" s="66" t="s">
        <v>98</v>
      </c>
      <c r="G468" s="66" t="s">
        <v>155</v>
      </c>
      <c r="H468" s="66" t="s">
        <v>100</v>
      </c>
      <c r="I468" s="33" t="str">
        <f ca="1"/>
        <v>25,49</v>
      </c>
      <c r="J468" s="2">
        <v>468</v>
      </c>
      <c r="K468" s="2" t="str">
        <v>No Match</v>
      </c>
      <c r="M468" s="33">
        <f ca="1"/>
        <v>25.49</v>
      </c>
      <c r="N468" s="2" t="e">
        <f ca="1"/>
        <v>#N/A</v>
      </c>
      <c r="O468" s="2" t="e">
        <f ca="1"/>
        <v>#N/A</v>
      </c>
      <c r="P468" s="2" t="e">
        <f ca="1"/>
        <v>#N/A</v>
      </c>
      <c r="Q468" s="33" t="e">
        <f ca="1"/>
        <v>#N/A</v>
      </c>
      <c r="R468" s="33" t="e">
        <f ca="1"/>
        <v>#N/A</v>
      </c>
    </row>
    <row r="469" spans="1:18" x14ac:dyDescent="0.2">
      <c r="A469" s="2">
        <v>468</v>
      </c>
      <c r="B469" s="65">
        <v>45730</v>
      </c>
      <c r="C469" s="70">
        <v>0.3591550925925926</v>
      </c>
      <c r="D469" s="66" t="s">
        <v>98</v>
      </c>
      <c r="G469" s="66" t="s">
        <v>119</v>
      </c>
      <c r="H469" s="66" t="s">
        <v>100</v>
      </c>
      <c r="I469" s="33" t="str">
        <f ca="1"/>
        <v>25,56</v>
      </c>
      <c r="J469" s="2">
        <v>469</v>
      </c>
      <c r="K469" s="2" t="str">
        <v>No Match</v>
      </c>
      <c r="M469" s="33">
        <f ca="1"/>
        <v>25.56</v>
      </c>
      <c r="N469" s="2" t="e">
        <f ca="1"/>
        <v>#N/A</v>
      </c>
      <c r="O469" s="2" t="e">
        <f ca="1"/>
        <v>#N/A</v>
      </c>
      <c r="P469" s="2" t="e">
        <f ca="1"/>
        <v>#N/A</v>
      </c>
      <c r="Q469" s="33" t="e">
        <f ca="1"/>
        <v>#N/A</v>
      </c>
      <c r="R469" s="33" t="e">
        <f ca="1"/>
        <v>#N/A</v>
      </c>
    </row>
    <row r="470" spans="1:18" x14ac:dyDescent="0.2">
      <c r="A470" s="2">
        <v>469</v>
      </c>
      <c r="B470" s="65">
        <v>45730</v>
      </c>
      <c r="C470" s="70">
        <v>0.35956018518518518</v>
      </c>
      <c r="D470" s="66" t="s">
        <v>98</v>
      </c>
      <c r="G470" s="66" t="s">
        <v>104</v>
      </c>
      <c r="H470" s="66" t="s">
        <v>100</v>
      </c>
      <c r="I470" s="33" t="str">
        <f ca="1"/>
        <v>25,40</v>
      </c>
      <c r="J470" s="2">
        <v>470</v>
      </c>
      <c r="K470" s="2" t="str">
        <v>No Match</v>
      </c>
      <c r="M470" s="33">
        <f ca="1"/>
        <v>25.4</v>
      </c>
      <c r="N470" s="2" t="e">
        <f ca="1"/>
        <v>#N/A</v>
      </c>
      <c r="O470" s="2" t="e">
        <f ca="1"/>
        <v>#N/A</v>
      </c>
      <c r="P470" s="2" t="e">
        <f ca="1"/>
        <v>#N/A</v>
      </c>
      <c r="Q470" s="33" t="e">
        <f ca="1"/>
        <v>#N/A</v>
      </c>
      <c r="R470" s="33" t="e">
        <f ca="1"/>
        <v>#N/A</v>
      </c>
    </row>
    <row r="471" spans="1:18" x14ac:dyDescent="0.2">
      <c r="A471" s="2">
        <v>470</v>
      </c>
      <c r="B471" s="65">
        <v>45730</v>
      </c>
      <c r="C471" s="70">
        <v>0.36179398148148151</v>
      </c>
      <c r="D471" s="66" t="s">
        <v>98</v>
      </c>
      <c r="G471" s="66" t="s">
        <v>158</v>
      </c>
      <c r="H471" s="66" t="s">
        <v>100</v>
      </c>
      <c r="I471" s="33" t="str">
        <f ca="1"/>
        <v>25,67</v>
      </c>
      <c r="J471" s="2">
        <v>471</v>
      </c>
      <c r="K471" s="2" t="str">
        <v>No Match</v>
      </c>
      <c r="M471" s="33">
        <f ca="1"/>
        <v>25.67</v>
      </c>
      <c r="N471" s="2">
        <f ca="1"/>
        <v>25</v>
      </c>
      <c r="O471" s="2">
        <f ca="1"/>
        <v>24.625</v>
      </c>
      <c r="P471" s="2">
        <f ca="1"/>
        <v>25.375</v>
      </c>
      <c r="Q471" s="33">
        <f ca="1"/>
        <v>25.263680851063835</v>
      </c>
      <c r="R471" s="33">
        <f ca="1"/>
        <v>25.471000000000004</v>
      </c>
    </row>
    <row r="472" spans="1:18" x14ac:dyDescent="0.2">
      <c r="A472" s="2">
        <v>471</v>
      </c>
      <c r="B472" s="65">
        <v>45730</v>
      </c>
      <c r="C472" s="70">
        <v>0.36231481481481481</v>
      </c>
      <c r="D472" s="66" t="s">
        <v>98</v>
      </c>
      <c r="G472" s="66" t="s">
        <v>143</v>
      </c>
      <c r="H472" s="66" t="s">
        <v>100</v>
      </c>
      <c r="I472" s="33" t="str">
        <f ca="1"/>
        <v>25,53</v>
      </c>
      <c r="J472" s="2">
        <v>472</v>
      </c>
      <c r="K472" s="2" t="str">
        <v>No Match</v>
      </c>
      <c r="M472" s="33">
        <f ca="1"/>
        <v>25.53</v>
      </c>
      <c r="N472" s="2" t="e">
        <f ca="1"/>
        <v>#N/A</v>
      </c>
      <c r="O472" s="2" t="e">
        <f ca="1"/>
        <v>#N/A</v>
      </c>
      <c r="P472" s="2" t="e">
        <f ca="1"/>
        <v>#N/A</v>
      </c>
      <c r="Q472" s="33" t="e">
        <f ca="1"/>
        <v>#N/A</v>
      </c>
      <c r="R472" s="33" t="e">
        <f ca="1"/>
        <v>#N/A</v>
      </c>
    </row>
    <row r="473" spans="1:18" x14ac:dyDescent="0.2">
      <c r="A473" s="2">
        <v>472</v>
      </c>
      <c r="B473" s="65">
        <v>45730</v>
      </c>
      <c r="C473" s="70">
        <v>0.36400462962962965</v>
      </c>
      <c r="D473" s="66" t="s">
        <v>98</v>
      </c>
      <c r="G473" s="66" t="s">
        <v>119</v>
      </c>
      <c r="H473" s="66" t="s">
        <v>100</v>
      </c>
      <c r="I473" s="33" t="str">
        <f ca="1"/>
        <v>25,56</v>
      </c>
      <c r="J473" s="2">
        <v>473</v>
      </c>
      <c r="K473" s="2" t="str">
        <v>No Match</v>
      </c>
      <c r="M473" s="33">
        <f ca="1"/>
        <v>25.56</v>
      </c>
      <c r="N473" s="2" t="e">
        <f ca="1"/>
        <v>#N/A</v>
      </c>
      <c r="O473" s="2" t="e">
        <f ca="1"/>
        <v>#N/A</v>
      </c>
      <c r="P473" s="2" t="e">
        <f ca="1"/>
        <v>#N/A</v>
      </c>
      <c r="Q473" s="33" t="e">
        <f ca="1"/>
        <v>#N/A</v>
      </c>
      <c r="R473" s="33" t="e">
        <f ca="1"/>
        <v>#N/A</v>
      </c>
    </row>
    <row r="474" spans="1:18" x14ac:dyDescent="0.2">
      <c r="A474" s="2">
        <v>473</v>
      </c>
      <c r="B474" s="65">
        <v>45730</v>
      </c>
      <c r="C474" s="70">
        <v>0.36449074074074073</v>
      </c>
      <c r="D474" s="66" t="s">
        <v>98</v>
      </c>
      <c r="G474" s="66" t="s">
        <v>168</v>
      </c>
      <c r="H474" s="66" t="s">
        <v>100</v>
      </c>
      <c r="I474" s="33" t="str">
        <f ca="1"/>
        <v>25,59</v>
      </c>
      <c r="J474" s="2">
        <v>474</v>
      </c>
      <c r="K474" s="2" t="str">
        <v>No Match</v>
      </c>
      <c r="M474" s="33">
        <f ca="1"/>
        <v>25.59</v>
      </c>
      <c r="N474" s="2" t="e">
        <f ca="1"/>
        <v>#N/A</v>
      </c>
      <c r="O474" s="2" t="e">
        <f ca="1"/>
        <v>#N/A</v>
      </c>
      <c r="P474" s="2" t="e">
        <f ca="1"/>
        <v>#N/A</v>
      </c>
      <c r="Q474" s="33" t="e">
        <f ca="1"/>
        <v>#N/A</v>
      </c>
      <c r="R474" s="33" t="e">
        <f ca="1"/>
        <v>#N/A</v>
      </c>
    </row>
    <row r="475" spans="1:18" x14ac:dyDescent="0.2">
      <c r="A475" s="2">
        <v>474</v>
      </c>
      <c r="B475" s="65">
        <v>45730</v>
      </c>
      <c r="C475" s="70">
        <v>0.3664351851851852</v>
      </c>
      <c r="D475" s="66" t="s">
        <v>98</v>
      </c>
      <c r="G475" s="66" t="s">
        <v>195</v>
      </c>
      <c r="H475" s="66" t="s">
        <v>100</v>
      </c>
      <c r="I475" s="33" t="str">
        <f ca="1"/>
        <v>25,60</v>
      </c>
      <c r="J475" s="2">
        <v>475</v>
      </c>
      <c r="K475" s="2" t="str">
        <v>No Match</v>
      </c>
      <c r="M475" s="33">
        <f ca="1"/>
        <v>25.6</v>
      </c>
      <c r="N475" s="2" t="e">
        <f ca="1"/>
        <v>#N/A</v>
      </c>
      <c r="O475" s="2" t="e">
        <f ca="1"/>
        <v>#N/A</v>
      </c>
      <c r="P475" s="2" t="e">
        <f ca="1"/>
        <v>#N/A</v>
      </c>
      <c r="Q475" s="33" t="e">
        <f ca="1"/>
        <v>#N/A</v>
      </c>
      <c r="R475" s="33" t="e">
        <f ca="1"/>
        <v>#N/A</v>
      </c>
    </row>
    <row r="476" spans="1:18" x14ac:dyDescent="0.2">
      <c r="A476" s="2">
        <v>475</v>
      </c>
      <c r="B476" s="65">
        <v>45730</v>
      </c>
      <c r="C476" s="70">
        <v>0.36842592592592593</v>
      </c>
      <c r="D476" s="66" t="s">
        <v>98</v>
      </c>
      <c r="G476" s="66" t="s">
        <v>168</v>
      </c>
      <c r="H476" s="66" t="s">
        <v>100</v>
      </c>
      <c r="I476" s="33" t="str">
        <f ca="1"/>
        <v>25,59</v>
      </c>
      <c r="J476" s="2">
        <v>476</v>
      </c>
      <c r="K476" s="2" t="str">
        <v>No Match</v>
      </c>
      <c r="M476" s="33">
        <f ca="1"/>
        <v>25.59</v>
      </c>
      <c r="N476" s="2" t="e">
        <f ca="1"/>
        <v>#N/A</v>
      </c>
      <c r="O476" s="2" t="e">
        <f ca="1"/>
        <v>#N/A</v>
      </c>
      <c r="P476" s="2" t="e">
        <f ca="1"/>
        <v>#N/A</v>
      </c>
      <c r="Q476" s="33" t="e">
        <f ca="1"/>
        <v>#N/A</v>
      </c>
      <c r="R476" s="33" t="e">
        <f ca="1"/>
        <v>#N/A</v>
      </c>
    </row>
    <row r="477" spans="1:18" x14ac:dyDescent="0.2">
      <c r="A477" s="2">
        <v>476</v>
      </c>
      <c r="B477" s="65">
        <v>45730</v>
      </c>
      <c r="C477" s="70">
        <v>0.36978009259259259</v>
      </c>
      <c r="D477" s="66" t="s">
        <v>98</v>
      </c>
      <c r="G477" s="66" t="s">
        <v>166</v>
      </c>
      <c r="H477" s="66" t="s">
        <v>100</v>
      </c>
      <c r="I477" s="33" t="str">
        <f ca="1"/>
        <v>25,66</v>
      </c>
      <c r="J477" s="2">
        <v>477</v>
      </c>
      <c r="K477" s="2" t="str">
        <v>No Match</v>
      </c>
      <c r="M477" s="33">
        <f ca="1"/>
        <v>25.66</v>
      </c>
      <c r="N477" s="2" t="e">
        <f ca="1"/>
        <v>#N/A</v>
      </c>
      <c r="O477" s="2" t="e">
        <f ca="1"/>
        <v>#N/A</v>
      </c>
      <c r="P477" s="2" t="e">
        <f ca="1"/>
        <v>#N/A</v>
      </c>
      <c r="Q477" s="33" t="e">
        <f ca="1"/>
        <v>#N/A</v>
      </c>
      <c r="R477" s="33" t="e">
        <f ca="1"/>
        <v>#N/A</v>
      </c>
    </row>
    <row r="478" spans="1:18" x14ac:dyDescent="0.2">
      <c r="A478" s="2">
        <v>477</v>
      </c>
      <c r="B478" s="65">
        <v>45730</v>
      </c>
      <c r="C478" s="70">
        <v>0.40012731481481484</v>
      </c>
      <c r="D478" s="66" t="s">
        <v>98</v>
      </c>
      <c r="G478" s="66" t="s">
        <v>248</v>
      </c>
      <c r="H478" s="66" t="s">
        <v>100</v>
      </c>
      <c r="I478" s="33" t="str">
        <f ca="1"/>
        <v>26,06</v>
      </c>
      <c r="J478" s="2">
        <v>478</v>
      </c>
      <c r="K478" s="2" t="str">
        <v>No Match</v>
      </c>
      <c r="M478" s="33">
        <f ca="1"/>
        <v>26.06</v>
      </c>
      <c r="N478" s="2" t="e">
        <f ca="1"/>
        <v>#N/A</v>
      </c>
      <c r="O478" s="2" t="e">
        <f ca="1"/>
        <v>#N/A</v>
      </c>
      <c r="P478" s="2" t="e">
        <f ca="1"/>
        <v>#N/A</v>
      </c>
      <c r="Q478" s="33" t="e">
        <f ca="1"/>
        <v>#N/A</v>
      </c>
      <c r="R478" s="33" t="e">
        <f ca="1"/>
        <v>#N/A</v>
      </c>
    </row>
    <row r="479" spans="1:18" x14ac:dyDescent="0.2">
      <c r="A479" s="2">
        <v>478</v>
      </c>
      <c r="B479" s="65">
        <v>45730</v>
      </c>
      <c r="C479" s="70">
        <v>0.40024305555555556</v>
      </c>
      <c r="D479" s="66" t="s">
        <v>98</v>
      </c>
      <c r="G479" s="66" t="s">
        <v>226</v>
      </c>
      <c r="H479" s="66" t="s">
        <v>100</v>
      </c>
      <c r="I479" s="33" t="str">
        <f ca="1"/>
        <v>25,68</v>
      </c>
      <c r="J479" s="2">
        <v>479</v>
      </c>
      <c r="K479" s="2" t="str">
        <v>No Match</v>
      </c>
      <c r="M479" s="33">
        <f ca="1"/>
        <v>25.68</v>
      </c>
      <c r="N479" s="2" t="e">
        <f ca="1"/>
        <v>#N/A</v>
      </c>
      <c r="O479" s="2" t="e">
        <f ca="1"/>
        <v>#N/A</v>
      </c>
      <c r="P479" s="2" t="e">
        <f ca="1"/>
        <v>#N/A</v>
      </c>
      <c r="Q479" s="33" t="e">
        <f ca="1"/>
        <v>#N/A</v>
      </c>
      <c r="R479" s="33" t="e">
        <f ca="1"/>
        <v>#N/A</v>
      </c>
    </row>
    <row r="480" spans="1:18" x14ac:dyDescent="0.2">
      <c r="A480" s="2">
        <v>479</v>
      </c>
      <c r="B480" s="65">
        <v>45730</v>
      </c>
      <c r="C480" s="70">
        <v>0.40184027777777775</v>
      </c>
      <c r="D480" s="66" t="s">
        <v>98</v>
      </c>
      <c r="G480" s="66" t="s">
        <v>223</v>
      </c>
      <c r="H480" s="66" t="s">
        <v>100</v>
      </c>
      <c r="I480" s="33" t="str">
        <f ca="1"/>
        <v>25,73</v>
      </c>
      <c r="J480" s="2">
        <v>480</v>
      </c>
      <c r="K480" s="2" t="str">
        <v>No Match</v>
      </c>
      <c r="M480" s="33">
        <f ca="1"/>
        <v>25.73</v>
      </c>
      <c r="N480" s="2" t="e">
        <f ca="1"/>
        <v>#N/A</v>
      </c>
      <c r="O480" s="2" t="e">
        <f ca="1"/>
        <v>#N/A</v>
      </c>
      <c r="P480" s="2" t="e">
        <f ca="1"/>
        <v>#N/A</v>
      </c>
      <c r="Q480" s="33" t="e">
        <f ca="1"/>
        <v>#N/A</v>
      </c>
      <c r="R480" s="33" t="e">
        <f ca="1"/>
        <v>#N/A</v>
      </c>
    </row>
    <row r="481" spans="1:18" x14ac:dyDescent="0.2">
      <c r="A481" s="2">
        <v>480</v>
      </c>
      <c r="B481" s="65">
        <v>45730</v>
      </c>
      <c r="C481" s="70">
        <v>0.40190972222222221</v>
      </c>
      <c r="D481" s="66" t="s">
        <v>98</v>
      </c>
      <c r="G481" s="66" t="s">
        <v>130</v>
      </c>
      <c r="H481" s="66" t="s">
        <v>100</v>
      </c>
      <c r="I481" s="33" t="str">
        <f ca="1"/>
        <v>25,93</v>
      </c>
      <c r="J481" s="2">
        <v>481</v>
      </c>
      <c r="K481" s="2" t="str">
        <v>No Match</v>
      </c>
      <c r="M481" s="33">
        <f ca="1"/>
        <v>25.93</v>
      </c>
      <c r="N481" s="2">
        <f ca="1"/>
        <v>25</v>
      </c>
      <c r="O481" s="2">
        <f ca="1"/>
        <v>24.625</v>
      </c>
      <c r="P481" s="2">
        <f ca="1"/>
        <v>25.375</v>
      </c>
      <c r="Q481" s="33">
        <f ca="1"/>
        <v>25.272625000000005</v>
      </c>
      <c r="R481" s="33">
        <f ca="1"/>
        <v>25.693000000000001</v>
      </c>
    </row>
    <row r="482" spans="1:18" x14ac:dyDescent="0.2">
      <c r="A482" s="2">
        <v>481</v>
      </c>
      <c r="B482" s="65">
        <v>45730</v>
      </c>
      <c r="C482" s="70">
        <v>0.40391203703703704</v>
      </c>
      <c r="D482" s="66" t="s">
        <v>98</v>
      </c>
      <c r="G482" s="66" t="s">
        <v>111</v>
      </c>
      <c r="H482" s="66" t="s">
        <v>100</v>
      </c>
      <c r="I482" s="33" t="str">
        <f ca="1"/>
        <v>25,44</v>
      </c>
      <c r="J482" s="2">
        <v>482</v>
      </c>
      <c r="K482" s="2" t="str">
        <v>No Match</v>
      </c>
      <c r="M482" s="33">
        <f ca="1"/>
        <v>25.44</v>
      </c>
      <c r="N482" s="2" t="e">
        <f ca="1"/>
        <v>#N/A</v>
      </c>
      <c r="O482" s="2" t="e">
        <f ca="1"/>
        <v>#N/A</v>
      </c>
      <c r="P482" s="2" t="e">
        <f ca="1"/>
        <v>#N/A</v>
      </c>
      <c r="Q482" s="33" t="e">
        <f ca="1"/>
        <v>#N/A</v>
      </c>
      <c r="R482" s="33" t="e">
        <f ca="1"/>
        <v>#N/A</v>
      </c>
    </row>
    <row r="483" spans="1:18" x14ac:dyDescent="0.2">
      <c r="A483" s="2">
        <v>482</v>
      </c>
      <c r="B483" s="65">
        <v>45730</v>
      </c>
      <c r="C483" s="70">
        <v>0.40440972222222221</v>
      </c>
      <c r="D483" s="66" t="s">
        <v>98</v>
      </c>
      <c r="G483" s="66" t="s">
        <v>117</v>
      </c>
      <c r="H483" s="66" t="s">
        <v>100</v>
      </c>
      <c r="I483" s="33" t="str">
        <f ca="1"/>
        <v>25,61</v>
      </c>
      <c r="J483" s="2">
        <v>483</v>
      </c>
      <c r="K483" s="2" t="str">
        <v>No Match</v>
      </c>
      <c r="M483" s="33">
        <f ca="1"/>
        <v>25.61</v>
      </c>
      <c r="N483" s="2" t="e">
        <f ca="1"/>
        <v>#N/A</v>
      </c>
      <c r="O483" s="2" t="e">
        <f ca="1"/>
        <v>#N/A</v>
      </c>
      <c r="P483" s="2" t="e">
        <f ca="1"/>
        <v>#N/A</v>
      </c>
      <c r="Q483" s="33" t="e">
        <f ca="1"/>
        <v>#N/A</v>
      </c>
      <c r="R483" s="33" t="e">
        <f ca="1"/>
        <v>#N/A</v>
      </c>
    </row>
    <row r="484" spans="1:18" x14ac:dyDescent="0.2">
      <c r="A484" s="2">
        <v>483</v>
      </c>
      <c r="B484" s="65">
        <v>45730</v>
      </c>
      <c r="C484" s="70">
        <v>0.40534722222222225</v>
      </c>
      <c r="D484" s="66" t="s">
        <v>98</v>
      </c>
      <c r="G484" s="66" t="s">
        <v>144</v>
      </c>
      <c r="H484" s="66" t="s">
        <v>100</v>
      </c>
      <c r="I484" s="33" t="str">
        <f ca="1"/>
        <v>25,63</v>
      </c>
      <c r="J484" s="2">
        <v>484</v>
      </c>
      <c r="K484" s="2" t="str">
        <v>No Match</v>
      </c>
      <c r="M484" s="33">
        <f ca="1"/>
        <v>25.63</v>
      </c>
      <c r="N484" s="2" t="e">
        <f ca="1"/>
        <v>#N/A</v>
      </c>
      <c r="O484" s="2" t="e">
        <f ca="1"/>
        <v>#N/A</v>
      </c>
      <c r="P484" s="2" t="e">
        <f ca="1"/>
        <v>#N/A</v>
      </c>
      <c r="Q484" s="33" t="e">
        <f ca="1"/>
        <v>#N/A</v>
      </c>
      <c r="R484" s="33" t="e">
        <f ca="1"/>
        <v>#N/A</v>
      </c>
    </row>
    <row r="485" spans="1:18" x14ac:dyDescent="0.2">
      <c r="A485" s="2">
        <v>484</v>
      </c>
      <c r="B485" s="65">
        <v>45730</v>
      </c>
      <c r="C485" s="70">
        <v>0.40652777777777777</v>
      </c>
      <c r="D485" s="66" t="s">
        <v>98</v>
      </c>
      <c r="G485" s="66" t="s">
        <v>162</v>
      </c>
      <c r="H485" s="66" t="s">
        <v>100</v>
      </c>
      <c r="I485" s="33" t="str">
        <f ca="1"/>
        <v>25,51</v>
      </c>
      <c r="J485" s="2">
        <v>485</v>
      </c>
      <c r="K485" s="2" t="str">
        <v>No Match</v>
      </c>
      <c r="M485" s="33">
        <f ca="1"/>
        <v>25.51</v>
      </c>
      <c r="N485" s="2" t="e">
        <f ca="1"/>
        <v>#N/A</v>
      </c>
      <c r="O485" s="2" t="e">
        <f ca="1"/>
        <v>#N/A</v>
      </c>
      <c r="P485" s="2" t="e">
        <f ca="1"/>
        <v>#N/A</v>
      </c>
      <c r="Q485" s="33" t="e">
        <f ca="1"/>
        <v>#N/A</v>
      </c>
      <c r="R485" s="33" t="e">
        <f ca="1"/>
        <v>#N/A</v>
      </c>
    </row>
    <row r="486" spans="1:18" x14ac:dyDescent="0.2">
      <c r="A486" s="2">
        <v>485</v>
      </c>
      <c r="B486" s="65">
        <v>45730</v>
      </c>
      <c r="C486" s="70">
        <v>0.40763888888888888</v>
      </c>
      <c r="D486" s="66" t="s">
        <v>98</v>
      </c>
      <c r="G486" s="66" t="s">
        <v>168</v>
      </c>
      <c r="H486" s="66" t="s">
        <v>100</v>
      </c>
      <c r="I486" s="33" t="str">
        <f ca="1"/>
        <v>25,59</v>
      </c>
      <c r="J486" s="2">
        <v>486</v>
      </c>
      <c r="K486" s="2" t="str">
        <v>No Match</v>
      </c>
      <c r="M486" s="33">
        <f ca="1"/>
        <v>25.59</v>
      </c>
      <c r="N486" s="2" t="e">
        <f ca="1"/>
        <v>#N/A</v>
      </c>
      <c r="O486" s="2" t="e">
        <f ca="1"/>
        <v>#N/A</v>
      </c>
      <c r="P486" s="2" t="e">
        <f ca="1"/>
        <v>#N/A</v>
      </c>
      <c r="Q486" s="33" t="e">
        <f ca="1"/>
        <v>#N/A</v>
      </c>
      <c r="R486" s="33" t="e">
        <f ca="1"/>
        <v>#N/A</v>
      </c>
    </row>
    <row r="487" spans="1:18" x14ac:dyDescent="0.2">
      <c r="A487" s="2">
        <v>486</v>
      </c>
      <c r="B487" s="65">
        <v>45730</v>
      </c>
      <c r="C487" s="70">
        <v>0.40934027777777776</v>
      </c>
      <c r="D487" s="66" t="s">
        <v>98</v>
      </c>
      <c r="G487" s="66" t="s">
        <v>220</v>
      </c>
      <c r="H487" s="66" t="s">
        <v>100</v>
      </c>
      <c r="I487" s="33" t="str">
        <f ca="1"/>
        <v>25,54</v>
      </c>
      <c r="J487" s="2">
        <v>487</v>
      </c>
      <c r="K487" s="2" t="str">
        <v>No Match</v>
      </c>
      <c r="M487" s="33">
        <f ca="1"/>
        <v>25.54</v>
      </c>
      <c r="N487" s="2" t="e">
        <f ca="1"/>
        <v>#N/A</v>
      </c>
      <c r="O487" s="2" t="e">
        <f ca="1"/>
        <v>#N/A</v>
      </c>
      <c r="P487" s="2" t="e">
        <f ca="1"/>
        <v>#N/A</v>
      </c>
      <c r="Q487" s="33" t="e">
        <f ca="1"/>
        <v>#N/A</v>
      </c>
      <c r="R487" s="33" t="e">
        <f ca="1"/>
        <v>#N/A</v>
      </c>
    </row>
    <row r="488" spans="1:18" x14ac:dyDescent="0.2">
      <c r="A488" s="2">
        <v>487</v>
      </c>
      <c r="B488" s="65">
        <v>45730</v>
      </c>
      <c r="C488" s="70">
        <v>0.41041666666666665</v>
      </c>
      <c r="D488" s="66" t="s">
        <v>98</v>
      </c>
      <c r="G488" s="66" t="s">
        <v>139</v>
      </c>
      <c r="H488" s="66" t="s">
        <v>100</v>
      </c>
      <c r="I488" s="33" t="str">
        <f ca="1"/>
        <v>25,35</v>
      </c>
      <c r="J488" s="2">
        <v>488</v>
      </c>
      <c r="K488" s="2" t="str">
        <v>No Match</v>
      </c>
      <c r="M488" s="33">
        <f ca="1"/>
        <v>25.35</v>
      </c>
      <c r="N488" s="2" t="e">
        <f ca="1"/>
        <v>#N/A</v>
      </c>
      <c r="O488" s="2" t="e">
        <f ca="1"/>
        <v>#N/A</v>
      </c>
      <c r="P488" s="2" t="e">
        <f ca="1"/>
        <v>#N/A</v>
      </c>
      <c r="Q488" s="33" t="e">
        <f ca="1"/>
        <v>#N/A</v>
      </c>
      <c r="R488" s="33" t="e">
        <f ca="1"/>
        <v>#N/A</v>
      </c>
    </row>
    <row r="489" spans="1:18" x14ac:dyDescent="0.2">
      <c r="A489" s="2">
        <v>488</v>
      </c>
      <c r="B489" s="65">
        <v>45730</v>
      </c>
      <c r="C489" s="70">
        <v>0.41188657407407409</v>
      </c>
      <c r="D489" s="66" t="s">
        <v>98</v>
      </c>
      <c r="G489" s="66" t="s">
        <v>164</v>
      </c>
      <c r="H489" s="66" t="s">
        <v>100</v>
      </c>
      <c r="I489" s="33" t="str">
        <f ca="1"/>
        <v>25,46</v>
      </c>
      <c r="J489" s="2">
        <v>489</v>
      </c>
      <c r="K489" s="2" t="str">
        <v>No Match</v>
      </c>
      <c r="M489" s="33">
        <f ca="1"/>
        <v>25.46</v>
      </c>
      <c r="N489" s="2" t="e">
        <f ca="1"/>
        <v>#N/A</v>
      </c>
      <c r="O489" s="2" t="e">
        <f ca="1"/>
        <v>#N/A</v>
      </c>
      <c r="P489" s="2" t="e">
        <f ca="1"/>
        <v>#N/A</v>
      </c>
      <c r="Q489" s="33" t="e">
        <f ca="1"/>
        <v>#N/A</v>
      </c>
      <c r="R489" s="33" t="e">
        <f ca="1"/>
        <v>#N/A</v>
      </c>
    </row>
    <row r="490" spans="1:18" x14ac:dyDescent="0.2">
      <c r="A490" s="2">
        <v>489</v>
      </c>
      <c r="B490" s="65">
        <v>45730</v>
      </c>
      <c r="C490" s="70">
        <v>0.41449074074074072</v>
      </c>
      <c r="D490" s="66" t="s">
        <v>98</v>
      </c>
      <c r="G490" s="66" t="s">
        <v>170</v>
      </c>
      <c r="H490" s="66" t="s">
        <v>100</v>
      </c>
      <c r="I490" s="33" t="str">
        <f ca="1"/>
        <v>25,52</v>
      </c>
      <c r="J490" s="2">
        <v>490</v>
      </c>
      <c r="K490" s="2" t="str">
        <v>No Match</v>
      </c>
      <c r="M490" s="33">
        <f ca="1"/>
        <v>25.52</v>
      </c>
      <c r="N490" s="2" t="e">
        <f ca="1"/>
        <v>#N/A</v>
      </c>
      <c r="O490" s="2" t="e">
        <f ca="1"/>
        <v>#N/A</v>
      </c>
      <c r="P490" s="2" t="e">
        <f ca="1"/>
        <v>#N/A</v>
      </c>
      <c r="Q490" s="33" t="e">
        <f ca="1"/>
        <v>#N/A</v>
      </c>
      <c r="R490" s="33" t="e">
        <f ca="1"/>
        <v>#N/A</v>
      </c>
    </row>
    <row r="491" spans="1:18" x14ac:dyDescent="0.2">
      <c r="A491" s="2">
        <v>490</v>
      </c>
      <c r="B491" s="65">
        <v>45730</v>
      </c>
      <c r="C491" s="70">
        <v>0.41616898148148146</v>
      </c>
      <c r="D491" s="66" t="s">
        <v>98</v>
      </c>
      <c r="G491" s="66" t="s">
        <v>120</v>
      </c>
      <c r="H491" s="66" t="s">
        <v>100</v>
      </c>
      <c r="I491" s="33" t="str">
        <f ca="1"/>
        <v>25,34</v>
      </c>
      <c r="J491" s="2">
        <v>491</v>
      </c>
      <c r="K491" s="2" t="str">
        <v>No Match</v>
      </c>
      <c r="M491" s="33">
        <f ca="1"/>
        <v>25.34</v>
      </c>
      <c r="N491" s="2">
        <f ca="1"/>
        <v>25</v>
      </c>
      <c r="O491" s="2">
        <f ca="1"/>
        <v>24.625</v>
      </c>
      <c r="P491" s="2">
        <f ca="1"/>
        <v>25.375</v>
      </c>
      <c r="Q491" s="33">
        <f ca="1"/>
        <v>25.277244897959193</v>
      </c>
      <c r="R491" s="33">
        <f ca="1"/>
        <v>25.499000000000002</v>
      </c>
    </row>
    <row r="492" spans="1:18" x14ac:dyDescent="0.2">
      <c r="A492" s="2">
        <v>491</v>
      </c>
      <c r="B492" s="65">
        <v>45730</v>
      </c>
      <c r="C492" s="70">
        <v>0.41730324074074077</v>
      </c>
      <c r="D492" s="66" t="s">
        <v>98</v>
      </c>
      <c r="G492" s="66" t="s">
        <v>144</v>
      </c>
      <c r="H492" s="66" t="s">
        <v>100</v>
      </c>
      <c r="I492" s="33" t="str">
        <f ca="1"/>
        <v>25,63</v>
      </c>
      <c r="J492" s="2">
        <v>492</v>
      </c>
      <c r="K492" s="2" t="str">
        <v>No Match</v>
      </c>
      <c r="M492" s="33">
        <f ca="1"/>
        <v>25.63</v>
      </c>
      <c r="N492" s="2" t="e">
        <f ca="1"/>
        <v>#N/A</v>
      </c>
      <c r="O492" s="2" t="e">
        <f ca="1"/>
        <v>#N/A</v>
      </c>
      <c r="P492" s="2" t="e">
        <f ca="1"/>
        <v>#N/A</v>
      </c>
      <c r="Q492" s="33" t="e">
        <f ca="1"/>
        <v>#N/A</v>
      </c>
      <c r="R492" s="33" t="e">
        <f ca="1"/>
        <v>#N/A</v>
      </c>
    </row>
    <row r="493" spans="1:18" x14ac:dyDescent="0.2">
      <c r="A493" s="2">
        <v>492</v>
      </c>
      <c r="B493" s="65">
        <v>45730</v>
      </c>
      <c r="C493" s="70">
        <v>0.41850694444444442</v>
      </c>
      <c r="D493" s="66" t="s">
        <v>98</v>
      </c>
      <c r="G493" s="66" t="s">
        <v>167</v>
      </c>
      <c r="H493" s="66" t="s">
        <v>100</v>
      </c>
      <c r="I493" s="33" t="str">
        <f ca="1"/>
        <v>25,62</v>
      </c>
      <c r="J493" s="2">
        <v>493</v>
      </c>
      <c r="K493" s="2" t="str">
        <v>No Match</v>
      </c>
      <c r="M493" s="33">
        <f ca="1"/>
        <v>25.62</v>
      </c>
      <c r="N493" s="2" t="e">
        <f ca="1"/>
        <v>#N/A</v>
      </c>
      <c r="O493" s="2" t="e">
        <f ca="1"/>
        <v>#N/A</v>
      </c>
      <c r="P493" s="2" t="e">
        <f ca="1"/>
        <v>#N/A</v>
      </c>
      <c r="Q493" s="33" t="e">
        <f ca="1"/>
        <v>#N/A</v>
      </c>
      <c r="R493" s="33" t="e">
        <f ca="1"/>
        <v>#N/A</v>
      </c>
    </row>
    <row r="494" spans="1:18" x14ac:dyDescent="0.2">
      <c r="A494" s="2">
        <v>493</v>
      </c>
      <c r="B494" s="65">
        <v>45730</v>
      </c>
      <c r="C494" s="70">
        <v>0.42053240740740738</v>
      </c>
      <c r="D494" s="66" t="s">
        <v>98</v>
      </c>
      <c r="G494" s="66" t="s">
        <v>114</v>
      </c>
      <c r="H494" s="66" t="s">
        <v>100</v>
      </c>
      <c r="I494" s="33" t="str">
        <f ca="1"/>
        <v>25,70</v>
      </c>
      <c r="J494" s="2">
        <v>494</v>
      </c>
      <c r="K494" s="2" t="str">
        <v>No Match</v>
      </c>
      <c r="M494" s="33">
        <f ca="1"/>
        <v>25.7</v>
      </c>
      <c r="N494" s="2" t="e">
        <f ca="1"/>
        <v>#N/A</v>
      </c>
      <c r="O494" s="2" t="e">
        <f ca="1"/>
        <v>#N/A</v>
      </c>
      <c r="P494" s="2" t="e">
        <f ca="1"/>
        <v>#N/A</v>
      </c>
      <c r="Q494" s="33" t="e">
        <f ca="1"/>
        <v>#N/A</v>
      </c>
      <c r="R494" s="33" t="e">
        <f ca="1"/>
        <v>#N/A</v>
      </c>
    </row>
    <row r="495" spans="1:18" x14ac:dyDescent="0.2">
      <c r="A495" s="2">
        <v>494</v>
      </c>
      <c r="B495" s="65">
        <v>45730</v>
      </c>
      <c r="C495" s="70">
        <v>0.42101851851851851</v>
      </c>
      <c r="D495" s="66" t="s">
        <v>98</v>
      </c>
      <c r="G495" s="66" t="s">
        <v>198</v>
      </c>
      <c r="H495" s="66" t="s">
        <v>100</v>
      </c>
      <c r="I495" s="33" t="str">
        <f ca="1"/>
        <v>25,45</v>
      </c>
      <c r="J495" s="2">
        <v>495</v>
      </c>
      <c r="K495" s="2" t="str">
        <v>No Match</v>
      </c>
      <c r="M495" s="33">
        <f ca="1"/>
        <v>25.45</v>
      </c>
      <c r="N495" s="2" t="e">
        <f ca="1"/>
        <v>#N/A</v>
      </c>
      <c r="O495" s="2" t="e">
        <f ca="1"/>
        <v>#N/A</v>
      </c>
      <c r="P495" s="2" t="e">
        <f ca="1"/>
        <v>#N/A</v>
      </c>
      <c r="Q495" s="33" t="e">
        <f ca="1"/>
        <v>#N/A</v>
      </c>
      <c r="R495" s="33" t="e">
        <f ca="1"/>
        <v>#N/A</v>
      </c>
    </row>
    <row r="496" spans="1:18" x14ac:dyDescent="0.2">
      <c r="A496" s="2">
        <v>495</v>
      </c>
      <c r="B496" s="65">
        <v>45730</v>
      </c>
      <c r="C496" s="70">
        <v>0.42267361111111112</v>
      </c>
      <c r="D496" s="66" t="s">
        <v>98</v>
      </c>
      <c r="G496" s="66" t="s">
        <v>104</v>
      </c>
      <c r="H496" s="66" t="s">
        <v>100</v>
      </c>
      <c r="I496" s="33" t="str">
        <f ca="1"/>
        <v>25,40</v>
      </c>
      <c r="J496" s="2">
        <v>496</v>
      </c>
      <c r="K496" s="2" t="str">
        <v>No Match</v>
      </c>
      <c r="M496" s="33">
        <f ca="1"/>
        <v>25.4</v>
      </c>
      <c r="N496" s="2" t="e">
        <f ca="1"/>
        <v>#N/A</v>
      </c>
      <c r="O496" s="2" t="e">
        <f ca="1"/>
        <v>#N/A</v>
      </c>
      <c r="P496" s="2" t="e">
        <f ca="1"/>
        <v>#N/A</v>
      </c>
      <c r="Q496" s="33" t="e">
        <f ca="1"/>
        <v>#N/A</v>
      </c>
      <c r="R496" s="33" t="e">
        <f ca="1"/>
        <v>#N/A</v>
      </c>
    </row>
    <row r="497" spans="1:18" x14ac:dyDescent="0.2">
      <c r="A497" s="2">
        <v>496</v>
      </c>
      <c r="B497" s="65">
        <v>45730</v>
      </c>
      <c r="C497" s="70">
        <v>0.42376157407407405</v>
      </c>
      <c r="D497" s="66" t="s">
        <v>98</v>
      </c>
      <c r="G497" s="66" t="s">
        <v>167</v>
      </c>
      <c r="H497" s="66" t="s">
        <v>100</v>
      </c>
      <c r="I497" s="33" t="str">
        <f ca="1"/>
        <v>25,62</v>
      </c>
      <c r="J497" s="2">
        <v>497</v>
      </c>
      <c r="K497" s="2" t="str">
        <v>No Match</v>
      </c>
      <c r="M497" s="33">
        <f ca="1"/>
        <v>25.62</v>
      </c>
      <c r="N497" s="2" t="e">
        <f ca="1"/>
        <v>#N/A</v>
      </c>
      <c r="O497" s="2" t="e">
        <f ca="1"/>
        <v>#N/A</v>
      </c>
      <c r="P497" s="2" t="e">
        <f ca="1"/>
        <v>#N/A</v>
      </c>
      <c r="Q497" s="33" t="e">
        <f ca="1"/>
        <v>#N/A</v>
      </c>
      <c r="R497" s="33" t="e">
        <f ca="1"/>
        <v>#N/A</v>
      </c>
    </row>
    <row r="498" spans="1:18" x14ac:dyDescent="0.2">
      <c r="A498" s="2">
        <v>497</v>
      </c>
      <c r="B498" s="65">
        <v>45730</v>
      </c>
      <c r="C498" s="70">
        <v>0.42505787037037035</v>
      </c>
      <c r="D498" s="66" t="s">
        <v>98</v>
      </c>
      <c r="G498" s="66" t="s">
        <v>154</v>
      </c>
      <c r="H498" s="66" t="s">
        <v>100</v>
      </c>
      <c r="I498" s="33" t="str">
        <f ca="1"/>
        <v>25,75</v>
      </c>
      <c r="J498" s="2">
        <v>498</v>
      </c>
      <c r="K498" s="2" t="str">
        <v>No Match</v>
      </c>
      <c r="M498" s="33">
        <f ca="1"/>
        <v>25.75</v>
      </c>
      <c r="N498" s="2" t="e">
        <f ca="1"/>
        <v>#N/A</v>
      </c>
      <c r="O498" s="2" t="e">
        <f ca="1"/>
        <v>#N/A</v>
      </c>
      <c r="P498" s="2" t="e">
        <f ca="1"/>
        <v>#N/A</v>
      </c>
      <c r="Q498" s="33" t="e">
        <f ca="1"/>
        <v>#N/A</v>
      </c>
      <c r="R498" s="33" t="e">
        <f ca="1"/>
        <v>#N/A</v>
      </c>
    </row>
    <row r="499" spans="1:18" x14ac:dyDescent="0.2">
      <c r="A499" s="2">
        <v>498</v>
      </c>
      <c r="B499" s="65">
        <v>45730</v>
      </c>
      <c r="C499" s="70">
        <v>0.42677083333333332</v>
      </c>
      <c r="D499" s="66" t="s">
        <v>98</v>
      </c>
      <c r="G499" s="66" t="s">
        <v>226</v>
      </c>
      <c r="H499" s="66" t="s">
        <v>100</v>
      </c>
      <c r="I499" s="33" t="str">
        <f ca="1"/>
        <v>25,68</v>
      </c>
      <c r="J499" s="2">
        <v>499</v>
      </c>
      <c r="K499" s="2" t="str">
        <v>No Match</v>
      </c>
      <c r="M499" s="33">
        <f ca="1"/>
        <v>25.68</v>
      </c>
      <c r="N499" s="2" t="e">
        <f ca="1"/>
        <v>#N/A</v>
      </c>
      <c r="O499" s="2" t="e">
        <f ca="1"/>
        <v>#N/A</v>
      </c>
      <c r="P499" s="2" t="e">
        <f ca="1"/>
        <v>#N/A</v>
      </c>
      <c r="Q499" s="33" t="e">
        <f ca="1"/>
        <v>#N/A</v>
      </c>
      <c r="R499" s="33" t="e">
        <f ca="1"/>
        <v>#N/A</v>
      </c>
    </row>
    <row r="500" spans="1:18" x14ac:dyDescent="0.2">
      <c r="A500" s="2">
        <v>499</v>
      </c>
      <c r="B500" s="65">
        <v>45730</v>
      </c>
      <c r="C500" s="70">
        <v>0.42936342592592591</v>
      </c>
      <c r="D500" s="66" t="s">
        <v>98</v>
      </c>
      <c r="G500" s="66" t="s">
        <v>141</v>
      </c>
      <c r="H500" s="66" t="s">
        <v>100</v>
      </c>
      <c r="I500" s="33" t="str">
        <f ca="1"/>
        <v>25,50</v>
      </c>
      <c r="J500" s="2">
        <v>500</v>
      </c>
      <c r="K500" s="2" t="str">
        <v>No Match</v>
      </c>
      <c r="M500" s="33">
        <f ca="1"/>
        <v>25.5</v>
      </c>
      <c r="N500" s="2" t="e">
        <f ca="1"/>
        <v>#N/A</v>
      </c>
      <c r="O500" s="2" t="e">
        <f ca="1"/>
        <v>#N/A</v>
      </c>
      <c r="P500" s="2" t="e">
        <f ca="1"/>
        <v>#N/A</v>
      </c>
      <c r="Q500" s="33" t="e">
        <f ca="1"/>
        <v>#N/A</v>
      </c>
      <c r="R500" s="33" t="e">
        <f ca="1"/>
        <v>#N/A</v>
      </c>
    </row>
    <row r="501" spans="1:18" x14ac:dyDescent="0.2">
      <c r="A501" s="2">
        <v>500</v>
      </c>
      <c r="B501" s="65">
        <v>45730</v>
      </c>
      <c r="C501" s="70">
        <v>0.43</v>
      </c>
      <c r="D501" s="66" t="s">
        <v>98</v>
      </c>
      <c r="G501" s="66" t="s">
        <v>156</v>
      </c>
      <c r="H501" s="66" t="s">
        <v>100</v>
      </c>
      <c r="I501" s="33" t="str">
        <f ca="1"/>
        <v>25,83</v>
      </c>
      <c r="J501" s="2">
        <v>501</v>
      </c>
      <c r="K501" s="2" t="str">
        <v>No Match</v>
      </c>
      <c r="M501" s="33">
        <f ca="1"/>
        <v>25.83</v>
      </c>
      <c r="N501" s="2">
        <f ca="1"/>
        <v>25</v>
      </c>
      <c r="O501" s="2">
        <f ca="1"/>
        <v>24.625</v>
      </c>
      <c r="P501" s="2">
        <f ca="1"/>
        <v>25.375</v>
      </c>
      <c r="Q501" s="33">
        <f ca="1"/>
        <v>25.284060000000011</v>
      </c>
      <c r="R501" s="33">
        <f ca="1"/>
        <v>25.618000000000002</v>
      </c>
    </row>
    <row r="502" spans="1:18" x14ac:dyDescent="0.2">
      <c r="A502" s="2">
        <v>501</v>
      </c>
      <c r="B502" s="65">
        <v>45730</v>
      </c>
      <c r="C502" s="70">
        <v>0.43084490740740738</v>
      </c>
      <c r="D502" s="66" t="s">
        <v>98</v>
      </c>
      <c r="G502" s="66" t="s">
        <v>181</v>
      </c>
      <c r="H502" s="66" t="s">
        <v>100</v>
      </c>
      <c r="I502" s="33" t="str">
        <f ca="1"/>
        <v>25,76</v>
      </c>
      <c r="J502" s="2">
        <v>502</v>
      </c>
      <c r="K502" s="2" t="str">
        <v>No Match</v>
      </c>
      <c r="M502" s="33">
        <f ca="1"/>
        <v>25.76</v>
      </c>
      <c r="N502" s="2" t="e">
        <f ca="1"/>
        <v>#N/A</v>
      </c>
      <c r="O502" s="2" t="e">
        <f ca="1"/>
        <v>#N/A</v>
      </c>
      <c r="P502" s="2" t="e">
        <f ca="1"/>
        <v>#N/A</v>
      </c>
      <c r="Q502" s="33" t="e">
        <f ca="1"/>
        <v>#N/A</v>
      </c>
      <c r="R502" s="33" t="e">
        <f ca="1"/>
        <v>#N/A</v>
      </c>
    </row>
    <row r="503" spans="1:18" x14ac:dyDescent="0.2">
      <c r="A503" s="2">
        <v>502</v>
      </c>
      <c r="B503" s="65">
        <v>45730</v>
      </c>
      <c r="C503" s="70">
        <v>0.43126157407407406</v>
      </c>
      <c r="D503" s="66" t="s">
        <v>98</v>
      </c>
      <c r="G503" s="66" t="s">
        <v>152</v>
      </c>
      <c r="H503" s="66" t="s">
        <v>100</v>
      </c>
      <c r="I503" s="33" t="str">
        <f ca="1"/>
        <v>25,90</v>
      </c>
      <c r="J503" s="2">
        <v>503</v>
      </c>
      <c r="K503" s="2" t="str">
        <v>No Match</v>
      </c>
      <c r="M503" s="33">
        <f ca="1"/>
        <v>25.9</v>
      </c>
      <c r="N503" s="2" t="e">
        <f ca="1"/>
        <v>#N/A</v>
      </c>
      <c r="O503" s="2" t="e">
        <f ca="1"/>
        <v>#N/A</v>
      </c>
      <c r="P503" s="2" t="e">
        <f ca="1"/>
        <v>#N/A</v>
      </c>
      <c r="Q503" s="33" t="e">
        <f ca="1"/>
        <v>#N/A</v>
      </c>
      <c r="R503" s="33" t="e">
        <f ca="1"/>
        <v>#N/A</v>
      </c>
    </row>
    <row r="504" spans="1:18" x14ac:dyDescent="0.2">
      <c r="A504" s="2">
        <v>503</v>
      </c>
      <c r="B504" s="65">
        <v>45730</v>
      </c>
      <c r="C504" s="70">
        <v>0.43296296296296294</v>
      </c>
      <c r="D504" s="66" t="s">
        <v>98</v>
      </c>
      <c r="G504" s="66" t="s">
        <v>221</v>
      </c>
      <c r="H504" s="66" t="s">
        <v>100</v>
      </c>
      <c r="I504" s="33" t="str">
        <f ca="1"/>
        <v>25,99</v>
      </c>
      <c r="J504" s="2">
        <v>504</v>
      </c>
      <c r="K504" s="2" t="str">
        <v>No Match</v>
      </c>
      <c r="M504" s="33">
        <f ca="1"/>
        <v>25.99</v>
      </c>
      <c r="N504" s="2" t="e">
        <f ca="1"/>
        <v>#N/A</v>
      </c>
      <c r="O504" s="2" t="e">
        <f ca="1"/>
        <v>#N/A</v>
      </c>
      <c r="P504" s="2" t="e">
        <f ca="1"/>
        <v>#N/A</v>
      </c>
      <c r="Q504" s="33" t="e">
        <f ca="1"/>
        <v>#N/A</v>
      </c>
      <c r="R504" s="33" t="e">
        <f ca="1"/>
        <v>#N/A</v>
      </c>
    </row>
    <row r="505" spans="1:18" x14ac:dyDescent="0.2">
      <c r="A505" s="2">
        <v>504</v>
      </c>
      <c r="B505" s="65">
        <v>45730</v>
      </c>
      <c r="C505" s="70">
        <v>0.43494212962962964</v>
      </c>
      <c r="D505" s="66" t="s">
        <v>98</v>
      </c>
      <c r="G505" s="66" t="s">
        <v>228</v>
      </c>
      <c r="H505" s="66" t="s">
        <v>100</v>
      </c>
      <c r="I505" s="33" t="str">
        <f ca="1"/>
        <v>26,10</v>
      </c>
      <c r="J505" s="2">
        <v>505</v>
      </c>
      <c r="K505" s="2" t="str">
        <v>No Match</v>
      </c>
      <c r="M505" s="33">
        <f ca="1"/>
        <v>26.1</v>
      </c>
      <c r="N505" s="2" t="e">
        <f ca="1"/>
        <v>#N/A</v>
      </c>
      <c r="O505" s="2" t="e">
        <f ca="1"/>
        <v>#N/A</v>
      </c>
      <c r="P505" s="2" t="e">
        <f ca="1"/>
        <v>#N/A</v>
      </c>
      <c r="Q505" s="33" t="e">
        <f ca="1"/>
        <v>#N/A</v>
      </c>
      <c r="R505" s="33" t="e">
        <f ca="1"/>
        <v>#N/A</v>
      </c>
    </row>
    <row r="506" spans="1:18" x14ac:dyDescent="0.2">
      <c r="A506" s="2">
        <v>505</v>
      </c>
      <c r="B506" s="65">
        <v>45730</v>
      </c>
      <c r="C506" s="70">
        <v>0.43591435185185184</v>
      </c>
      <c r="D506" s="66" t="s">
        <v>98</v>
      </c>
      <c r="G506" s="66" t="s">
        <v>102</v>
      </c>
      <c r="H506" s="66" t="s">
        <v>100</v>
      </c>
      <c r="I506" s="33" t="str">
        <f ca="1"/>
        <v>25,06</v>
      </c>
      <c r="J506" s="2">
        <v>506</v>
      </c>
      <c r="K506" s="2" t="str">
        <v>No Match</v>
      </c>
      <c r="M506" s="33">
        <f ca="1"/>
        <v>25.06</v>
      </c>
      <c r="N506" s="2" t="e">
        <f ca="1"/>
        <v>#N/A</v>
      </c>
      <c r="O506" s="2" t="e">
        <f ca="1"/>
        <v>#N/A</v>
      </c>
      <c r="P506" s="2" t="e">
        <f ca="1"/>
        <v>#N/A</v>
      </c>
      <c r="Q506" s="33" t="e">
        <f ca="1"/>
        <v>#N/A</v>
      </c>
      <c r="R506" s="33" t="e">
        <f ca="1"/>
        <v>#N/A</v>
      </c>
    </row>
    <row r="507" spans="1:18" x14ac:dyDescent="0.2">
      <c r="A507" s="2">
        <v>506</v>
      </c>
      <c r="B507" s="65">
        <v>45730</v>
      </c>
      <c r="C507" s="70">
        <v>0.46379629629629632</v>
      </c>
      <c r="D507" s="66" t="s">
        <v>98</v>
      </c>
      <c r="G507" s="66" t="s">
        <v>140</v>
      </c>
      <c r="H507" s="66" t="s">
        <v>100</v>
      </c>
      <c r="I507" s="33" t="str">
        <f ca="1"/>
        <v>25,10</v>
      </c>
      <c r="J507" s="2">
        <v>507</v>
      </c>
      <c r="K507" s="2" t="str">
        <v>No Match</v>
      </c>
      <c r="M507" s="33">
        <f ca="1"/>
        <v>25.1</v>
      </c>
      <c r="N507" s="2" t="e">
        <f ca="1"/>
        <v>#N/A</v>
      </c>
      <c r="O507" s="2" t="e">
        <f ca="1"/>
        <v>#N/A</v>
      </c>
      <c r="P507" s="2" t="e">
        <f ca="1"/>
        <v>#N/A</v>
      </c>
      <c r="Q507" s="33" t="e">
        <f ca="1"/>
        <v>#N/A</v>
      </c>
      <c r="R507" s="33" t="e">
        <f ca="1"/>
        <v>#N/A</v>
      </c>
    </row>
    <row r="508" spans="1:18" x14ac:dyDescent="0.2">
      <c r="A508" s="2">
        <v>507</v>
      </c>
      <c r="B508" s="65">
        <v>45730</v>
      </c>
      <c r="C508" s="70">
        <v>0.4652662037037037</v>
      </c>
      <c r="D508" s="66" t="s">
        <v>98</v>
      </c>
      <c r="G508" s="66" t="s">
        <v>205</v>
      </c>
      <c r="H508" s="66" t="s">
        <v>100</v>
      </c>
      <c r="I508" s="33" t="str">
        <f ca="1"/>
        <v>24,92</v>
      </c>
      <c r="J508" s="2">
        <v>508</v>
      </c>
      <c r="K508" s="2" t="str">
        <v>No Match</v>
      </c>
      <c r="M508" s="33">
        <f ca="1"/>
        <v>24.92</v>
      </c>
      <c r="N508" s="2" t="e">
        <f ca="1"/>
        <v>#N/A</v>
      </c>
      <c r="O508" s="2" t="e">
        <f ca="1"/>
        <v>#N/A</v>
      </c>
      <c r="P508" s="2" t="e">
        <f ca="1"/>
        <v>#N/A</v>
      </c>
      <c r="Q508" s="33" t="e">
        <f ca="1"/>
        <v>#N/A</v>
      </c>
      <c r="R508" s="33" t="e">
        <f ca="1"/>
        <v>#N/A</v>
      </c>
    </row>
    <row r="509" spans="1:18" x14ac:dyDescent="0.2">
      <c r="A509" s="2">
        <v>508</v>
      </c>
      <c r="B509" s="65">
        <v>45730</v>
      </c>
      <c r="C509" s="70">
        <v>0.46633101851851849</v>
      </c>
      <c r="D509" s="66" t="s">
        <v>98</v>
      </c>
      <c r="G509" s="66" t="s">
        <v>102</v>
      </c>
      <c r="H509" s="66" t="s">
        <v>100</v>
      </c>
      <c r="I509" s="33" t="str">
        <f ca="1"/>
        <v>25,06</v>
      </c>
      <c r="J509" s="2">
        <v>509</v>
      </c>
      <c r="K509" s="2" t="str">
        <v>No Match</v>
      </c>
      <c r="M509" s="33">
        <f ca="1"/>
        <v>25.06</v>
      </c>
      <c r="N509" s="2" t="e">
        <f ca="1"/>
        <v>#N/A</v>
      </c>
      <c r="O509" s="2" t="e">
        <f ca="1"/>
        <v>#N/A</v>
      </c>
      <c r="P509" s="2" t="e">
        <f ca="1"/>
        <v>#N/A</v>
      </c>
      <c r="Q509" s="33" t="e">
        <f ca="1"/>
        <v>#N/A</v>
      </c>
      <c r="R509" s="33" t="e">
        <f ca="1"/>
        <v>#N/A</v>
      </c>
    </row>
    <row r="510" spans="1:18" x14ac:dyDescent="0.2">
      <c r="A510" s="2">
        <v>509</v>
      </c>
      <c r="B510" s="65">
        <v>45730</v>
      </c>
      <c r="C510" s="70">
        <v>0.46706018518518516</v>
      </c>
      <c r="D510" s="66" t="s">
        <v>98</v>
      </c>
      <c r="G510" s="66" t="s">
        <v>196</v>
      </c>
      <c r="H510" s="66" t="s">
        <v>100</v>
      </c>
      <c r="I510" s="33" t="str">
        <f ca="1"/>
        <v>24,81</v>
      </c>
      <c r="J510" s="2">
        <v>510</v>
      </c>
      <c r="K510" s="2" t="str">
        <v>No Match</v>
      </c>
      <c r="M510" s="33">
        <f ca="1"/>
        <v>24.81</v>
      </c>
      <c r="N510" s="2" t="e">
        <f ca="1"/>
        <v>#N/A</v>
      </c>
      <c r="O510" s="2" t="e">
        <f ca="1"/>
        <v>#N/A</v>
      </c>
      <c r="P510" s="2" t="e">
        <f ca="1"/>
        <v>#N/A</v>
      </c>
      <c r="Q510" s="33" t="e">
        <f ca="1"/>
        <v>#N/A</v>
      </c>
      <c r="R510" s="33" t="e">
        <f ca="1"/>
        <v>#N/A</v>
      </c>
    </row>
    <row r="511" spans="1:18" x14ac:dyDescent="0.2">
      <c r="A511" s="2">
        <v>510</v>
      </c>
      <c r="B511" s="65">
        <v>45730</v>
      </c>
      <c r="C511" s="70">
        <v>0.46748842592592593</v>
      </c>
      <c r="D511" s="66" t="s">
        <v>98</v>
      </c>
      <c r="G511" s="66" t="s">
        <v>147</v>
      </c>
      <c r="H511" s="66" t="s">
        <v>100</v>
      </c>
      <c r="I511" s="33" t="str">
        <f ca="1"/>
        <v>25,00</v>
      </c>
      <c r="J511" s="2">
        <v>511</v>
      </c>
      <c r="K511" s="2" t="str">
        <v>No Match</v>
      </c>
      <c r="M511" s="33">
        <f ca="1"/>
        <v>25</v>
      </c>
      <c r="N511" s="2">
        <f ca="1"/>
        <v>25</v>
      </c>
      <c r="O511" s="2">
        <f ca="1"/>
        <v>24.625</v>
      </c>
      <c r="P511" s="2">
        <f ca="1"/>
        <v>25.375</v>
      </c>
      <c r="Q511" s="33">
        <f ca="1"/>
        <v>25.285745098039225</v>
      </c>
      <c r="R511" s="33">
        <f ca="1"/>
        <v>25.369999999999997</v>
      </c>
    </row>
    <row r="512" spans="1:18" x14ac:dyDescent="0.2">
      <c r="A512" s="2">
        <v>511</v>
      </c>
      <c r="B512" s="65">
        <v>45730</v>
      </c>
      <c r="C512" s="70">
        <v>0.46868055555555554</v>
      </c>
      <c r="D512" s="66" t="s">
        <v>98</v>
      </c>
      <c r="G512" s="66" t="s">
        <v>209</v>
      </c>
      <c r="H512" s="66" t="s">
        <v>100</v>
      </c>
      <c r="I512" s="33" t="str">
        <f ca="1"/>
        <v>24,95</v>
      </c>
      <c r="J512" s="2">
        <v>512</v>
      </c>
      <c r="K512" s="2" t="str">
        <v>No Match</v>
      </c>
      <c r="M512" s="33">
        <f ca="1"/>
        <v>24.95</v>
      </c>
      <c r="N512" s="2" t="e">
        <f ca="1"/>
        <v>#N/A</v>
      </c>
      <c r="O512" s="2" t="e">
        <f ca="1"/>
        <v>#N/A</v>
      </c>
      <c r="P512" s="2" t="e">
        <f ca="1"/>
        <v>#N/A</v>
      </c>
      <c r="Q512" s="33" t="e">
        <f ca="1"/>
        <v>#N/A</v>
      </c>
      <c r="R512" s="33" t="e">
        <f ca="1"/>
        <v>#N/A</v>
      </c>
    </row>
    <row r="513" spans="1:18" x14ac:dyDescent="0.2">
      <c r="A513" s="2">
        <v>512</v>
      </c>
      <c r="B513" s="65">
        <v>45730</v>
      </c>
      <c r="C513" s="70">
        <v>0.46916666666666668</v>
      </c>
      <c r="D513" s="66" t="s">
        <v>98</v>
      </c>
      <c r="G513" s="66" t="s">
        <v>173</v>
      </c>
      <c r="H513" s="66" t="s">
        <v>100</v>
      </c>
      <c r="I513" s="33" t="str">
        <f ca="1"/>
        <v>24,87</v>
      </c>
      <c r="J513" s="2">
        <v>513</v>
      </c>
      <c r="K513" s="2" t="str">
        <v>No Match</v>
      </c>
      <c r="M513" s="33">
        <f ca="1"/>
        <v>24.87</v>
      </c>
      <c r="N513" s="2" t="e">
        <f ca="1"/>
        <v>#N/A</v>
      </c>
      <c r="O513" s="2" t="e">
        <f ca="1"/>
        <v>#N/A</v>
      </c>
      <c r="P513" s="2" t="e">
        <f ca="1"/>
        <v>#N/A</v>
      </c>
      <c r="Q513" s="33" t="e">
        <f ca="1"/>
        <v>#N/A</v>
      </c>
      <c r="R513" s="33" t="e">
        <f ca="1"/>
        <v>#N/A</v>
      </c>
    </row>
    <row r="514" spans="1:18" x14ac:dyDescent="0.2">
      <c r="A514" s="2">
        <v>513</v>
      </c>
      <c r="B514" s="65">
        <v>45730</v>
      </c>
      <c r="C514" s="70">
        <v>0.46966435185185185</v>
      </c>
      <c r="D514" s="66" t="s">
        <v>98</v>
      </c>
      <c r="G514" s="66" t="s">
        <v>173</v>
      </c>
      <c r="H514" s="66" t="s">
        <v>100</v>
      </c>
      <c r="I514" s="33" t="str">
        <f ca="1"/>
        <v>24,87</v>
      </c>
      <c r="J514" s="2">
        <v>514</v>
      </c>
      <c r="K514" s="2" t="str">
        <v>No Match</v>
      </c>
      <c r="M514" s="33">
        <f ca="1"/>
        <v>24.87</v>
      </c>
      <c r="N514" s="2" t="e">
        <f ca="1"/>
        <v>#N/A</v>
      </c>
      <c r="O514" s="2" t="e">
        <f ca="1"/>
        <v>#N/A</v>
      </c>
      <c r="P514" s="2" t="e">
        <f ca="1"/>
        <v>#N/A</v>
      </c>
      <c r="Q514" s="33" t="e">
        <f ca="1"/>
        <v>#N/A</v>
      </c>
      <c r="R514" s="33" t="e">
        <f ca="1"/>
        <v>#N/A</v>
      </c>
    </row>
    <row r="515" spans="1:18" x14ac:dyDescent="0.2">
      <c r="A515" s="2">
        <v>514</v>
      </c>
      <c r="B515" s="65">
        <v>45730</v>
      </c>
      <c r="C515" s="70">
        <v>0.47068287037037038</v>
      </c>
      <c r="D515" s="66" t="s">
        <v>98</v>
      </c>
      <c r="G515" s="66" t="s">
        <v>143</v>
      </c>
      <c r="H515" s="66" t="s">
        <v>100</v>
      </c>
      <c r="I515" s="33" t="str">
        <f ca="1"/>
        <v>25,53</v>
      </c>
      <c r="J515" s="2">
        <v>515</v>
      </c>
      <c r="K515" s="2" t="str">
        <v>No Match</v>
      </c>
      <c r="M515" s="33">
        <f ca="1"/>
        <v>25.53</v>
      </c>
      <c r="N515" s="2" t="e">
        <f ca="1"/>
        <v>#N/A</v>
      </c>
      <c r="O515" s="2" t="e">
        <f ca="1"/>
        <v>#N/A</v>
      </c>
      <c r="P515" s="2" t="e">
        <f ca="1"/>
        <v>#N/A</v>
      </c>
      <c r="Q515" s="33" t="e">
        <f ca="1"/>
        <v>#N/A</v>
      </c>
      <c r="R515" s="33" t="e">
        <f ca="1"/>
        <v>#N/A</v>
      </c>
    </row>
    <row r="516" spans="1:18" x14ac:dyDescent="0.2">
      <c r="A516" s="2">
        <v>515</v>
      </c>
      <c r="B516" s="65">
        <v>45730</v>
      </c>
      <c r="C516" s="70">
        <v>0.47160879629629632</v>
      </c>
      <c r="D516" s="66" t="s">
        <v>98</v>
      </c>
      <c r="G516" s="66" t="s">
        <v>154</v>
      </c>
      <c r="H516" s="66" t="s">
        <v>100</v>
      </c>
      <c r="I516" s="33" t="str">
        <f ca="1"/>
        <v>25,75</v>
      </c>
      <c r="J516" s="2">
        <v>516</v>
      </c>
      <c r="K516" s="2" t="str">
        <v>No Match</v>
      </c>
      <c r="M516" s="33">
        <f ca="1"/>
        <v>25.75</v>
      </c>
      <c r="N516" s="2" t="e">
        <f ca="1"/>
        <v>#N/A</v>
      </c>
      <c r="O516" s="2" t="e">
        <f ca="1"/>
        <v>#N/A</v>
      </c>
      <c r="P516" s="2" t="e">
        <f ca="1"/>
        <v>#N/A</v>
      </c>
      <c r="Q516" s="33" t="e">
        <f ca="1"/>
        <v>#N/A</v>
      </c>
      <c r="R516" s="33" t="e">
        <f ca="1"/>
        <v>#N/A</v>
      </c>
    </row>
    <row r="517" spans="1:18" x14ac:dyDescent="0.2">
      <c r="A517" s="2">
        <v>516</v>
      </c>
      <c r="B517" s="65">
        <v>45730</v>
      </c>
      <c r="C517" s="70">
        <v>0.47331018518518519</v>
      </c>
      <c r="D517" s="66" t="s">
        <v>98</v>
      </c>
      <c r="G517" s="66" t="s">
        <v>162</v>
      </c>
      <c r="H517" s="66" t="s">
        <v>100</v>
      </c>
      <c r="I517" s="33" t="str">
        <f ca="1"/>
        <v>25,51</v>
      </c>
      <c r="J517" s="2">
        <v>517</v>
      </c>
      <c r="K517" s="2" t="str">
        <v>No Match</v>
      </c>
      <c r="M517" s="33">
        <f ca="1"/>
        <v>25.51</v>
      </c>
      <c r="N517" s="2" t="e">
        <f ca="1"/>
        <v>#N/A</v>
      </c>
      <c r="O517" s="2" t="e">
        <f ca="1"/>
        <v>#N/A</v>
      </c>
      <c r="P517" s="2" t="e">
        <f ca="1"/>
        <v>#N/A</v>
      </c>
      <c r="Q517" s="33" t="e">
        <f ca="1"/>
        <v>#N/A</v>
      </c>
      <c r="R517" s="33" t="e">
        <f ca="1"/>
        <v>#N/A</v>
      </c>
    </row>
    <row r="518" spans="1:18" x14ac:dyDescent="0.2">
      <c r="A518" s="2">
        <v>517</v>
      </c>
      <c r="B518" s="65">
        <v>45730</v>
      </c>
      <c r="C518" s="70">
        <v>0.47425925925925927</v>
      </c>
      <c r="D518" s="66" t="s">
        <v>98</v>
      </c>
      <c r="G518" s="66" t="s">
        <v>179</v>
      </c>
      <c r="H518" s="66" t="s">
        <v>100</v>
      </c>
      <c r="I518" s="33" t="str">
        <f ca="1"/>
        <v>25,55</v>
      </c>
      <c r="J518" s="2">
        <v>518</v>
      </c>
      <c r="K518" s="2" t="str">
        <v>No Match</v>
      </c>
      <c r="M518" s="33">
        <f ca="1"/>
        <v>25.55</v>
      </c>
      <c r="N518" s="2" t="e">
        <f ca="1"/>
        <v>#N/A</v>
      </c>
      <c r="O518" s="2" t="e">
        <f ca="1"/>
        <v>#N/A</v>
      </c>
      <c r="P518" s="2" t="e">
        <f ca="1"/>
        <v>#N/A</v>
      </c>
      <c r="Q518" s="33" t="e">
        <f ca="1"/>
        <v>#N/A</v>
      </c>
      <c r="R518" s="33" t="e">
        <f ca="1"/>
        <v>#N/A</v>
      </c>
    </row>
    <row r="519" spans="1:18" x14ac:dyDescent="0.2">
      <c r="A519" s="2">
        <v>518</v>
      </c>
      <c r="B519" s="65">
        <v>45730</v>
      </c>
      <c r="C519" s="70">
        <v>0.4770138888888889</v>
      </c>
      <c r="D519" s="66" t="s">
        <v>98</v>
      </c>
      <c r="G519" s="66" t="s">
        <v>206</v>
      </c>
      <c r="H519" s="66" t="s">
        <v>100</v>
      </c>
      <c r="I519" s="33" t="str">
        <f ca="1"/>
        <v>25,80</v>
      </c>
      <c r="J519" s="2">
        <v>519</v>
      </c>
      <c r="K519" s="2" t="str">
        <v>No Match</v>
      </c>
      <c r="M519" s="33">
        <f ca="1"/>
        <v>25.8</v>
      </c>
      <c r="N519" s="2" t="e">
        <f ca="1"/>
        <v>#N/A</v>
      </c>
      <c r="O519" s="2" t="e">
        <f ca="1"/>
        <v>#N/A</v>
      </c>
      <c r="P519" s="2" t="e">
        <f ca="1"/>
        <v>#N/A</v>
      </c>
      <c r="Q519" s="33" t="e">
        <f ca="1"/>
        <v>#N/A</v>
      </c>
      <c r="R519" s="33" t="e">
        <f ca="1"/>
        <v>#N/A</v>
      </c>
    </row>
    <row r="520" spans="1:18" x14ac:dyDescent="0.2">
      <c r="A520" s="2">
        <v>519</v>
      </c>
      <c r="B520" s="65">
        <v>45730</v>
      </c>
      <c r="C520" s="70">
        <v>0.47857638888888887</v>
      </c>
      <c r="D520" s="66" t="s">
        <v>98</v>
      </c>
      <c r="G520" s="66" t="s">
        <v>212</v>
      </c>
      <c r="H520" s="66" t="s">
        <v>100</v>
      </c>
      <c r="I520" s="33" t="str">
        <f ca="1"/>
        <v>25,95</v>
      </c>
      <c r="J520" s="2">
        <v>520</v>
      </c>
      <c r="K520" s="2" t="str">
        <v>No Match</v>
      </c>
      <c r="M520" s="33">
        <f ca="1"/>
        <v>25.95</v>
      </c>
      <c r="N520" s="2" t="e">
        <f ca="1"/>
        <v>#N/A</v>
      </c>
      <c r="O520" s="2" t="e">
        <f ca="1"/>
        <v>#N/A</v>
      </c>
      <c r="P520" s="2" t="e">
        <f ca="1"/>
        <v>#N/A</v>
      </c>
      <c r="Q520" s="33" t="e">
        <f ca="1"/>
        <v>#N/A</v>
      </c>
      <c r="R520" s="33" t="e">
        <f ca="1"/>
        <v>#N/A</v>
      </c>
    </row>
    <row r="521" spans="1:18" x14ac:dyDescent="0.2">
      <c r="A521" s="2">
        <v>520</v>
      </c>
      <c r="B521" s="65">
        <v>45730</v>
      </c>
      <c r="C521" s="70">
        <v>0.47991898148148149</v>
      </c>
      <c r="D521" s="66" t="s">
        <v>98</v>
      </c>
      <c r="G521" s="66" t="s">
        <v>218</v>
      </c>
      <c r="H521" s="66" t="s">
        <v>100</v>
      </c>
      <c r="I521" s="33" t="str">
        <f ca="1"/>
        <v>25,88</v>
      </c>
      <c r="J521" s="2">
        <v>521</v>
      </c>
      <c r="K521" s="2" t="str">
        <v>No Match</v>
      </c>
      <c r="M521" s="33">
        <f ca="1"/>
        <v>25.88</v>
      </c>
      <c r="N521" s="2">
        <f ca="1"/>
        <v>25</v>
      </c>
      <c r="O521" s="2">
        <f ca="1"/>
        <v>24.625</v>
      </c>
      <c r="P521" s="2">
        <f ca="1"/>
        <v>25.375</v>
      </c>
      <c r="Q521" s="33">
        <f ca="1"/>
        <v>25.289211538461551</v>
      </c>
      <c r="R521" s="33">
        <f ca="1"/>
        <v>25.466000000000001</v>
      </c>
    </row>
    <row r="522" spans="1:18" x14ac:dyDescent="0.2">
      <c r="A522" s="2">
        <v>521</v>
      </c>
      <c r="B522" s="65">
        <v>45733</v>
      </c>
      <c r="C522" s="70">
        <v>0.24884259259259259</v>
      </c>
      <c r="D522" s="66" t="s">
        <v>98</v>
      </c>
      <c r="G522" s="66" t="s">
        <v>143</v>
      </c>
      <c r="H522" s="66" t="s">
        <v>100</v>
      </c>
      <c r="I522" s="33" t="str">
        <f ca="1"/>
        <v>25,53</v>
      </c>
      <c r="J522" s="2">
        <v>522</v>
      </c>
      <c r="K522" s="2" t="str">
        <v>No Match</v>
      </c>
      <c r="M522" s="33">
        <f ca="1"/>
        <v>25.53</v>
      </c>
      <c r="N522" s="2" t="e">
        <f ca="1"/>
        <v>#N/A</v>
      </c>
      <c r="O522" s="2" t="e">
        <f ca="1"/>
        <v>#N/A</v>
      </c>
      <c r="P522" s="2" t="e">
        <f ca="1"/>
        <v>#N/A</v>
      </c>
      <c r="Q522" s="33" t="e">
        <f ca="1"/>
        <v>#N/A</v>
      </c>
      <c r="R522" s="33" t="e">
        <f ca="1"/>
        <v>#N/A</v>
      </c>
    </row>
    <row r="523" spans="1:18" x14ac:dyDescent="0.2">
      <c r="A523" s="2">
        <v>522</v>
      </c>
      <c r="B523" s="65">
        <v>45733</v>
      </c>
      <c r="C523" s="70">
        <v>0.24888888888888888</v>
      </c>
      <c r="D523" s="66" t="s">
        <v>98</v>
      </c>
      <c r="G523" s="66" t="s">
        <v>101</v>
      </c>
      <c r="H523" s="66" t="s">
        <v>100</v>
      </c>
      <c r="I523" s="33" t="str">
        <f ca="1"/>
        <v>25,64</v>
      </c>
      <c r="J523" s="2">
        <v>523</v>
      </c>
      <c r="K523" s="2" t="str">
        <v>No Match</v>
      </c>
      <c r="M523" s="33">
        <f ca="1"/>
        <v>25.64</v>
      </c>
      <c r="N523" s="2" t="e">
        <f ca="1"/>
        <v>#N/A</v>
      </c>
      <c r="O523" s="2" t="e">
        <f ca="1"/>
        <v>#N/A</v>
      </c>
      <c r="P523" s="2" t="e">
        <f ca="1"/>
        <v>#N/A</v>
      </c>
      <c r="Q523" s="33" t="e">
        <f ca="1"/>
        <v>#N/A</v>
      </c>
      <c r="R523" s="33" t="e">
        <f ca="1"/>
        <v>#N/A</v>
      </c>
    </row>
    <row r="524" spans="1:18" x14ac:dyDescent="0.2">
      <c r="A524" s="2">
        <v>523</v>
      </c>
      <c r="B524" s="65">
        <v>45733</v>
      </c>
      <c r="C524" s="70">
        <v>0.24893518518518518</v>
      </c>
      <c r="D524" s="66" t="s">
        <v>98</v>
      </c>
      <c r="G524" s="66" t="s">
        <v>226</v>
      </c>
      <c r="H524" s="66" t="s">
        <v>100</v>
      </c>
      <c r="I524" s="33" t="str">
        <f ca="1"/>
        <v>25,68</v>
      </c>
      <c r="J524" s="2">
        <v>524</v>
      </c>
      <c r="K524" s="2" t="str">
        <v>No Match</v>
      </c>
      <c r="M524" s="33">
        <f ca="1"/>
        <v>25.68</v>
      </c>
      <c r="N524" s="2" t="e">
        <f ca="1"/>
        <v>#N/A</v>
      </c>
      <c r="O524" s="2" t="e">
        <f ca="1"/>
        <v>#N/A</v>
      </c>
      <c r="P524" s="2" t="e">
        <f ca="1"/>
        <v>#N/A</v>
      </c>
      <c r="Q524" s="33" t="e">
        <f ca="1"/>
        <v>#N/A</v>
      </c>
      <c r="R524" s="33" t="e">
        <f ca="1"/>
        <v>#N/A</v>
      </c>
    </row>
    <row r="525" spans="1:18" x14ac:dyDescent="0.2">
      <c r="A525" s="2">
        <v>524</v>
      </c>
      <c r="B525" s="65">
        <v>45733</v>
      </c>
      <c r="C525" s="70">
        <v>0.24899305555555556</v>
      </c>
      <c r="D525" s="66" t="s">
        <v>98</v>
      </c>
      <c r="G525" s="66" t="s">
        <v>156</v>
      </c>
      <c r="H525" s="66" t="s">
        <v>100</v>
      </c>
      <c r="I525" s="33" t="str">
        <f ca="1"/>
        <v>25,83</v>
      </c>
      <c r="J525" s="2">
        <v>525</v>
      </c>
      <c r="K525" s="2" t="str">
        <v>No Match</v>
      </c>
      <c r="M525" s="33">
        <f ca="1"/>
        <v>25.83</v>
      </c>
      <c r="N525" s="2" t="e">
        <f ca="1"/>
        <v>#N/A</v>
      </c>
      <c r="O525" s="2" t="e">
        <f ca="1"/>
        <v>#N/A</v>
      </c>
      <c r="P525" s="2" t="e">
        <f ca="1"/>
        <v>#N/A</v>
      </c>
      <c r="Q525" s="33" t="e">
        <f ca="1"/>
        <v>#N/A</v>
      </c>
      <c r="R525" s="33" t="e">
        <f ca="1"/>
        <v>#N/A</v>
      </c>
    </row>
    <row r="526" spans="1:18" x14ac:dyDescent="0.2">
      <c r="A526" s="2">
        <v>525</v>
      </c>
      <c r="B526" s="65">
        <v>45733</v>
      </c>
      <c r="C526" s="70">
        <v>0.24905092592592593</v>
      </c>
      <c r="D526" s="66" t="s">
        <v>98</v>
      </c>
      <c r="G526" s="66" t="s">
        <v>167</v>
      </c>
      <c r="H526" s="66" t="s">
        <v>100</v>
      </c>
      <c r="I526" s="33" t="str">
        <f ca="1"/>
        <v>25,62</v>
      </c>
      <c r="J526" s="2">
        <v>526</v>
      </c>
      <c r="K526" s="2" t="str">
        <v>No Match</v>
      </c>
      <c r="M526" s="33">
        <f ca="1"/>
        <v>25.62</v>
      </c>
      <c r="N526" s="2" t="e">
        <f ca="1"/>
        <v>#N/A</v>
      </c>
      <c r="O526" s="2" t="e">
        <f ca="1"/>
        <v>#N/A</v>
      </c>
      <c r="P526" s="2" t="e">
        <f ca="1"/>
        <v>#N/A</v>
      </c>
      <c r="Q526" s="33" t="e">
        <f ca="1"/>
        <v>#N/A</v>
      </c>
      <c r="R526" s="33" t="e">
        <f ca="1"/>
        <v>#N/A</v>
      </c>
    </row>
    <row r="527" spans="1:18" x14ac:dyDescent="0.2">
      <c r="A527" s="2">
        <v>526</v>
      </c>
      <c r="B527" s="65">
        <v>45733</v>
      </c>
      <c r="C527" s="70">
        <v>0.24909722222222222</v>
      </c>
      <c r="D527" s="66" t="s">
        <v>98</v>
      </c>
      <c r="G527" s="66" t="s">
        <v>157</v>
      </c>
      <c r="H527" s="66" t="s">
        <v>100</v>
      </c>
      <c r="I527" s="33" t="str">
        <f ca="1"/>
        <v>25,72</v>
      </c>
      <c r="J527" s="2">
        <v>527</v>
      </c>
      <c r="K527" s="2" t="str">
        <v>No Match</v>
      </c>
      <c r="M527" s="33">
        <f ca="1"/>
        <v>25.72</v>
      </c>
      <c r="N527" s="2" t="e">
        <f ca="1"/>
        <v>#N/A</v>
      </c>
      <c r="O527" s="2" t="e">
        <f ca="1"/>
        <v>#N/A</v>
      </c>
      <c r="P527" s="2" t="e">
        <f ca="1"/>
        <v>#N/A</v>
      </c>
      <c r="Q527" s="33" t="e">
        <f ca="1"/>
        <v>#N/A</v>
      </c>
      <c r="R527" s="33" t="e">
        <f ca="1"/>
        <v>#N/A</v>
      </c>
    </row>
    <row r="528" spans="1:18" x14ac:dyDescent="0.2">
      <c r="A528" s="2">
        <v>527</v>
      </c>
      <c r="B528" s="65">
        <v>45733</v>
      </c>
      <c r="C528" s="70">
        <v>0.24915509259259258</v>
      </c>
      <c r="D528" s="66" t="s">
        <v>98</v>
      </c>
      <c r="G528" s="66" t="s">
        <v>163</v>
      </c>
      <c r="H528" s="66" t="s">
        <v>100</v>
      </c>
      <c r="I528" s="33" t="str">
        <f ca="1"/>
        <v>25,47</v>
      </c>
      <c r="J528" s="2">
        <v>528</v>
      </c>
      <c r="K528" s="2" t="str">
        <v>No Match</v>
      </c>
      <c r="M528" s="33">
        <f ca="1"/>
        <v>25.47</v>
      </c>
      <c r="N528" s="2" t="e">
        <f ca="1"/>
        <v>#N/A</v>
      </c>
      <c r="O528" s="2" t="e">
        <f ca="1"/>
        <v>#N/A</v>
      </c>
      <c r="P528" s="2" t="e">
        <f ca="1"/>
        <v>#N/A</v>
      </c>
      <c r="Q528" s="33" t="e">
        <f ca="1"/>
        <v>#N/A</v>
      </c>
      <c r="R528" s="33" t="e">
        <f ca="1"/>
        <v>#N/A</v>
      </c>
    </row>
    <row r="529" spans="1:18" x14ac:dyDescent="0.2">
      <c r="A529" s="2">
        <v>528</v>
      </c>
      <c r="B529" s="65">
        <v>45733</v>
      </c>
      <c r="C529" s="70">
        <v>0.24921296296296297</v>
      </c>
      <c r="D529" s="66" t="s">
        <v>98</v>
      </c>
      <c r="G529" s="66" t="s">
        <v>185</v>
      </c>
      <c r="H529" s="66" t="s">
        <v>100</v>
      </c>
      <c r="I529" s="33" t="str">
        <f ca="1"/>
        <v>25,69</v>
      </c>
      <c r="J529" s="2">
        <v>529</v>
      </c>
      <c r="K529" s="2" t="str">
        <v>No Match</v>
      </c>
      <c r="M529" s="33">
        <f ca="1"/>
        <v>25.69</v>
      </c>
      <c r="N529" s="2" t="e">
        <f ca="1"/>
        <v>#N/A</v>
      </c>
      <c r="O529" s="2" t="e">
        <f ca="1"/>
        <v>#N/A</v>
      </c>
      <c r="P529" s="2" t="e">
        <f ca="1"/>
        <v>#N/A</v>
      </c>
      <c r="Q529" s="33" t="e">
        <f ca="1"/>
        <v>#N/A</v>
      </c>
      <c r="R529" s="33" t="e">
        <f ca="1"/>
        <v>#N/A</v>
      </c>
    </row>
    <row r="530" spans="1:18" x14ac:dyDescent="0.2">
      <c r="A530" s="2">
        <v>529</v>
      </c>
      <c r="B530" s="65">
        <v>45733</v>
      </c>
      <c r="C530" s="70">
        <v>0.2492824074074074</v>
      </c>
      <c r="D530" s="66" t="s">
        <v>98</v>
      </c>
      <c r="G530" s="66" t="s">
        <v>156</v>
      </c>
      <c r="H530" s="66" t="s">
        <v>100</v>
      </c>
      <c r="I530" s="33" t="str">
        <f ca="1"/>
        <v>25,83</v>
      </c>
      <c r="J530" s="2">
        <v>530</v>
      </c>
      <c r="K530" s="2" t="str">
        <v>No Match</v>
      </c>
      <c r="M530" s="33">
        <f ca="1"/>
        <v>25.83</v>
      </c>
      <c r="N530" s="2" t="e">
        <f ca="1"/>
        <v>#N/A</v>
      </c>
      <c r="O530" s="2" t="e">
        <f ca="1"/>
        <v>#N/A</v>
      </c>
      <c r="P530" s="2" t="e">
        <f ca="1"/>
        <v>#N/A</v>
      </c>
      <c r="Q530" s="33" t="e">
        <f ca="1"/>
        <v>#N/A</v>
      </c>
      <c r="R530" s="33" t="e">
        <f ca="1"/>
        <v>#N/A</v>
      </c>
    </row>
    <row r="531" spans="1:18" x14ac:dyDescent="0.2">
      <c r="A531" s="2">
        <v>530</v>
      </c>
      <c r="B531" s="65">
        <v>45733</v>
      </c>
      <c r="C531" s="70">
        <v>0.24932870370370369</v>
      </c>
      <c r="D531" s="66" t="s">
        <v>98</v>
      </c>
      <c r="G531" s="66" t="s">
        <v>157</v>
      </c>
      <c r="H531" s="66" t="s">
        <v>100</v>
      </c>
      <c r="I531" s="33" t="str">
        <f ca="1"/>
        <v>25,72</v>
      </c>
      <c r="J531" s="2">
        <v>531</v>
      </c>
      <c r="K531" s="2" t="str">
        <v>No Match</v>
      </c>
      <c r="M531" s="33">
        <f ca="1"/>
        <v>25.72</v>
      </c>
      <c r="N531" s="2">
        <f ca="1"/>
        <v>25</v>
      </c>
      <c r="O531" s="2">
        <f ca="1"/>
        <v>24.625</v>
      </c>
      <c r="P531" s="2">
        <f ca="1"/>
        <v>25.375</v>
      </c>
      <c r="Q531" s="33">
        <f ca="1"/>
        <v>25.296452830188692</v>
      </c>
      <c r="R531" s="33">
        <f ca="1"/>
        <v>25.673000000000002</v>
      </c>
    </row>
    <row r="532" spans="1:18" x14ac:dyDescent="0.2">
      <c r="A532" s="2">
        <v>531</v>
      </c>
      <c r="B532" s="65">
        <v>45733</v>
      </c>
      <c r="C532" s="70">
        <v>0.29576388888888888</v>
      </c>
      <c r="D532" s="66" t="s">
        <v>98</v>
      </c>
      <c r="G532" s="66" t="s">
        <v>102</v>
      </c>
      <c r="H532" s="66" t="s">
        <v>100</v>
      </c>
      <c r="I532" s="33" t="str">
        <f ca="1"/>
        <v>25,06</v>
      </c>
      <c r="J532" s="2">
        <v>532</v>
      </c>
      <c r="K532" s="2" t="str">
        <v>No Match</v>
      </c>
      <c r="M532" s="33">
        <f ca="1"/>
        <v>25.06</v>
      </c>
      <c r="N532" s="2" t="e">
        <f ca="1"/>
        <v>#N/A</v>
      </c>
      <c r="O532" s="2" t="e">
        <f ca="1"/>
        <v>#N/A</v>
      </c>
      <c r="P532" s="2" t="e">
        <f ca="1"/>
        <v>#N/A</v>
      </c>
      <c r="Q532" s="33" t="e">
        <f ca="1"/>
        <v>#N/A</v>
      </c>
      <c r="R532" s="33" t="e">
        <f ca="1"/>
        <v>#N/A</v>
      </c>
    </row>
    <row r="533" spans="1:18" x14ac:dyDescent="0.2">
      <c r="A533" s="2">
        <v>532</v>
      </c>
      <c r="B533" s="65">
        <v>45733</v>
      </c>
      <c r="C533" s="70">
        <v>0.29619212962962965</v>
      </c>
      <c r="D533" s="66" t="s">
        <v>98</v>
      </c>
      <c r="G533" s="66" t="s">
        <v>119</v>
      </c>
      <c r="H533" s="66" t="s">
        <v>100</v>
      </c>
      <c r="I533" s="33" t="str">
        <f ca="1"/>
        <v>25,56</v>
      </c>
      <c r="J533" s="2">
        <v>533</v>
      </c>
      <c r="K533" s="2" t="str">
        <v>No Match</v>
      </c>
      <c r="M533" s="33">
        <f ca="1"/>
        <v>25.56</v>
      </c>
      <c r="N533" s="2" t="e">
        <f ca="1"/>
        <v>#N/A</v>
      </c>
      <c r="O533" s="2" t="e">
        <f ca="1"/>
        <v>#N/A</v>
      </c>
      <c r="P533" s="2" t="e">
        <f ca="1"/>
        <v>#N/A</v>
      </c>
      <c r="Q533" s="33" t="e">
        <f ca="1"/>
        <v>#N/A</v>
      </c>
      <c r="R533" s="33" t="e">
        <f ca="1"/>
        <v>#N/A</v>
      </c>
    </row>
    <row r="534" spans="1:18" x14ac:dyDescent="0.2">
      <c r="A534" s="2">
        <v>533</v>
      </c>
      <c r="B534" s="65">
        <v>45733</v>
      </c>
      <c r="C534" s="70">
        <v>0.29623842592592592</v>
      </c>
      <c r="D534" s="66" t="s">
        <v>98</v>
      </c>
      <c r="G534" s="66" t="s">
        <v>101</v>
      </c>
      <c r="H534" s="66" t="s">
        <v>100</v>
      </c>
      <c r="I534" s="33" t="str">
        <f ca="1"/>
        <v>25,64</v>
      </c>
      <c r="J534" s="2">
        <v>534</v>
      </c>
      <c r="K534" s="2" t="str">
        <v>No Match</v>
      </c>
      <c r="M534" s="33">
        <f ca="1"/>
        <v>25.64</v>
      </c>
      <c r="N534" s="2" t="e">
        <f ca="1"/>
        <v>#N/A</v>
      </c>
      <c r="O534" s="2" t="e">
        <f ca="1"/>
        <v>#N/A</v>
      </c>
      <c r="P534" s="2" t="e">
        <f ca="1"/>
        <v>#N/A</v>
      </c>
      <c r="Q534" s="33" t="e">
        <f ca="1"/>
        <v>#N/A</v>
      </c>
      <c r="R534" s="33" t="e">
        <f ca="1"/>
        <v>#N/A</v>
      </c>
    </row>
    <row r="535" spans="1:18" x14ac:dyDescent="0.2">
      <c r="A535" s="2">
        <v>534</v>
      </c>
      <c r="B535" s="65">
        <v>45733</v>
      </c>
      <c r="C535" s="70">
        <v>0.29628472222222224</v>
      </c>
      <c r="D535" s="66" t="s">
        <v>98</v>
      </c>
      <c r="G535" s="66" t="s">
        <v>114</v>
      </c>
      <c r="H535" s="66" t="s">
        <v>100</v>
      </c>
      <c r="I535" s="33" t="str">
        <f ca="1"/>
        <v>25,70</v>
      </c>
      <c r="J535" s="2">
        <v>535</v>
      </c>
      <c r="K535" s="2" t="str">
        <v>No Match</v>
      </c>
      <c r="M535" s="33">
        <f ca="1"/>
        <v>25.7</v>
      </c>
      <c r="N535" s="2" t="e">
        <f ca="1"/>
        <v>#N/A</v>
      </c>
      <c r="O535" s="2" t="e">
        <f ca="1"/>
        <v>#N/A</v>
      </c>
      <c r="P535" s="2" t="e">
        <f ca="1"/>
        <v>#N/A</v>
      </c>
      <c r="Q535" s="33" t="e">
        <f ca="1"/>
        <v>#N/A</v>
      </c>
      <c r="R535" s="33" t="e">
        <f ca="1"/>
        <v>#N/A</v>
      </c>
    </row>
    <row r="536" spans="1:18" x14ac:dyDescent="0.2">
      <c r="A536" s="2">
        <v>535</v>
      </c>
      <c r="B536" s="65">
        <v>45733</v>
      </c>
      <c r="C536" s="70">
        <v>0.2963425925925926</v>
      </c>
      <c r="D536" s="66" t="s">
        <v>98</v>
      </c>
      <c r="G536" s="66" t="s">
        <v>179</v>
      </c>
      <c r="H536" s="66" t="s">
        <v>100</v>
      </c>
      <c r="I536" s="33" t="str">
        <f ca="1"/>
        <v>25,55</v>
      </c>
      <c r="J536" s="2">
        <v>536</v>
      </c>
      <c r="K536" s="2" t="str">
        <v>No Match</v>
      </c>
      <c r="M536" s="33">
        <f ca="1"/>
        <v>25.55</v>
      </c>
      <c r="N536" s="2" t="e">
        <f ca="1"/>
        <v>#N/A</v>
      </c>
      <c r="O536" s="2" t="e">
        <f ca="1"/>
        <v>#N/A</v>
      </c>
      <c r="P536" s="2" t="e">
        <f ca="1"/>
        <v>#N/A</v>
      </c>
      <c r="Q536" s="33" t="e">
        <f ca="1"/>
        <v>#N/A</v>
      </c>
      <c r="R536" s="33" t="e">
        <f ca="1"/>
        <v>#N/A</v>
      </c>
    </row>
    <row r="537" spans="1:18" x14ac:dyDescent="0.2">
      <c r="A537" s="2">
        <v>536</v>
      </c>
      <c r="B537" s="65">
        <v>45733</v>
      </c>
      <c r="C537" s="70">
        <v>0.29638888888888887</v>
      </c>
      <c r="D537" s="66" t="s">
        <v>98</v>
      </c>
      <c r="G537" s="66" t="s">
        <v>117</v>
      </c>
      <c r="H537" s="66" t="s">
        <v>100</v>
      </c>
      <c r="I537" s="33" t="str">
        <f ca="1"/>
        <v>25,61</v>
      </c>
      <c r="J537" s="2">
        <v>537</v>
      </c>
      <c r="K537" s="2" t="str">
        <v>No Match</v>
      </c>
      <c r="M537" s="33">
        <f ca="1"/>
        <v>25.61</v>
      </c>
      <c r="N537" s="2" t="e">
        <f ca="1"/>
        <v>#N/A</v>
      </c>
      <c r="O537" s="2" t="e">
        <f ca="1"/>
        <v>#N/A</v>
      </c>
      <c r="P537" s="2" t="e">
        <f ca="1"/>
        <v>#N/A</v>
      </c>
      <c r="Q537" s="33" t="e">
        <f ca="1"/>
        <v>#N/A</v>
      </c>
      <c r="R537" s="33" t="e">
        <f ca="1"/>
        <v>#N/A</v>
      </c>
    </row>
    <row r="538" spans="1:18" x14ac:dyDescent="0.2">
      <c r="A538" s="2">
        <v>537</v>
      </c>
      <c r="B538" s="65">
        <v>45733</v>
      </c>
      <c r="C538" s="70">
        <v>0.29643518518518519</v>
      </c>
      <c r="D538" s="66" t="s">
        <v>98</v>
      </c>
      <c r="G538" s="66" t="s">
        <v>158</v>
      </c>
      <c r="H538" s="66" t="s">
        <v>100</v>
      </c>
      <c r="I538" s="33" t="str">
        <f ca="1"/>
        <v>25,67</v>
      </c>
      <c r="J538" s="2">
        <v>538</v>
      </c>
      <c r="K538" s="2" t="str">
        <v>No Match</v>
      </c>
      <c r="M538" s="33">
        <f ca="1"/>
        <v>25.67</v>
      </c>
      <c r="N538" s="2" t="e">
        <f ca="1"/>
        <v>#N/A</v>
      </c>
      <c r="O538" s="2" t="e">
        <f ca="1"/>
        <v>#N/A</v>
      </c>
      <c r="P538" s="2" t="e">
        <f ca="1"/>
        <v>#N/A</v>
      </c>
      <c r="Q538" s="33" t="e">
        <f ca="1"/>
        <v>#N/A</v>
      </c>
      <c r="R538" s="33" t="e">
        <f ca="1"/>
        <v>#N/A</v>
      </c>
    </row>
    <row r="539" spans="1:18" x14ac:dyDescent="0.2">
      <c r="A539" s="2">
        <v>538</v>
      </c>
      <c r="B539" s="65">
        <v>45733</v>
      </c>
      <c r="C539" s="70">
        <v>0.29648148148148146</v>
      </c>
      <c r="D539" s="66" t="s">
        <v>98</v>
      </c>
      <c r="G539" s="66" t="s">
        <v>157</v>
      </c>
      <c r="H539" s="66" t="s">
        <v>100</v>
      </c>
      <c r="I539" s="33" t="str">
        <f ca="1"/>
        <v>25,72</v>
      </c>
      <c r="J539" s="2">
        <v>539</v>
      </c>
      <c r="K539" s="2" t="str">
        <v>No Match</v>
      </c>
      <c r="M539" s="33">
        <f ca="1"/>
        <v>25.72</v>
      </c>
      <c r="N539" s="2" t="e">
        <f ca="1"/>
        <v>#N/A</v>
      </c>
      <c r="O539" s="2" t="e">
        <f ca="1"/>
        <v>#N/A</v>
      </c>
      <c r="P539" s="2" t="e">
        <f ca="1"/>
        <v>#N/A</v>
      </c>
      <c r="Q539" s="33" t="e">
        <f ca="1"/>
        <v>#N/A</v>
      </c>
      <c r="R539" s="33" t="e">
        <f ca="1"/>
        <v>#N/A</v>
      </c>
    </row>
    <row r="540" spans="1:18" x14ac:dyDescent="0.2">
      <c r="A540" s="2">
        <v>539</v>
      </c>
      <c r="B540" s="65">
        <v>45733</v>
      </c>
      <c r="C540" s="70">
        <v>0.29652777777777778</v>
      </c>
      <c r="D540" s="66" t="s">
        <v>98</v>
      </c>
      <c r="G540" s="66" t="s">
        <v>223</v>
      </c>
      <c r="H540" s="66" t="s">
        <v>100</v>
      </c>
      <c r="I540" s="33" t="str">
        <f ca="1"/>
        <v>25,73</v>
      </c>
      <c r="J540" s="2">
        <v>540</v>
      </c>
      <c r="K540" s="2" t="str">
        <v>No Match</v>
      </c>
      <c r="M540" s="33">
        <f ca="1"/>
        <v>25.73</v>
      </c>
      <c r="N540" s="2" t="e">
        <f ca="1"/>
        <v>#N/A</v>
      </c>
      <c r="O540" s="2" t="e">
        <f ca="1"/>
        <v>#N/A</v>
      </c>
      <c r="P540" s="2" t="e">
        <f ca="1"/>
        <v>#N/A</v>
      </c>
      <c r="Q540" s="33" t="e">
        <f ca="1"/>
        <v>#N/A</v>
      </c>
      <c r="R540" s="33" t="e">
        <f ca="1"/>
        <v>#N/A</v>
      </c>
    </row>
    <row r="541" spans="1:18" x14ac:dyDescent="0.2">
      <c r="A541" s="2">
        <v>540</v>
      </c>
      <c r="B541" s="65">
        <v>45733</v>
      </c>
      <c r="C541" s="70">
        <v>0.2965740740740741</v>
      </c>
      <c r="D541" s="66" t="s">
        <v>98</v>
      </c>
      <c r="G541" s="66" t="s">
        <v>174</v>
      </c>
      <c r="H541" s="66" t="s">
        <v>100</v>
      </c>
      <c r="I541" s="33" t="str">
        <f ca="1"/>
        <v>25,65</v>
      </c>
      <c r="J541" s="2">
        <v>541</v>
      </c>
      <c r="K541" s="2" t="str">
        <v>No Match</v>
      </c>
      <c r="M541" s="33">
        <f ca="1"/>
        <v>25.65</v>
      </c>
      <c r="N541" s="2">
        <f ca="1"/>
        <v>25</v>
      </c>
      <c r="O541" s="2">
        <f ca="1"/>
        <v>24.625</v>
      </c>
      <c r="P541" s="2">
        <f ca="1"/>
        <v>25.375</v>
      </c>
      <c r="Q541" s="33">
        <f ca="1"/>
        <v>25.301870370370377</v>
      </c>
      <c r="R541" s="33">
        <f ca="1"/>
        <v>25.589000000000002</v>
      </c>
    </row>
    <row r="542" spans="1:18" x14ac:dyDescent="0.2">
      <c r="A542" s="2">
        <v>541</v>
      </c>
      <c r="B542" s="65">
        <v>45733</v>
      </c>
      <c r="C542" s="70">
        <v>0.2981712962962963</v>
      </c>
      <c r="D542" s="66" t="s">
        <v>98</v>
      </c>
      <c r="G542" s="66" t="s">
        <v>119</v>
      </c>
      <c r="H542" s="66" t="s">
        <v>100</v>
      </c>
      <c r="I542" s="33" t="str">
        <f ca="1"/>
        <v>25,56</v>
      </c>
      <c r="J542" s="2">
        <v>542</v>
      </c>
      <c r="K542" s="2" t="str">
        <v>No Match</v>
      </c>
      <c r="M542" s="33">
        <f ca="1"/>
        <v>25.56</v>
      </c>
      <c r="N542" s="2" t="e">
        <f ca="1"/>
        <v>#N/A</v>
      </c>
      <c r="O542" s="2" t="e">
        <f ca="1"/>
        <v>#N/A</v>
      </c>
      <c r="P542" s="2" t="e">
        <f ca="1"/>
        <v>#N/A</v>
      </c>
      <c r="Q542" s="33" t="e">
        <f ca="1"/>
        <v>#N/A</v>
      </c>
      <c r="R542" s="33" t="e">
        <f ca="1"/>
        <v>#N/A</v>
      </c>
    </row>
    <row r="543" spans="1:18" x14ac:dyDescent="0.2">
      <c r="A543" s="2">
        <v>542</v>
      </c>
      <c r="B543" s="65">
        <v>45733</v>
      </c>
      <c r="C543" s="70">
        <v>0.2996875</v>
      </c>
      <c r="D543" s="66" t="s">
        <v>98</v>
      </c>
      <c r="G543" s="66" t="s">
        <v>168</v>
      </c>
      <c r="H543" s="66" t="s">
        <v>100</v>
      </c>
      <c r="I543" s="33" t="str">
        <f ca="1"/>
        <v>25,59</v>
      </c>
      <c r="J543" s="2">
        <v>543</v>
      </c>
      <c r="K543" s="2" t="str">
        <v>No Match</v>
      </c>
      <c r="M543" s="33">
        <f ca="1"/>
        <v>25.59</v>
      </c>
      <c r="N543" s="2" t="e">
        <f ca="1"/>
        <v>#N/A</v>
      </c>
      <c r="O543" s="2" t="e">
        <f ca="1"/>
        <v>#N/A</v>
      </c>
      <c r="P543" s="2" t="e">
        <f ca="1"/>
        <v>#N/A</v>
      </c>
      <c r="Q543" s="33" t="e">
        <f ca="1"/>
        <v>#N/A</v>
      </c>
      <c r="R543" s="33" t="e">
        <f ca="1"/>
        <v>#N/A</v>
      </c>
    </row>
    <row r="544" spans="1:18" x14ac:dyDescent="0.2">
      <c r="A544" s="2">
        <v>543</v>
      </c>
      <c r="B544" s="65">
        <v>45733</v>
      </c>
      <c r="C544" s="70">
        <v>0.30144675925925923</v>
      </c>
      <c r="D544" s="66" t="s">
        <v>98</v>
      </c>
      <c r="G544" s="66" t="s">
        <v>175</v>
      </c>
      <c r="H544" s="66" t="s">
        <v>100</v>
      </c>
      <c r="I544" s="33" t="str">
        <f ca="1"/>
        <v>25,58</v>
      </c>
      <c r="J544" s="2">
        <v>544</v>
      </c>
      <c r="K544" s="2" t="str">
        <v>No Match</v>
      </c>
      <c r="M544" s="33">
        <f ca="1"/>
        <v>25.58</v>
      </c>
      <c r="N544" s="2" t="e">
        <f ca="1"/>
        <v>#N/A</v>
      </c>
      <c r="O544" s="2" t="e">
        <f ca="1"/>
        <v>#N/A</v>
      </c>
      <c r="P544" s="2" t="e">
        <f ca="1"/>
        <v>#N/A</v>
      </c>
      <c r="Q544" s="33" t="e">
        <f ca="1"/>
        <v>#N/A</v>
      </c>
      <c r="R544" s="33" t="e">
        <f ca="1"/>
        <v>#N/A</v>
      </c>
    </row>
    <row r="545" spans="1:18" x14ac:dyDescent="0.2">
      <c r="A545" s="2">
        <v>544</v>
      </c>
      <c r="B545" s="65">
        <v>45733</v>
      </c>
      <c r="C545" s="70">
        <v>0.30796296296296294</v>
      </c>
      <c r="D545" s="66" t="s">
        <v>98</v>
      </c>
      <c r="G545" s="66" t="s">
        <v>150</v>
      </c>
      <c r="H545" s="66" t="s">
        <v>100</v>
      </c>
      <c r="I545" s="33" t="str">
        <f ca="1"/>
        <v>26,12</v>
      </c>
      <c r="J545" s="2">
        <v>545</v>
      </c>
      <c r="K545" s="2" t="str">
        <v>No Match</v>
      </c>
      <c r="M545" s="33">
        <f ca="1"/>
        <v>26.12</v>
      </c>
      <c r="N545" s="2" t="e">
        <f ca="1"/>
        <v>#N/A</v>
      </c>
      <c r="O545" s="2" t="e">
        <f ca="1"/>
        <v>#N/A</v>
      </c>
      <c r="P545" s="2" t="e">
        <f ca="1"/>
        <v>#N/A</v>
      </c>
      <c r="Q545" s="33" t="e">
        <f ca="1"/>
        <v>#N/A</v>
      </c>
      <c r="R545" s="33" t="e">
        <f ca="1"/>
        <v>#N/A</v>
      </c>
    </row>
    <row r="546" spans="1:18" x14ac:dyDescent="0.2">
      <c r="A546" s="2">
        <v>545</v>
      </c>
      <c r="B546" s="65">
        <v>45733</v>
      </c>
      <c r="C546" s="70">
        <v>0.31090277777777775</v>
      </c>
      <c r="D546" s="66" t="s">
        <v>98</v>
      </c>
      <c r="G546" s="66" t="s">
        <v>112</v>
      </c>
      <c r="H546" s="66" t="s">
        <v>100</v>
      </c>
      <c r="I546" s="33" t="str">
        <f ca="1"/>
        <v>25,36</v>
      </c>
      <c r="J546" s="2">
        <v>546</v>
      </c>
      <c r="K546" s="2" t="str">
        <v>No Match</v>
      </c>
      <c r="M546" s="33">
        <f ca="1"/>
        <v>25.36</v>
      </c>
      <c r="N546" s="2" t="e">
        <f ca="1"/>
        <v>#N/A</v>
      </c>
      <c r="O546" s="2" t="e">
        <f ca="1"/>
        <v>#N/A</v>
      </c>
      <c r="P546" s="2" t="e">
        <f ca="1"/>
        <v>#N/A</v>
      </c>
      <c r="Q546" s="33" t="e">
        <f ca="1"/>
        <v>#N/A</v>
      </c>
      <c r="R546" s="33" t="e">
        <f ca="1"/>
        <v>#N/A</v>
      </c>
    </row>
    <row r="547" spans="1:18" x14ac:dyDescent="0.2">
      <c r="A547" s="2">
        <v>546</v>
      </c>
      <c r="B547" s="65">
        <v>45733</v>
      </c>
      <c r="C547" s="70">
        <v>0.31339120370370371</v>
      </c>
      <c r="D547" s="66" t="s">
        <v>98</v>
      </c>
      <c r="G547" s="66" t="s">
        <v>202</v>
      </c>
      <c r="H547" s="66" t="s">
        <v>100</v>
      </c>
      <c r="I547" s="33" t="str">
        <f ca="1"/>
        <v>25,31</v>
      </c>
      <c r="J547" s="2">
        <v>547</v>
      </c>
      <c r="K547" s="2" t="str">
        <v>No Match</v>
      </c>
      <c r="M547" s="33">
        <f ca="1"/>
        <v>25.31</v>
      </c>
      <c r="N547" s="2" t="e">
        <f ca="1"/>
        <v>#N/A</v>
      </c>
      <c r="O547" s="2" t="e">
        <f ca="1"/>
        <v>#N/A</v>
      </c>
      <c r="P547" s="2" t="e">
        <f ca="1"/>
        <v>#N/A</v>
      </c>
      <c r="Q547" s="33" t="e">
        <f ca="1"/>
        <v>#N/A</v>
      </c>
      <c r="R547" s="33" t="e">
        <f ca="1"/>
        <v>#N/A</v>
      </c>
    </row>
    <row r="548" spans="1:18" x14ac:dyDescent="0.2">
      <c r="A548" s="2">
        <v>547</v>
      </c>
      <c r="B548" s="65">
        <v>45733</v>
      </c>
      <c r="C548" s="70">
        <v>0.31673611111111111</v>
      </c>
      <c r="D548" s="66" t="s">
        <v>98</v>
      </c>
      <c r="G548" s="66" t="s">
        <v>138</v>
      </c>
      <c r="H548" s="66" t="s">
        <v>100</v>
      </c>
      <c r="I548" s="33" t="str">
        <f ca="1"/>
        <v>25,32</v>
      </c>
      <c r="J548" s="2">
        <v>548</v>
      </c>
      <c r="K548" s="2" t="str">
        <v>No Match</v>
      </c>
      <c r="M548" s="33">
        <f ca="1"/>
        <v>25.32</v>
      </c>
      <c r="N548" s="2" t="e">
        <f ca="1"/>
        <v>#N/A</v>
      </c>
      <c r="O548" s="2" t="e">
        <f ca="1"/>
        <v>#N/A</v>
      </c>
      <c r="P548" s="2" t="e">
        <f ca="1"/>
        <v>#N/A</v>
      </c>
      <c r="Q548" s="33" t="e">
        <f ca="1"/>
        <v>#N/A</v>
      </c>
      <c r="R548" s="33" t="e">
        <f ca="1"/>
        <v>#N/A</v>
      </c>
    </row>
    <row r="549" spans="1:18" x14ac:dyDescent="0.2">
      <c r="A549" s="2">
        <v>548</v>
      </c>
      <c r="B549" s="65">
        <v>45733</v>
      </c>
      <c r="C549" s="70">
        <v>0.31900462962962961</v>
      </c>
      <c r="D549" s="66" t="s">
        <v>98</v>
      </c>
      <c r="G549" s="66" t="s">
        <v>116</v>
      </c>
      <c r="H549" s="66" t="s">
        <v>100</v>
      </c>
      <c r="I549" s="33" t="str">
        <f ca="1"/>
        <v>25,33</v>
      </c>
      <c r="J549" s="2">
        <v>549</v>
      </c>
      <c r="K549" s="2" t="str">
        <v>No Match</v>
      </c>
      <c r="M549" s="33">
        <f ca="1"/>
        <v>25.33</v>
      </c>
      <c r="N549" s="2" t="e">
        <f ca="1"/>
        <v>#N/A</v>
      </c>
      <c r="O549" s="2" t="e">
        <f ca="1"/>
        <v>#N/A</v>
      </c>
      <c r="P549" s="2" t="e">
        <f ca="1"/>
        <v>#N/A</v>
      </c>
      <c r="Q549" s="33" t="e">
        <f ca="1"/>
        <v>#N/A</v>
      </c>
      <c r="R549" s="33" t="e">
        <f ca="1"/>
        <v>#N/A</v>
      </c>
    </row>
    <row r="550" spans="1:18" x14ac:dyDescent="0.2">
      <c r="A550" s="2">
        <v>549</v>
      </c>
      <c r="B550" s="65">
        <v>45733</v>
      </c>
      <c r="C550" s="70">
        <v>0.32013888888888886</v>
      </c>
      <c r="D550" s="66" t="s">
        <v>98</v>
      </c>
      <c r="G550" s="66" t="s">
        <v>138</v>
      </c>
      <c r="H550" s="66" t="s">
        <v>100</v>
      </c>
      <c r="I550" s="33" t="str">
        <f ca="1"/>
        <v>25,32</v>
      </c>
      <c r="J550" s="2">
        <v>550</v>
      </c>
      <c r="K550" s="2" t="str">
        <v>No Match</v>
      </c>
      <c r="M550" s="33">
        <f ca="1"/>
        <v>25.32</v>
      </c>
      <c r="N550" s="2" t="e">
        <f ca="1"/>
        <v>#N/A</v>
      </c>
      <c r="O550" s="2" t="e">
        <f ca="1"/>
        <v>#N/A</v>
      </c>
      <c r="P550" s="2" t="e">
        <f ca="1"/>
        <v>#N/A</v>
      </c>
      <c r="Q550" s="33" t="e">
        <f ca="1"/>
        <v>#N/A</v>
      </c>
      <c r="R550" s="33" t="e">
        <f ca="1"/>
        <v>#N/A</v>
      </c>
    </row>
    <row r="551" spans="1:18" x14ac:dyDescent="0.2">
      <c r="A551" s="2">
        <v>550</v>
      </c>
      <c r="B551" s="65">
        <v>45733</v>
      </c>
      <c r="C551" s="70">
        <v>0.32017361111111109</v>
      </c>
      <c r="D551" s="66" t="s">
        <v>98</v>
      </c>
      <c r="G551" s="66" t="s">
        <v>162</v>
      </c>
      <c r="H551" s="66" t="s">
        <v>100</v>
      </c>
      <c r="I551" s="33" t="str">
        <f ca="1"/>
        <v>25,51</v>
      </c>
      <c r="J551" s="2">
        <v>551</v>
      </c>
      <c r="K551" s="2" t="str">
        <v>No Match</v>
      </c>
      <c r="M551" s="33">
        <f ca="1"/>
        <v>25.51</v>
      </c>
      <c r="N551" s="2">
        <f ca="1"/>
        <v>25</v>
      </c>
      <c r="O551" s="2">
        <f ca="1"/>
        <v>24.625</v>
      </c>
      <c r="P551" s="2">
        <f ca="1"/>
        <v>25.375</v>
      </c>
      <c r="Q551" s="33">
        <f ca="1"/>
        <v>25.305472727272733</v>
      </c>
      <c r="R551" s="33">
        <f ca="1"/>
        <v>25.499999999999993</v>
      </c>
    </row>
    <row r="552" spans="1:18" x14ac:dyDescent="0.2">
      <c r="A552" s="2">
        <v>551</v>
      </c>
      <c r="B552" s="65">
        <v>45733</v>
      </c>
      <c r="C552" s="70">
        <v>0.32023148148148151</v>
      </c>
      <c r="D552" s="66" t="s">
        <v>98</v>
      </c>
      <c r="G552" s="66" t="s">
        <v>104</v>
      </c>
      <c r="H552" s="66" t="s">
        <v>100</v>
      </c>
      <c r="I552" s="33" t="str">
        <f ca="1"/>
        <v>25,40</v>
      </c>
      <c r="J552" s="2">
        <v>552</v>
      </c>
      <c r="K552" s="2" t="str">
        <v>No Match</v>
      </c>
      <c r="M552" s="33">
        <f ca="1"/>
        <v>25.4</v>
      </c>
      <c r="N552" s="2" t="e">
        <f ca="1"/>
        <v>#N/A</v>
      </c>
      <c r="O552" s="2" t="e">
        <f ca="1"/>
        <v>#N/A</v>
      </c>
      <c r="P552" s="2" t="e">
        <f ca="1"/>
        <v>#N/A</v>
      </c>
      <c r="Q552" s="33" t="e">
        <f ca="1"/>
        <v>#N/A</v>
      </c>
      <c r="R552" s="33" t="e">
        <f ca="1"/>
        <v>#N/A</v>
      </c>
    </row>
    <row r="553" spans="1:18" x14ac:dyDescent="0.2">
      <c r="A553" s="2">
        <v>552</v>
      </c>
      <c r="B553" s="65">
        <v>45733</v>
      </c>
      <c r="C553" s="70">
        <v>0.34406249999999999</v>
      </c>
      <c r="D553" s="66" t="s">
        <v>98</v>
      </c>
      <c r="G553" s="66" t="s">
        <v>119</v>
      </c>
      <c r="H553" s="66" t="s">
        <v>100</v>
      </c>
      <c r="I553" s="33" t="str">
        <f ca="1"/>
        <v>25,56</v>
      </c>
      <c r="J553" s="2">
        <v>553</v>
      </c>
      <c r="K553" s="2" t="str">
        <v>No Match</v>
      </c>
      <c r="M553" s="33">
        <f ca="1"/>
        <v>25.56</v>
      </c>
      <c r="N553" s="2" t="e">
        <f ca="1"/>
        <v>#N/A</v>
      </c>
      <c r="O553" s="2" t="e">
        <f ca="1"/>
        <v>#N/A</v>
      </c>
      <c r="P553" s="2" t="e">
        <f ca="1"/>
        <v>#N/A</v>
      </c>
      <c r="Q553" s="33" t="e">
        <f ca="1"/>
        <v>#N/A</v>
      </c>
      <c r="R553" s="33" t="e">
        <f ca="1"/>
        <v>#N/A</v>
      </c>
    </row>
    <row r="554" spans="1:18" x14ac:dyDescent="0.2">
      <c r="A554" s="2">
        <v>553</v>
      </c>
      <c r="B554" s="65">
        <v>45733</v>
      </c>
      <c r="C554" s="70">
        <v>0.34410879629629632</v>
      </c>
      <c r="D554" s="66" t="s">
        <v>98</v>
      </c>
      <c r="G554" s="66" t="s">
        <v>119</v>
      </c>
      <c r="H554" s="66" t="s">
        <v>100</v>
      </c>
      <c r="I554" s="33" t="str">
        <f ca="1"/>
        <v>25,56</v>
      </c>
      <c r="J554" s="2">
        <v>554</v>
      </c>
      <c r="K554" s="2" t="str">
        <v>No Match</v>
      </c>
      <c r="M554" s="33">
        <f ca="1"/>
        <v>25.56</v>
      </c>
      <c r="N554" s="2" t="e">
        <f ca="1"/>
        <v>#N/A</v>
      </c>
      <c r="O554" s="2" t="e">
        <f ca="1"/>
        <v>#N/A</v>
      </c>
      <c r="P554" s="2" t="e">
        <f ca="1"/>
        <v>#N/A</v>
      </c>
      <c r="Q554" s="33" t="e">
        <f ca="1"/>
        <v>#N/A</v>
      </c>
      <c r="R554" s="33" t="e">
        <f ca="1"/>
        <v>#N/A</v>
      </c>
    </row>
    <row r="555" spans="1:18" x14ac:dyDescent="0.2">
      <c r="A555" s="2">
        <v>554</v>
      </c>
      <c r="B555" s="65">
        <v>45733</v>
      </c>
      <c r="C555" s="70">
        <v>0.34415509259259258</v>
      </c>
      <c r="D555" s="66" t="s">
        <v>98</v>
      </c>
      <c r="G555" s="66" t="s">
        <v>195</v>
      </c>
      <c r="H555" s="66" t="s">
        <v>100</v>
      </c>
      <c r="I555" s="33" t="str">
        <f ca="1"/>
        <v>25,60</v>
      </c>
      <c r="J555" s="2">
        <v>555</v>
      </c>
      <c r="K555" s="2" t="str">
        <v>No Match</v>
      </c>
      <c r="M555" s="33">
        <f ca="1"/>
        <v>25.6</v>
      </c>
      <c r="N555" s="2" t="e">
        <f ca="1"/>
        <v>#N/A</v>
      </c>
      <c r="O555" s="2" t="e">
        <f ca="1"/>
        <v>#N/A</v>
      </c>
      <c r="P555" s="2" t="e">
        <f ca="1"/>
        <v>#N/A</v>
      </c>
      <c r="Q555" s="33" t="e">
        <f ca="1"/>
        <v>#N/A</v>
      </c>
      <c r="R555" s="33" t="e">
        <f ca="1"/>
        <v>#N/A</v>
      </c>
    </row>
    <row r="556" spans="1:18" x14ac:dyDescent="0.2">
      <c r="A556" s="2">
        <v>555</v>
      </c>
      <c r="B556" s="65">
        <v>45733</v>
      </c>
      <c r="C556" s="70">
        <v>0.34418981481481481</v>
      </c>
      <c r="D556" s="66" t="s">
        <v>98</v>
      </c>
      <c r="G556" s="66" t="s">
        <v>185</v>
      </c>
      <c r="H556" s="66" t="s">
        <v>100</v>
      </c>
      <c r="I556" s="33" t="str">
        <f ca="1"/>
        <v>25,69</v>
      </c>
      <c r="J556" s="2">
        <v>556</v>
      </c>
      <c r="K556" s="2" t="str">
        <v>No Match</v>
      </c>
      <c r="M556" s="33">
        <f ca="1"/>
        <v>25.69</v>
      </c>
      <c r="N556" s="2" t="e">
        <f ca="1"/>
        <v>#N/A</v>
      </c>
      <c r="O556" s="2" t="e">
        <f ca="1"/>
        <v>#N/A</v>
      </c>
      <c r="P556" s="2" t="e">
        <f ca="1"/>
        <v>#N/A</v>
      </c>
      <c r="Q556" s="33" t="e">
        <f ca="1"/>
        <v>#N/A</v>
      </c>
      <c r="R556" s="33" t="e">
        <f ca="1"/>
        <v>#N/A</v>
      </c>
    </row>
    <row r="557" spans="1:18" x14ac:dyDescent="0.2">
      <c r="A557" s="2">
        <v>556</v>
      </c>
      <c r="B557" s="65">
        <v>45733</v>
      </c>
      <c r="C557" s="70">
        <v>0.34424768518518517</v>
      </c>
      <c r="D557" s="66" t="s">
        <v>98</v>
      </c>
      <c r="G557" s="66" t="s">
        <v>104</v>
      </c>
      <c r="H557" s="66" t="s">
        <v>100</v>
      </c>
      <c r="I557" s="33" t="str">
        <f ca="1"/>
        <v>25,40</v>
      </c>
      <c r="J557" s="2">
        <v>557</v>
      </c>
      <c r="K557" s="2" t="str">
        <v>No Match</v>
      </c>
      <c r="M557" s="33">
        <f ca="1"/>
        <v>25.4</v>
      </c>
      <c r="N557" s="2" t="e">
        <f ca="1"/>
        <v>#N/A</v>
      </c>
      <c r="O557" s="2" t="e">
        <f ca="1"/>
        <v>#N/A</v>
      </c>
      <c r="P557" s="2" t="e">
        <f ca="1"/>
        <v>#N/A</v>
      </c>
      <c r="Q557" s="33" t="e">
        <f ca="1"/>
        <v>#N/A</v>
      </c>
      <c r="R557" s="33" t="e">
        <f ca="1"/>
        <v>#N/A</v>
      </c>
    </row>
    <row r="558" spans="1:18" x14ac:dyDescent="0.2">
      <c r="A558" s="2">
        <v>557</v>
      </c>
      <c r="B558" s="65">
        <v>45733</v>
      </c>
      <c r="C558" s="70">
        <v>0.34429398148148149</v>
      </c>
      <c r="D558" s="66" t="s">
        <v>98</v>
      </c>
      <c r="G558" s="66" t="s">
        <v>127</v>
      </c>
      <c r="H558" s="66" t="s">
        <v>100</v>
      </c>
      <c r="I558" s="33" t="str">
        <f ca="1"/>
        <v>25,28</v>
      </c>
      <c r="J558" s="2">
        <v>558</v>
      </c>
      <c r="K558" s="2" t="str">
        <v>No Match</v>
      </c>
      <c r="M558" s="33">
        <f ca="1"/>
        <v>25.28</v>
      </c>
      <c r="N558" s="2" t="e">
        <f ca="1"/>
        <v>#N/A</v>
      </c>
      <c r="O558" s="2" t="e">
        <f ca="1"/>
        <v>#N/A</v>
      </c>
      <c r="P558" s="2" t="e">
        <f ca="1"/>
        <v>#N/A</v>
      </c>
      <c r="Q558" s="33" t="e">
        <f ca="1"/>
        <v>#N/A</v>
      </c>
      <c r="R558" s="33" t="e">
        <f ca="1"/>
        <v>#N/A</v>
      </c>
    </row>
    <row r="559" spans="1:18" x14ac:dyDescent="0.2">
      <c r="A559" s="2">
        <v>558</v>
      </c>
      <c r="B559" s="65">
        <v>45733</v>
      </c>
      <c r="C559" s="70">
        <v>0.34437499999999999</v>
      </c>
      <c r="D559" s="66" t="s">
        <v>98</v>
      </c>
      <c r="G559" s="66" t="s">
        <v>161</v>
      </c>
      <c r="H559" s="66" t="s">
        <v>100</v>
      </c>
      <c r="I559" s="33" t="str">
        <f ca="1"/>
        <v>25,38</v>
      </c>
      <c r="J559" s="2">
        <v>559</v>
      </c>
      <c r="K559" s="2" t="str">
        <v>No Match</v>
      </c>
      <c r="M559" s="33">
        <f ca="1"/>
        <v>25.38</v>
      </c>
      <c r="N559" s="2" t="e">
        <f ca="1"/>
        <v>#N/A</v>
      </c>
      <c r="O559" s="2" t="e">
        <f ca="1"/>
        <v>#N/A</v>
      </c>
      <c r="P559" s="2" t="e">
        <f ca="1"/>
        <v>#N/A</v>
      </c>
      <c r="Q559" s="33" t="e">
        <f ca="1"/>
        <v>#N/A</v>
      </c>
      <c r="R559" s="33" t="e">
        <f ca="1"/>
        <v>#N/A</v>
      </c>
    </row>
    <row r="560" spans="1:18" x14ac:dyDescent="0.2">
      <c r="A560" s="2">
        <v>559</v>
      </c>
      <c r="B560" s="65">
        <v>45733</v>
      </c>
      <c r="C560" s="70">
        <v>0.34443287037037035</v>
      </c>
      <c r="D560" s="66" t="s">
        <v>98</v>
      </c>
      <c r="G560" s="66" t="s">
        <v>175</v>
      </c>
      <c r="H560" s="66" t="s">
        <v>100</v>
      </c>
      <c r="I560" s="33" t="str">
        <f ca="1"/>
        <v>25,58</v>
      </c>
      <c r="J560" s="2">
        <v>560</v>
      </c>
      <c r="K560" s="2" t="str">
        <v>No Match</v>
      </c>
      <c r="M560" s="33">
        <f ca="1"/>
        <v>25.58</v>
      </c>
      <c r="N560" s="2" t="e">
        <f ca="1"/>
        <v>#N/A</v>
      </c>
      <c r="O560" s="2" t="e">
        <f ca="1"/>
        <v>#N/A</v>
      </c>
      <c r="P560" s="2" t="e">
        <f ca="1"/>
        <v>#N/A</v>
      </c>
      <c r="Q560" s="33" t="e">
        <f ca="1"/>
        <v>#N/A</v>
      </c>
      <c r="R560" s="33" t="e">
        <f ca="1"/>
        <v>#N/A</v>
      </c>
    </row>
    <row r="561" spans="1:18" x14ac:dyDescent="0.2">
      <c r="A561" s="2">
        <v>560</v>
      </c>
      <c r="B561" s="65">
        <v>45733</v>
      </c>
      <c r="C561" s="70">
        <v>0.34449074074074076</v>
      </c>
      <c r="D561" s="66" t="s">
        <v>98</v>
      </c>
      <c r="G561" s="66" t="s">
        <v>132</v>
      </c>
      <c r="H561" s="66" t="s">
        <v>100</v>
      </c>
      <c r="I561" s="33" t="str">
        <f ca="1"/>
        <v>25,57</v>
      </c>
      <c r="J561" s="2">
        <v>561</v>
      </c>
      <c r="K561" s="2" t="str">
        <v>No Match</v>
      </c>
      <c r="M561" s="33">
        <f ca="1"/>
        <v>25.57</v>
      </c>
      <c r="N561" s="2">
        <f ca="1"/>
        <v>25</v>
      </c>
      <c r="O561" s="2">
        <f ca="1"/>
        <v>24.625</v>
      </c>
      <c r="P561" s="2">
        <f ca="1"/>
        <v>25.375</v>
      </c>
      <c r="Q561" s="33">
        <f ca="1"/>
        <v>25.308982142857147</v>
      </c>
      <c r="R561" s="33">
        <f ca="1"/>
        <v>25.501999999999999</v>
      </c>
    </row>
    <row r="562" spans="1:18" x14ac:dyDescent="0.2">
      <c r="A562" s="2">
        <v>561</v>
      </c>
      <c r="B562" s="65">
        <v>45733</v>
      </c>
      <c r="C562" s="70">
        <v>0.34453703703703703</v>
      </c>
      <c r="D562" s="66" t="s">
        <v>98</v>
      </c>
      <c r="G562" s="66" t="s">
        <v>117</v>
      </c>
      <c r="H562" s="66" t="s">
        <v>100</v>
      </c>
      <c r="I562" s="33" t="str">
        <f ca="1"/>
        <v>25,61</v>
      </c>
      <c r="J562" s="2">
        <v>562</v>
      </c>
      <c r="K562" s="2" t="str">
        <v>No Match</v>
      </c>
      <c r="M562" s="33">
        <f ca="1"/>
        <v>25.61</v>
      </c>
      <c r="N562" s="2" t="e">
        <f ca="1"/>
        <v>#N/A</v>
      </c>
      <c r="O562" s="2" t="e">
        <f ca="1"/>
        <v>#N/A</v>
      </c>
      <c r="P562" s="2" t="e">
        <f ca="1"/>
        <v>#N/A</v>
      </c>
      <c r="Q562" s="33" t="e">
        <f ca="1"/>
        <v>#N/A</v>
      </c>
      <c r="R562" s="33" t="e">
        <f ca="1"/>
        <v>#N/A</v>
      </c>
    </row>
    <row r="563" spans="1:18" x14ac:dyDescent="0.2">
      <c r="A563" s="2">
        <v>562</v>
      </c>
      <c r="B563" s="65">
        <v>45733</v>
      </c>
      <c r="C563" s="70">
        <v>0.34802083333333333</v>
      </c>
      <c r="D563" s="66" t="s">
        <v>98</v>
      </c>
      <c r="G563" s="66" t="s">
        <v>123</v>
      </c>
      <c r="H563" s="66" t="s">
        <v>100</v>
      </c>
      <c r="I563" s="33" t="str">
        <f ca="1"/>
        <v>25,13</v>
      </c>
      <c r="J563" s="2">
        <v>563</v>
      </c>
      <c r="K563" s="2" t="str">
        <v>No Match</v>
      </c>
      <c r="M563" s="33">
        <f ca="1"/>
        <v>25.13</v>
      </c>
      <c r="N563" s="2" t="e">
        <f ca="1"/>
        <v>#N/A</v>
      </c>
      <c r="O563" s="2" t="e">
        <f ca="1"/>
        <v>#N/A</v>
      </c>
      <c r="P563" s="2" t="e">
        <f ca="1"/>
        <v>#N/A</v>
      </c>
      <c r="Q563" s="33" t="e">
        <f ca="1"/>
        <v>#N/A</v>
      </c>
      <c r="R563" s="33" t="e">
        <f ca="1"/>
        <v>#N/A</v>
      </c>
    </row>
    <row r="564" spans="1:18" x14ac:dyDescent="0.2">
      <c r="A564" s="2">
        <v>563</v>
      </c>
      <c r="B564" s="65">
        <v>45733</v>
      </c>
      <c r="C564" s="70">
        <v>0.35210648148148149</v>
      </c>
      <c r="D564" s="66" t="s">
        <v>98</v>
      </c>
      <c r="G564" s="66" t="s">
        <v>138</v>
      </c>
      <c r="H564" s="66" t="s">
        <v>100</v>
      </c>
      <c r="I564" s="33" t="str">
        <f ca="1"/>
        <v>25,32</v>
      </c>
      <c r="J564" s="2">
        <v>564</v>
      </c>
      <c r="K564" s="2" t="str">
        <v>No Match</v>
      </c>
      <c r="M564" s="33">
        <f ca="1"/>
        <v>25.32</v>
      </c>
      <c r="N564" s="2" t="e">
        <f ca="1"/>
        <v>#N/A</v>
      </c>
      <c r="O564" s="2" t="e">
        <f ca="1"/>
        <v>#N/A</v>
      </c>
      <c r="P564" s="2" t="e">
        <f ca="1"/>
        <v>#N/A</v>
      </c>
      <c r="Q564" s="33" t="e">
        <f ca="1"/>
        <v>#N/A</v>
      </c>
      <c r="R564" s="33" t="e">
        <f ca="1"/>
        <v>#N/A</v>
      </c>
    </row>
    <row r="565" spans="1:18" x14ac:dyDescent="0.2">
      <c r="A565" s="2">
        <v>564</v>
      </c>
      <c r="B565" s="65">
        <v>45733</v>
      </c>
      <c r="C565" s="70">
        <v>0.35428240740740741</v>
      </c>
      <c r="D565" s="66" t="s">
        <v>98</v>
      </c>
      <c r="G565" s="66" t="s">
        <v>116</v>
      </c>
      <c r="H565" s="66" t="s">
        <v>100</v>
      </c>
      <c r="I565" s="33" t="str">
        <f ca="1"/>
        <v>25,33</v>
      </c>
      <c r="J565" s="2">
        <v>565</v>
      </c>
      <c r="K565" s="2" t="str">
        <v>No Match</v>
      </c>
      <c r="M565" s="33">
        <f ca="1"/>
        <v>25.33</v>
      </c>
      <c r="N565" s="2" t="e">
        <f ca="1"/>
        <v>#N/A</v>
      </c>
      <c r="O565" s="2" t="e">
        <f ca="1"/>
        <v>#N/A</v>
      </c>
      <c r="P565" s="2" t="e">
        <f ca="1"/>
        <v>#N/A</v>
      </c>
      <c r="Q565" s="33" t="e">
        <f ca="1"/>
        <v>#N/A</v>
      </c>
      <c r="R565" s="33" t="e">
        <f ca="1"/>
        <v>#N/A</v>
      </c>
    </row>
    <row r="566" spans="1:18" x14ac:dyDescent="0.2">
      <c r="A566" s="2">
        <v>565</v>
      </c>
      <c r="B566" s="65">
        <v>45733</v>
      </c>
      <c r="C566" s="70">
        <v>0.35618055555555556</v>
      </c>
      <c r="D566" s="66" t="s">
        <v>98</v>
      </c>
      <c r="G566" s="66" t="s">
        <v>111</v>
      </c>
      <c r="H566" s="66" t="s">
        <v>100</v>
      </c>
      <c r="I566" s="33" t="str">
        <f ca="1"/>
        <v>25,44</v>
      </c>
      <c r="J566" s="2">
        <v>566</v>
      </c>
      <c r="K566" s="2" t="str">
        <v>No Match</v>
      </c>
      <c r="M566" s="33">
        <f ca="1"/>
        <v>25.44</v>
      </c>
      <c r="N566" s="2" t="e">
        <f ca="1"/>
        <v>#N/A</v>
      </c>
      <c r="O566" s="2" t="e">
        <f ca="1"/>
        <v>#N/A</v>
      </c>
      <c r="P566" s="2" t="e">
        <f ca="1"/>
        <v>#N/A</v>
      </c>
      <c r="Q566" s="33" t="e">
        <f ca="1"/>
        <v>#N/A</v>
      </c>
      <c r="R566" s="33" t="e">
        <f ca="1"/>
        <v>#N/A</v>
      </c>
    </row>
    <row r="567" spans="1:18" x14ac:dyDescent="0.2">
      <c r="A567" s="2">
        <v>566</v>
      </c>
      <c r="B567" s="65">
        <v>45733</v>
      </c>
      <c r="C567" s="70">
        <v>0.35622685185185188</v>
      </c>
      <c r="D567" s="66" t="s">
        <v>98</v>
      </c>
      <c r="G567" s="66" t="s">
        <v>145</v>
      </c>
      <c r="H567" s="66" t="s">
        <v>100</v>
      </c>
      <c r="I567" s="33" t="str">
        <f ca="1"/>
        <v>25,30</v>
      </c>
      <c r="J567" s="2">
        <v>567</v>
      </c>
      <c r="K567" s="2" t="str">
        <v>No Match</v>
      </c>
      <c r="M567" s="33">
        <f ca="1"/>
        <v>25.3</v>
      </c>
      <c r="N567" s="2" t="e">
        <f ca="1"/>
        <v>#N/A</v>
      </c>
      <c r="O567" s="2" t="e">
        <f ca="1"/>
        <v>#N/A</v>
      </c>
      <c r="P567" s="2" t="e">
        <f ca="1"/>
        <v>#N/A</v>
      </c>
      <c r="Q567" s="33" t="e">
        <f ca="1"/>
        <v>#N/A</v>
      </c>
      <c r="R567" s="33" t="e">
        <f ca="1"/>
        <v>#N/A</v>
      </c>
    </row>
    <row r="568" spans="1:18" x14ac:dyDescent="0.2">
      <c r="A568" s="2">
        <v>567</v>
      </c>
      <c r="B568" s="65">
        <v>45733</v>
      </c>
      <c r="C568" s="70">
        <v>0.35898148148148146</v>
      </c>
      <c r="D568" s="66" t="s">
        <v>98</v>
      </c>
      <c r="G568" s="66" t="s">
        <v>208</v>
      </c>
      <c r="H568" s="66" t="s">
        <v>100</v>
      </c>
      <c r="I568" s="33" t="str">
        <f ca="1"/>
        <v>25,17</v>
      </c>
      <c r="J568" s="2">
        <v>568</v>
      </c>
      <c r="K568" s="2" t="str">
        <v>No Match</v>
      </c>
      <c r="M568" s="33">
        <f ca="1"/>
        <v>25.17</v>
      </c>
      <c r="N568" s="2" t="e">
        <f ca="1"/>
        <v>#N/A</v>
      </c>
      <c r="O568" s="2" t="e">
        <f ca="1"/>
        <v>#N/A</v>
      </c>
      <c r="P568" s="2" t="e">
        <f ca="1"/>
        <v>#N/A</v>
      </c>
      <c r="Q568" s="33" t="e">
        <f ca="1"/>
        <v>#N/A</v>
      </c>
      <c r="R568" s="33" t="e">
        <f ca="1"/>
        <v>#N/A</v>
      </c>
    </row>
    <row r="569" spans="1:18" x14ac:dyDescent="0.2">
      <c r="A569" s="2">
        <v>568</v>
      </c>
      <c r="B569" s="65">
        <v>45733</v>
      </c>
      <c r="C569" s="70">
        <v>0.36046296296296299</v>
      </c>
      <c r="D569" s="66" t="s">
        <v>98</v>
      </c>
      <c r="G569" s="66" t="s">
        <v>147</v>
      </c>
      <c r="H569" s="66" t="s">
        <v>100</v>
      </c>
      <c r="I569" s="33" t="str">
        <f ca="1"/>
        <v>25,00</v>
      </c>
      <c r="J569" s="2">
        <v>569</v>
      </c>
      <c r="K569" s="2" t="str">
        <v>No Match</v>
      </c>
      <c r="M569" s="33">
        <f ca="1"/>
        <v>25</v>
      </c>
      <c r="N569" s="2" t="e">
        <f ca="1"/>
        <v>#N/A</v>
      </c>
      <c r="O569" s="2" t="e">
        <f ca="1"/>
        <v>#N/A</v>
      </c>
      <c r="P569" s="2" t="e">
        <f ca="1"/>
        <v>#N/A</v>
      </c>
      <c r="Q569" s="33" t="e">
        <f ca="1"/>
        <v>#N/A</v>
      </c>
      <c r="R569" s="33" t="e">
        <f ca="1"/>
        <v>#N/A</v>
      </c>
    </row>
    <row r="570" spans="1:18" x14ac:dyDescent="0.2">
      <c r="A570" s="2">
        <v>569</v>
      </c>
      <c r="B570" s="65">
        <v>45733</v>
      </c>
      <c r="C570" s="70">
        <v>0.36052083333333335</v>
      </c>
      <c r="D570" s="66" t="s">
        <v>98</v>
      </c>
      <c r="G570" s="66" t="s">
        <v>110</v>
      </c>
      <c r="H570" s="66" t="s">
        <v>100</v>
      </c>
      <c r="I570" s="33" t="str">
        <f ca="1"/>
        <v>25,12</v>
      </c>
      <c r="J570" s="2">
        <v>570</v>
      </c>
      <c r="K570" s="2" t="str">
        <v>No Match</v>
      </c>
      <c r="M570" s="33">
        <f ca="1"/>
        <v>25.12</v>
      </c>
      <c r="N570" s="2" t="e">
        <f ca="1"/>
        <v>#N/A</v>
      </c>
      <c r="O570" s="2" t="e">
        <f ca="1"/>
        <v>#N/A</v>
      </c>
      <c r="P570" s="2" t="e">
        <f ca="1"/>
        <v>#N/A</v>
      </c>
      <c r="Q570" s="33" t="e">
        <f ca="1"/>
        <v>#N/A</v>
      </c>
      <c r="R570" s="33" t="e">
        <f ca="1"/>
        <v>#N/A</v>
      </c>
    </row>
    <row r="571" spans="1:18" x14ac:dyDescent="0.2">
      <c r="A571" s="2">
        <v>570</v>
      </c>
      <c r="B571" s="65">
        <v>45733</v>
      </c>
      <c r="C571" s="70">
        <v>0.3605902777777778</v>
      </c>
      <c r="D571" s="66" t="s">
        <v>98</v>
      </c>
      <c r="G571" s="66" t="s">
        <v>108</v>
      </c>
      <c r="H571" s="66" t="s">
        <v>100</v>
      </c>
      <c r="I571" s="33" t="str">
        <f ca="1"/>
        <v>24,96</v>
      </c>
      <c r="J571" s="2">
        <v>571</v>
      </c>
      <c r="K571" s="2" t="str">
        <v>No Match</v>
      </c>
      <c r="M571" s="33">
        <f ca="1"/>
        <v>24.96</v>
      </c>
      <c r="N571" s="2">
        <f ca="1"/>
        <v>25</v>
      </c>
      <c r="O571" s="2">
        <f ca="1"/>
        <v>24.625</v>
      </c>
      <c r="P571" s="2">
        <f ca="1"/>
        <v>25.375</v>
      </c>
      <c r="Q571" s="33">
        <f ca="1"/>
        <v>25.307736842105268</v>
      </c>
      <c r="R571" s="33">
        <f ca="1"/>
        <v>25.238000000000003</v>
      </c>
    </row>
    <row r="572" spans="1:18" x14ac:dyDescent="0.2">
      <c r="A572" s="2">
        <v>571</v>
      </c>
      <c r="B572" s="65">
        <v>45733</v>
      </c>
      <c r="C572" s="70">
        <v>0.36144675925925923</v>
      </c>
      <c r="D572" s="66" t="s">
        <v>98</v>
      </c>
      <c r="G572" s="66" t="s">
        <v>129</v>
      </c>
      <c r="H572" s="66" t="s">
        <v>100</v>
      </c>
      <c r="I572" s="33" t="str">
        <f ca="1"/>
        <v>25,08</v>
      </c>
      <c r="J572" s="2">
        <v>572</v>
      </c>
      <c r="K572" s="2" t="str">
        <v>No Match</v>
      </c>
      <c r="M572" s="33">
        <f ca="1"/>
        <v>25.08</v>
      </c>
      <c r="N572" s="2" t="e">
        <f ca="1"/>
        <v>#N/A</v>
      </c>
      <c r="O572" s="2" t="e">
        <f ca="1"/>
        <v>#N/A</v>
      </c>
      <c r="P572" s="2" t="e">
        <f ca="1"/>
        <v>#N/A</v>
      </c>
      <c r="Q572" s="33" t="e">
        <f ca="1"/>
        <v>#N/A</v>
      </c>
      <c r="R572" s="33" t="e">
        <f ca="1"/>
        <v>#N/A</v>
      </c>
    </row>
    <row r="573" spans="1:18" x14ac:dyDescent="0.2">
      <c r="A573" s="2">
        <v>572</v>
      </c>
      <c r="B573" s="65">
        <v>45733</v>
      </c>
      <c r="C573" s="70">
        <v>0.36453703703703705</v>
      </c>
      <c r="D573" s="66" t="s">
        <v>98</v>
      </c>
      <c r="G573" s="66" t="s">
        <v>208</v>
      </c>
      <c r="H573" s="66" t="s">
        <v>100</v>
      </c>
      <c r="I573" s="33" t="str">
        <f ca="1"/>
        <v>25,17</v>
      </c>
      <c r="J573" s="2">
        <v>573</v>
      </c>
      <c r="K573" s="2" t="str">
        <v>No Match</v>
      </c>
      <c r="M573" s="33">
        <f ca="1"/>
        <v>25.17</v>
      </c>
      <c r="N573" s="2" t="e">
        <f ca="1"/>
        <v>#N/A</v>
      </c>
      <c r="O573" s="2" t="e">
        <f ca="1"/>
        <v>#N/A</v>
      </c>
      <c r="P573" s="2" t="e">
        <f ca="1"/>
        <v>#N/A</v>
      </c>
      <c r="Q573" s="33" t="e">
        <f ca="1"/>
        <v>#N/A</v>
      </c>
      <c r="R573" s="33" t="e">
        <f ca="1"/>
        <v>#N/A</v>
      </c>
    </row>
    <row r="574" spans="1:18" x14ac:dyDescent="0.2">
      <c r="A574" s="2">
        <v>573</v>
      </c>
      <c r="B574" s="65">
        <v>45733</v>
      </c>
      <c r="C574" s="70">
        <v>0.36548611111111112</v>
      </c>
      <c r="D574" s="66" t="s">
        <v>98</v>
      </c>
      <c r="G574" s="66" t="s">
        <v>121</v>
      </c>
      <c r="H574" s="66" t="s">
        <v>100</v>
      </c>
      <c r="I574" s="33" t="str">
        <f ca="1"/>
        <v>24,99</v>
      </c>
      <c r="J574" s="2">
        <v>574</v>
      </c>
      <c r="K574" s="2" t="str">
        <v>No Match</v>
      </c>
      <c r="M574" s="33">
        <f ca="1"/>
        <v>24.99</v>
      </c>
      <c r="N574" s="2" t="e">
        <f ca="1"/>
        <v>#N/A</v>
      </c>
      <c r="O574" s="2" t="e">
        <f ca="1"/>
        <v>#N/A</v>
      </c>
      <c r="P574" s="2" t="e">
        <f ca="1"/>
        <v>#N/A</v>
      </c>
      <c r="Q574" s="33" t="e">
        <f ca="1"/>
        <v>#N/A</v>
      </c>
      <c r="R574" s="33" t="e">
        <f ca="1"/>
        <v>#N/A</v>
      </c>
    </row>
    <row r="575" spans="1:18" x14ac:dyDescent="0.2">
      <c r="A575" s="2">
        <v>574</v>
      </c>
      <c r="B575" s="65">
        <v>45733</v>
      </c>
      <c r="C575" s="70">
        <v>0.36799768518518516</v>
      </c>
      <c r="D575" s="66" t="s">
        <v>98</v>
      </c>
      <c r="G575" s="66" t="s">
        <v>109</v>
      </c>
      <c r="H575" s="66" t="s">
        <v>100</v>
      </c>
      <c r="I575" s="33" t="str">
        <f ca="1"/>
        <v>24,88</v>
      </c>
      <c r="J575" s="2">
        <v>575</v>
      </c>
      <c r="K575" s="2" t="str">
        <v>No Match</v>
      </c>
      <c r="M575" s="33">
        <f ca="1"/>
        <v>24.88</v>
      </c>
      <c r="N575" s="2" t="e">
        <f ca="1"/>
        <v>#N/A</v>
      </c>
      <c r="O575" s="2" t="e">
        <f ca="1"/>
        <v>#N/A</v>
      </c>
      <c r="P575" s="2" t="e">
        <f ca="1"/>
        <v>#N/A</v>
      </c>
      <c r="Q575" s="33" t="e">
        <f ca="1"/>
        <v>#N/A</v>
      </c>
      <c r="R575" s="33" t="e">
        <f ca="1"/>
        <v>#N/A</v>
      </c>
    </row>
    <row r="576" spans="1:18" x14ac:dyDescent="0.2">
      <c r="A576" s="2">
        <v>575</v>
      </c>
      <c r="B576" s="65">
        <v>45733</v>
      </c>
      <c r="C576" s="70">
        <v>0.36916666666666664</v>
      </c>
      <c r="D576" s="66" t="s">
        <v>98</v>
      </c>
      <c r="G576" s="66" t="s">
        <v>114</v>
      </c>
      <c r="H576" s="66" t="s">
        <v>100</v>
      </c>
      <c r="I576" s="33" t="str">
        <f ca="1"/>
        <v>25,70</v>
      </c>
      <c r="J576" s="2">
        <v>576</v>
      </c>
      <c r="K576" s="2" t="str">
        <v>No Match</v>
      </c>
      <c r="M576" s="33">
        <f ca="1"/>
        <v>25.7</v>
      </c>
      <c r="N576" s="2" t="e">
        <f ca="1"/>
        <v>#N/A</v>
      </c>
      <c r="O576" s="2" t="e">
        <f ca="1"/>
        <v>#N/A</v>
      </c>
      <c r="P576" s="2" t="e">
        <f ca="1"/>
        <v>#N/A</v>
      </c>
      <c r="Q576" s="33" t="e">
        <f ca="1"/>
        <v>#N/A</v>
      </c>
      <c r="R576" s="33" t="e">
        <f ca="1"/>
        <v>#N/A</v>
      </c>
    </row>
    <row r="577" spans="1:18" x14ac:dyDescent="0.2">
      <c r="A577" s="2">
        <v>576</v>
      </c>
      <c r="B577" s="65">
        <v>45733</v>
      </c>
      <c r="C577" s="70">
        <v>0.37197916666666669</v>
      </c>
      <c r="D577" s="66" t="s">
        <v>98</v>
      </c>
      <c r="G577" s="66" t="s">
        <v>106</v>
      </c>
      <c r="H577" s="66" t="s">
        <v>100</v>
      </c>
      <c r="I577" s="33" t="str">
        <f ca="1"/>
        <v>26,01</v>
      </c>
      <c r="J577" s="2">
        <v>577</v>
      </c>
      <c r="K577" s="2" t="str">
        <v>No Match</v>
      </c>
      <c r="M577" s="33">
        <f ca="1"/>
        <v>26.01</v>
      </c>
      <c r="N577" s="2" t="e">
        <f ca="1"/>
        <v>#N/A</v>
      </c>
      <c r="O577" s="2" t="e">
        <f ca="1"/>
        <v>#N/A</v>
      </c>
      <c r="P577" s="2" t="e">
        <f ca="1"/>
        <v>#N/A</v>
      </c>
      <c r="Q577" s="33" t="e">
        <f ca="1"/>
        <v>#N/A</v>
      </c>
      <c r="R577" s="33" t="e">
        <f ca="1"/>
        <v>#N/A</v>
      </c>
    </row>
    <row r="578" spans="1:18" x14ac:dyDescent="0.2">
      <c r="A578" s="2">
        <v>577</v>
      </c>
      <c r="B578" s="65">
        <v>45733</v>
      </c>
      <c r="C578" s="70">
        <v>0.37317129629629631</v>
      </c>
      <c r="D578" s="66" t="s">
        <v>98</v>
      </c>
      <c r="G578" s="66" t="s">
        <v>191</v>
      </c>
      <c r="H578" s="66" t="s">
        <v>100</v>
      </c>
      <c r="I578" s="33" t="str">
        <f ca="1"/>
        <v>25,79</v>
      </c>
      <c r="J578" s="2">
        <v>578</v>
      </c>
      <c r="K578" s="2" t="str">
        <v>No Match</v>
      </c>
      <c r="M578" s="33">
        <f ca="1"/>
        <v>25.79</v>
      </c>
      <c r="N578" s="2" t="e">
        <f ca="1"/>
        <v>#N/A</v>
      </c>
      <c r="O578" s="2" t="e">
        <f ca="1"/>
        <v>#N/A</v>
      </c>
      <c r="P578" s="2" t="e">
        <f ca="1"/>
        <v>#N/A</v>
      </c>
      <c r="Q578" s="33" t="e">
        <f ca="1"/>
        <v>#N/A</v>
      </c>
      <c r="R578" s="33" t="e">
        <f ca="1"/>
        <v>#N/A</v>
      </c>
    </row>
    <row r="579" spans="1:18" x14ac:dyDescent="0.2">
      <c r="A579" s="2">
        <v>578</v>
      </c>
      <c r="B579" s="65">
        <v>45733</v>
      </c>
      <c r="C579" s="70">
        <v>0.37620370370370371</v>
      </c>
      <c r="D579" s="66" t="s">
        <v>98</v>
      </c>
      <c r="G579" s="66" t="s">
        <v>133</v>
      </c>
      <c r="H579" s="66" t="s">
        <v>100</v>
      </c>
      <c r="I579" s="33" t="str">
        <f ca="1"/>
        <v>25,41</v>
      </c>
      <c r="J579" s="2">
        <v>579</v>
      </c>
      <c r="K579" s="2" t="str">
        <v>No Match</v>
      </c>
      <c r="M579" s="33">
        <f ca="1"/>
        <v>25.41</v>
      </c>
      <c r="N579" s="2" t="e">
        <f ca="1"/>
        <v>#N/A</v>
      </c>
      <c r="O579" s="2" t="e">
        <f ca="1"/>
        <v>#N/A</v>
      </c>
      <c r="P579" s="2" t="e">
        <f ca="1"/>
        <v>#N/A</v>
      </c>
      <c r="Q579" s="33" t="e">
        <f ca="1"/>
        <v>#N/A</v>
      </c>
      <c r="R579" s="33" t="e">
        <f ca="1"/>
        <v>#N/A</v>
      </c>
    </row>
    <row r="580" spans="1:18" x14ac:dyDescent="0.2">
      <c r="A580" s="2">
        <v>579</v>
      </c>
      <c r="B580" s="65">
        <v>45733</v>
      </c>
      <c r="C580" s="70">
        <v>0.37689814814814815</v>
      </c>
      <c r="D580" s="66" t="s">
        <v>98</v>
      </c>
      <c r="G580" s="66" t="s">
        <v>101</v>
      </c>
      <c r="H580" s="66" t="s">
        <v>100</v>
      </c>
      <c r="I580" s="33" t="str">
        <f ca="1"/>
        <v>25,64</v>
      </c>
      <c r="J580" s="2">
        <v>580</v>
      </c>
      <c r="K580" s="2" t="str">
        <v>No Match</v>
      </c>
      <c r="M580" s="33">
        <f ca="1"/>
        <v>25.64</v>
      </c>
      <c r="N580" s="2" t="e">
        <f ca="1"/>
        <v>#N/A</v>
      </c>
      <c r="O580" s="2" t="e">
        <f ca="1"/>
        <v>#N/A</v>
      </c>
      <c r="P580" s="2" t="e">
        <f ca="1"/>
        <v>#N/A</v>
      </c>
      <c r="Q580" s="33" t="e">
        <f ca="1"/>
        <v>#N/A</v>
      </c>
      <c r="R580" s="33" t="e">
        <f ca="1"/>
        <v>#N/A</v>
      </c>
    </row>
    <row r="581" spans="1:18" x14ac:dyDescent="0.2">
      <c r="A581" s="2">
        <v>580</v>
      </c>
      <c r="B581" s="65">
        <v>45733</v>
      </c>
      <c r="C581" s="70">
        <v>0.37778935185185186</v>
      </c>
      <c r="D581" s="66" t="s">
        <v>98</v>
      </c>
      <c r="G581" s="66" t="s">
        <v>174</v>
      </c>
      <c r="H581" s="66" t="s">
        <v>100</v>
      </c>
      <c r="I581" s="33" t="str">
        <f ca="1"/>
        <v>25,65</v>
      </c>
      <c r="J581" s="2">
        <v>581</v>
      </c>
      <c r="K581" s="2" t="str">
        <v>No Match</v>
      </c>
      <c r="M581" s="33">
        <f ca="1"/>
        <v>25.65</v>
      </c>
      <c r="N581" s="2">
        <f ca="1"/>
        <v>25</v>
      </c>
      <c r="O581" s="2">
        <f ca="1"/>
        <v>24.625</v>
      </c>
      <c r="P581" s="2">
        <f ca="1"/>
        <v>25.375</v>
      </c>
      <c r="Q581" s="33">
        <f ca="1"/>
        <v>25.309879310344829</v>
      </c>
      <c r="R581" s="33">
        <f ca="1"/>
        <v>25.431999999999995</v>
      </c>
    </row>
    <row r="582" spans="1:18" x14ac:dyDescent="0.2">
      <c r="A582" s="2">
        <v>581</v>
      </c>
      <c r="B582" s="65">
        <v>45733</v>
      </c>
      <c r="C582" s="70">
        <v>0.37873842592592594</v>
      </c>
      <c r="D582" s="66" t="s">
        <v>98</v>
      </c>
      <c r="G582" s="66" t="s">
        <v>166</v>
      </c>
      <c r="H582" s="66" t="s">
        <v>100</v>
      </c>
      <c r="I582" s="33" t="str">
        <f ca="1"/>
        <v>25,66</v>
      </c>
      <c r="J582" s="2">
        <v>582</v>
      </c>
      <c r="K582" s="2" t="str">
        <v>No Match</v>
      </c>
      <c r="M582" s="33">
        <f ca="1"/>
        <v>25.66</v>
      </c>
      <c r="N582" s="2" t="e">
        <f ca="1"/>
        <v>#N/A</v>
      </c>
      <c r="O582" s="2" t="e">
        <f ca="1"/>
        <v>#N/A</v>
      </c>
      <c r="P582" s="2" t="e">
        <f ca="1"/>
        <v>#N/A</v>
      </c>
      <c r="Q582" s="33" t="e">
        <f ca="1"/>
        <v>#N/A</v>
      </c>
      <c r="R582" s="33" t="e">
        <f ca="1"/>
        <v>#N/A</v>
      </c>
    </row>
    <row r="583" spans="1:18" x14ac:dyDescent="0.2">
      <c r="A583" s="2">
        <v>582</v>
      </c>
      <c r="B583" s="65">
        <v>45733</v>
      </c>
      <c r="C583" s="70">
        <v>0.38081018518518517</v>
      </c>
      <c r="D583" s="66" t="s">
        <v>98</v>
      </c>
      <c r="G583" s="66" t="s">
        <v>127</v>
      </c>
      <c r="H583" s="66" t="s">
        <v>100</v>
      </c>
      <c r="I583" s="33" t="str">
        <f ca="1"/>
        <v>25,28</v>
      </c>
      <c r="J583" s="2">
        <v>583</v>
      </c>
      <c r="K583" s="2" t="str">
        <v>No Match</v>
      </c>
      <c r="M583" s="33">
        <f ca="1"/>
        <v>25.28</v>
      </c>
      <c r="N583" s="2" t="e">
        <f ca="1"/>
        <v>#N/A</v>
      </c>
      <c r="O583" s="2" t="e">
        <f ca="1"/>
        <v>#N/A</v>
      </c>
      <c r="P583" s="2" t="e">
        <f ca="1"/>
        <v>#N/A</v>
      </c>
      <c r="Q583" s="33" t="e">
        <f ca="1"/>
        <v>#N/A</v>
      </c>
      <c r="R583" s="33" t="e">
        <f ca="1"/>
        <v>#N/A</v>
      </c>
    </row>
    <row r="584" spans="1:18" x14ac:dyDescent="0.2">
      <c r="A584" s="2">
        <v>583</v>
      </c>
      <c r="B584" s="65">
        <v>45733</v>
      </c>
      <c r="C584" s="70">
        <v>0.38321759259259258</v>
      </c>
      <c r="D584" s="66" t="s">
        <v>98</v>
      </c>
      <c r="G584" s="66" t="s">
        <v>185</v>
      </c>
      <c r="H584" s="66" t="s">
        <v>100</v>
      </c>
      <c r="I584" s="33" t="str">
        <f ca="1"/>
        <v>25,69</v>
      </c>
      <c r="J584" s="2">
        <v>584</v>
      </c>
      <c r="K584" s="2" t="str">
        <v>No Match</v>
      </c>
      <c r="M584" s="33">
        <f ca="1"/>
        <v>25.69</v>
      </c>
      <c r="N584" s="2" t="e">
        <f ca="1"/>
        <v>#N/A</v>
      </c>
      <c r="O584" s="2" t="e">
        <f ca="1"/>
        <v>#N/A</v>
      </c>
      <c r="P584" s="2" t="e">
        <f ca="1"/>
        <v>#N/A</v>
      </c>
      <c r="Q584" s="33" t="e">
        <f ca="1"/>
        <v>#N/A</v>
      </c>
      <c r="R584" s="33" t="e">
        <f ca="1"/>
        <v>#N/A</v>
      </c>
    </row>
    <row r="585" spans="1:18" x14ac:dyDescent="0.2">
      <c r="A585" s="2">
        <v>584</v>
      </c>
      <c r="B585" s="65">
        <v>45733</v>
      </c>
      <c r="C585" s="70">
        <v>0.38814814814814813</v>
      </c>
      <c r="D585" s="66" t="s">
        <v>98</v>
      </c>
      <c r="G585" s="66" t="s">
        <v>111</v>
      </c>
      <c r="H585" s="66" t="s">
        <v>100</v>
      </c>
      <c r="I585" s="33" t="str">
        <f ca="1"/>
        <v>25,44</v>
      </c>
      <c r="J585" s="2">
        <v>585</v>
      </c>
      <c r="K585" s="2" t="str">
        <v>No Match</v>
      </c>
      <c r="M585" s="33">
        <f ca="1"/>
        <v>25.44</v>
      </c>
      <c r="N585" s="2" t="e">
        <f ca="1"/>
        <v>#N/A</v>
      </c>
      <c r="O585" s="2" t="e">
        <f ca="1"/>
        <v>#N/A</v>
      </c>
      <c r="P585" s="2" t="e">
        <f ca="1"/>
        <v>#N/A</v>
      </c>
      <c r="Q585" s="33" t="e">
        <f ca="1"/>
        <v>#N/A</v>
      </c>
      <c r="R585" s="33" t="e">
        <f ca="1"/>
        <v>#N/A</v>
      </c>
    </row>
    <row r="586" spans="1:18" x14ac:dyDescent="0.2">
      <c r="A586" s="2">
        <v>585</v>
      </c>
      <c r="B586" s="65">
        <v>45733</v>
      </c>
      <c r="C586" s="70">
        <v>0.38871527777777776</v>
      </c>
      <c r="D586" s="66" t="s">
        <v>98</v>
      </c>
      <c r="G586" s="66" t="s">
        <v>155</v>
      </c>
      <c r="H586" s="66" t="s">
        <v>100</v>
      </c>
      <c r="I586" s="33" t="str">
        <f ca="1"/>
        <v>25,49</v>
      </c>
      <c r="J586" s="2">
        <v>586</v>
      </c>
      <c r="K586" s="2" t="str">
        <v>No Match</v>
      </c>
      <c r="M586" s="33">
        <f ca="1"/>
        <v>25.49</v>
      </c>
      <c r="N586" s="2" t="e">
        <f ca="1"/>
        <v>#N/A</v>
      </c>
      <c r="O586" s="2" t="e">
        <f ca="1"/>
        <v>#N/A</v>
      </c>
      <c r="P586" s="2" t="e">
        <f ca="1"/>
        <v>#N/A</v>
      </c>
      <c r="Q586" s="33" t="e">
        <f ca="1"/>
        <v>#N/A</v>
      </c>
      <c r="R586" s="33" t="e">
        <f ca="1"/>
        <v>#N/A</v>
      </c>
    </row>
    <row r="587" spans="1:18" x14ac:dyDescent="0.2">
      <c r="A587" s="2">
        <v>586</v>
      </c>
      <c r="B587" s="65">
        <v>45733</v>
      </c>
      <c r="C587" s="70">
        <v>0.38976851851851851</v>
      </c>
      <c r="D587" s="66" t="s">
        <v>98</v>
      </c>
      <c r="G587" s="66" t="s">
        <v>146</v>
      </c>
      <c r="H587" s="66" t="s">
        <v>100</v>
      </c>
      <c r="I587" s="33" t="str">
        <f ca="1"/>
        <v>25,37</v>
      </c>
      <c r="J587" s="2">
        <v>587</v>
      </c>
      <c r="K587" s="2" t="str">
        <v>No Match</v>
      </c>
      <c r="M587" s="33">
        <f ca="1"/>
        <v>25.37</v>
      </c>
      <c r="N587" s="2" t="e">
        <f ca="1"/>
        <v>#N/A</v>
      </c>
      <c r="O587" s="2" t="e">
        <f ca="1"/>
        <v>#N/A</v>
      </c>
      <c r="P587" s="2" t="e">
        <f ca="1"/>
        <v>#N/A</v>
      </c>
      <c r="Q587" s="33" t="e">
        <f ca="1"/>
        <v>#N/A</v>
      </c>
      <c r="R587" s="33" t="e">
        <f ca="1"/>
        <v>#N/A</v>
      </c>
    </row>
    <row r="588" spans="1:18" x14ac:dyDescent="0.2">
      <c r="A588" s="2">
        <v>587</v>
      </c>
      <c r="B588" s="65">
        <v>45733</v>
      </c>
      <c r="C588" s="70">
        <v>0.38984953703703706</v>
      </c>
      <c r="D588" s="66" t="s">
        <v>98</v>
      </c>
      <c r="G588" s="66" t="s">
        <v>165</v>
      </c>
      <c r="H588" s="66" t="s">
        <v>100</v>
      </c>
      <c r="I588" s="33" t="str">
        <f ca="1"/>
        <v>25,42</v>
      </c>
      <c r="J588" s="2">
        <v>588</v>
      </c>
      <c r="K588" s="2" t="str">
        <v>No Match</v>
      </c>
      <c r="M588" s="33">
        <f ca="1"/>
        <v>25.42</v>
      </c>
      <c r="N588" s="2" t="e">
        <f ca="1"/>
        <v>#N/A</v>
      </c>
      <c r="O588" s="2" t="e">
        <f ca="1"/>
        <v>#N/A</v>
      </c>
      <c r="P588" s="2" t="e">
        <f ca="1"/>
        <v>#N/A</v>
      </c>
      <c r="Q588" s="33" t="e">
        <f ca="1"/>
        <v>#N/A</v>
      </c>
      <c r="R588" s="33" t="e">
        <f ca="1"/>
        <v>#N/A</v>
      </c>
    </row>
    <row r="589" spans="1:18" x14ac:dyDescent="0.2">
      <c r="A589" s="2">
        <v>588</v>
      </c>
      <c r="B589" s="65">
        <v>45733</v>
      </c>
      <c r="C589" s="70">
        <v>0.39097222222222222</v>
      </c>
      <c r="D589" s="66" t="s">
        <v>98</v>
      </c>
      <c r="G589" s="66" t="s">
        <v>202</v>
      </c>
      <c r="H589" s="66" t="s">
        <v>100</v>
      </c>
      <c r="I589" s="33" t="str">
        <f ca="1"/>
        <v>25,31</v>
      </c>
      <c r="J589" s="2">
        <v>589</v>
      </c>
      <c r="K589" s="2" t="str">
        <v>No Match</v>
      </c>
      <c r="M589" s="33">
        <f ca="1"/>
        <v>25.31</v>
      </c>
      <c r="N589" s="2" t="e">
        <f ca="1"/>
        <v>#N/A</v>
      </c>
      <c r="O589" s="2" t="e">
        <f ca="1"/>
        <v>#N/A</v>
      </c>
      <c r="P589" s="2" t="e">
        <f ca="1"/>
        <v>#N/A</v>
      </c>
      <c r="Q589" s="33" t="e">
        <f ca="1"/>
        <v>#N/A</v>
      </c>
      <c r="R589" s="33" t="e">
        <f ca="1"/>
        <v>#N/A</v>
      </c>
    </row>
    <row r="590" spans="1:18" x14ac:dyDescent="0.2">
      <c r="A590" s="2">
        <v>589</v>
      </c>
      <c r="B590" s="65">
        <v>45733</v>
      </c>
      <c r="C590" s="70">
        <v>0.3913888888888889</v>
      </c>
      <c r="D590" s="66" t="s">
        <v>98</v>
      </c>
      <c r="G590" s="66" t="s">
        <v>165</v>
      </c>
      <c r="H590" s="66" t="s">
        <v>100</v>
      </c>
      <c r="I590" s="33" t="str">
        <f ca="1"/>
        <v>25,42</v>
      </c>
      <c r="J590" s="2">
        <v>590</v>
      </c>
      <c r="K590" s="2" t="str">
        <v>No Match</v>
      </c>
      <c r="M590" s="33">
        <f ca="1"/>
        <v>25.42</v>
      </c>
      <c r="N590" s="2" t="e">
        <f ca="1"/>
        <v>#N/A</v>
      </c>
      <c r="O590" s="2" t="e">
        <f ca="1"/>
        <v>#N/A</v>
      </c>
      <c r="P590" s="2" t="e">
        <f ca="1"/>
        <v>#N/A</v>
      </c>
      <c r="Q590" s="33" t="e">
        <f ca="1"/>
        <v>#N/A</v>
      </c>
      <c r="R590" s="33" t="e">
        <f ca="1"/>
        <v>#N/A</v>
      </c>
    </row>
    <row r="591" spans="1:18" x14ac:dyDescent="0.2">
      <c r="A591" s="2">
        <v>590</v>
      </c>
      <c r="B591" s="65">
        <v>45733</v>
      </c>
      <c r="C591" s="70">
        <v>0.39210648148148147</v>
      </c>
      <c r="D591" s="66" t="s">
        <v>98</v>
      </c>
      <c r="G591" s="66" t="s">
        <v>155</v>
      </c>
      <c r="H591" s="66" t="s">
        <v>100</v>
      </c>
      <c r="I591" s="33" t="str">
        <f ca="1"/>
        <v>25,49</v>
      </c>
      <c r="J591" s="2">
        <v>591</v>
      </c>
      <c r="K591" s="2" t="str">
        <v>No Match</v>
      </c>
      <c r="M591" s="33">
        <f ca="1"/>
        <v>25.49</v>
      </c>
      <c r="N591" s="2">
        <f ca="1"/>
        <v>25</v>
      </c>
      <c r="O591" s="2">
        <f ca="1"/>
        <v>24.625</v>
      </c>
      <c r="P591" s="2">
        <f ca="1"/>
        <v>25.375</v>
      </c>
      <c r="Q591" s="33">
        <f ca="1"/>
        <v>25.312372881355937</v>
      </c>
      <c r="R591" s="33">
        <f ca="1"/>
        <v>25.457000000000001</v>
      </c>
    </row>
    <row r="592" spans="1:18" x14ac:dyDescent="0.2">
      <c r="A592" s="2">
        <v>591</v>
      </c>
      <c r="B592" s="65">
        <v>45733</v>
      </c>
      <c r="C592" s="70">
        <v>0.39353009259259258</v>
      </c>
      <c r="D592" s="66" t="s">
        <v>98</v>
      </c>
      <c r="G592" s="66" t="s">
        <v>104</v>
      </c>
      <c r="H592" s="66" t="s">
        <v>100</v>
      </c>
      <c r="I592" s="33" t="str">
        <f ca="1"/>
        <v>25,40</v>
      </c>
      <c r="J592" s="2">
        <v>592</v>
      </c>
      <c r="K592" s="2" t="str">
        <v>No Match</v>
      </c>
      <c r="M592" s="33">
        <f ca="1"/>
        <v>25.4</v>
      </c>
      <c r="N592" s="2" t="e">
        <f ca="1"/>
        <v>#N/A</v>
      </c>
      <c r="O592" s="2" t="e">
        <f ca="1"/>
        <v>#N/A</v>
      </c>
      <c r="P592" s="2" t="e">
        <f ca="1"/>
        <v>#N/A</v>
      </c>
      <c r="Q592" s="33" t="e">
        <f ca="1"/>
        <v>#N/A</v>
      </c>
      <c r="R592" s="33" t="e">
        <f ca="1"/>
        <v>#N/A</v>
      </c>
    </row>
    <row r="593" spans="1:18" x14ac:dyDescent="0.2">
      <c r="A593" s="2">
        <v>592</v>
      </c>
      <c r="B593" s="65">
        <v>45733</v>
      </c>
      <c r="C593" s="70">
        <v>0.39534722222222224</v>
      </c>
      <c r="D593" s="66" t="s">
        <v>98</v>
      </c>
      <c r="G593" s="66" t="s">
        <v>123</v>
      </c>
      <c r="H593" s="66" t="s">
        <v>100</v>
      </c>
      <c r="I593" s="33" t="str">
        <f ca="1"/>
        <v>25,13</v>
      </c>
      <c r="J593" s="2">
        <v>593</v>
      </c>
      <c r="K593" s="2" t="str">
        <v>No Match</v>
      </c>
      <c r="M593" s="33">
        <f ca="1"/>
        <v>25.13</v>
      </c>
      <c r="N593" s="2" t="e">
        <f ca="1"/>
        <v>#N/A</v>
      </c>
      <c r="O593" s="2" t="e">
        <f ca="1"/>
        <v>#N/A</v>
      </c>
      <c r="P593" s="2" t="e">
        <f ca="1"/>
        <v>#N/A</v>
      </c>
      <c r="Q593" s="33" t="e">
        <f ca="1"/>
        <v>#N/A</v>
      </c>
      <c r="R593" s="33" t="e">
        <f ca="1"/>
        <v>#N/A</v>
      </c>
    </row>
    <row r="594" spans="1:18" x14ac:dyDescent="0.2">
      <c r="A594" s="2">
        <v>593</v>
      </c>
      <c r="B594" s="65">
        <v>45733</v>
      </c>
      <c r="C594" s="70">
        <v>0.39681712962962962</v>
      </c>
      <c r="D594" s="66" t="s">
        <v>98</v>
      </c>
      <c r="G594" s="66" t="s">
        <v>183</v>
      </c>
      <c r="H594" s="66" t="s">
        <v>100</v>
      </c>
      <c r="I594" s="33" t="str">
        <f ca="1"/>
        <v>25,05</v>
      </c>
      <c r="J594" s="2">
        <v>594</v>
      </c>
      <c r="K594" s="2" t="str">
        <v>No Match</v>
      </c>
      <c r="M594" s="33">
        <f ca="1"/>
        <v>25.05</v>
      </c>
      <c r="N594" s="2" t="e">
        <f ca="1"/>
        <v>#N/A</v>
      </c>
      <c r="O594" s="2" t="e">
        <f ca="1"/>
        <v>#N/A</v>
      </c>
      <c r="P594" s="2" t="e">
        <f ca="1"/>
        <v>#N/A</v>
      </c>
      <c r="Q594" s="33" t="e">
        <f ca="1"/>
        <v>#N/A</v>
      </c>
      <c r="R594" s="33" t="e">
        <f ca="1"/>
        <v>#N/A</v>
      </c>
    </row>
    <row r="595" spans="1:18" x14ac:dyDescent="0.2">
      <c r="A595" s="2">
        <v>594</v>
      </c>
      <c r="B595" s="65">
        <v>45733</v>
      </c>
      <c r="C595" s="70">
        <v>0.39758101851851851</v>
      </c>
      <c r="D595" s="66" t="s">
        <v>98</v>
      </c>
      <c r="G595" s="66" t="s">
        <v>159</v>
      </c>
      <c r="H595" s="66" t="s">
        <v>100</v>
      </c>
      <c r="I595" s="33" t="str">
        <f ca="1"/>
        <v>25,26</v>
      </c>
      <c r="J595" s="2">
        <v>595</v>
      </c>
      <c r="K595" s="2" t="str">
        <v>No Match</v>
      </c>
      <c r="M595" s="33">
        <f ca="1"/>
        <v>25.26</v>
      </c>
      <c r="N595" s="2" t="e">
        <f ca="1"/>
        <v>#N/A</v>
      </c>
      <c r="O595" s="2" t="e">
        <f ca="1"/>
        <v>#N/A</v>
      </c>
      <c r="P595" s="2" t="e">
        <f ca="1"/>
        <v>#N/A</v>
      </c>
      <c r="Q595" s="33" t="e">
        <f ca="1"/>
        <v>#N/A</v>
      </c>
      <c r="R595" s="33" t="e">
        <f ca="1"/>
        <v>#N/A</v>
      </c>
    </row>
    <row r="596" spans="1:18" x14ac:dyDescent="0.2">
      <c r="A596" s="2">
        <v>595</v>
      </c>
      <c r="B596" s="65">
        <v>45733</v>
      </c>
      <c r="C596" s="70">
        <v>0.39793981481481483</v>
      </c>
      <c r="D596" s="66" t="s">
        <v>98</v>
      </c>
      <c r="G596" s="66" t="s">
        <v>207</v>
      </c>
      <c r="H596" s="66" t="s">
        <v>100</v>
      </c>
      <c r="I596" s="33" t="str">
        <f ca="1"/>
        <v>25,07</v>
      </c>
      <c r="J596" s="2">
        <v>596</v>
      </c>
      <c r="K596" s="2" t="str">
        <v>No Match</v>
      </c>
      <c r="M596" s="33">
        <f ca="1"/>
        <v>25.07</v>
      </c>
      <c r="N596" s="2" t="e">
        <f ca="1"/>
        <v>#N/A</v>
      </c>
      <c r="O596" s="2" t="e">
        <f ca="1"/>
        <v>#N/A</v>
      </c>
      <c r="P596" s="2" t="e">
        <f ca="1"/>
        <v>#N/A</v>
      </c>
      <c r="Q596" s="33" t="e">
        <f ca="1"/>
        <v>#N/A</v>
      </c>
      <c r="R596" s="33" t="e">
        <f ca="1"/>
        <v>#N/A</v>
      </c>
    </row>
    <row r="597" spans="1:18" x14ac:dyDescent="0.2">
      <c r="A597" s="2">
        <v>596</v>
      </c>
      <c r="B597" s="65">
        <v>45733</v>
      </c>
      <c r="C597" s="70">
        <v>0.39858796296296295</v>
      </c>
      <c r="D597" s="66" t="s">
        <v>98</v>
      </c>
      <c r="G597" s="66" t="s">
        <v>131</v>
      </c>
      <c r="H597" s="66" t="s">
        <v>100</v>
      </c>
      <c r="I597" s="33" t="str">
        <f ca="1"/>
        <v>25,24</v>
      </c>
      <c r="J597" s="2">
        <v>597</v>
      </c>
      <c r="K597" s="2" t="str">
        <v>No Match</v>
      </c>
      <c r="M597" s="33">
        <f ca="1"/>
        <v>25.24</v>
      </c>
      <c r="N597" s="2" t="e">
        <f ca="1"/>
        <v>#N/A</v>
      </c>
      <c r="O597" s="2" t="e">
        <f ca="1"/>
        <v>#N/A</v>
      </c>
      <c r="P597" s="2" t="e">
        <f ca="1"/>
        <v>#N/A</v>
      </c>
      <c r="Q597" s="33" t="e">
        <f ca="1"/>
        <v>#N/A</v>
      </c>
      <c r="R597" s="33" t="e">
        <f ca="1"/>
        <v>#N/A</v>
      </c>
    </row>
    <row r="598" spans="1:18" x14ac:dyDescent="0.2">
      <c r="A598" s="2">
        <v>597</v>
      </c>
      <c r="B598" s="65">
        <v>45733</v>
      </c>
      <c r="C598" s="70">
        <v>0.39863425925925927</v>
      </c>
      <c r="D598" s="66" t="s">
        <v>98</v>
      </c>
      <c r="G598" s="66" t="s">
        <v>190</v>
      </c>
      <c r="H598" s="66" t="s">
        <v>100</v>
      </c>
      <c r="I598" s="33" t="str">
        <f ca="1"/>
        <v>25,19</v>
      </c>
      <c r="J598" s="2">
        <v>598</v>
      </c>
      <c r="K598" s="2" t="str">
        <v>No Match</v>
      </c>
      <c r="M598" s="33">
        <f ca="1"/>
        <v>25.19</v>
      </c>
      <c r="N598" s="2" t="e">
        <f ca="1"/>
        <v>#N/A</v>
      </c>
      <c r="O598" s="2" t="e">
        <f ca="1"/>
        <v>#N/A</v>
      </c>
      <c r="P598" s="2" t="e">
        <f ca="1"/>
        <v>#N/A</v>
      </c>
      <c r="Q598" s="33" t="e">
        <f ca="1"/>
        <v>#N/A</v>
      </c>
      <c r="R598" s="33" t="e">
        <f ca="1"/>
        <v>#N/A</v>
      </c>
    </row>
    <row r="599" spans="1:18" x14ac:dyDescent="0.2">
      <c r="A599" s="2">
        <v>598</v>
      </c>
      <c r="B599" s="65">
        <v>45733</v>
      </c>
      <c r="C599" s="70">
        <v>0.39928240740740739</v>
      </c>
      <c r="D599" s="66" t="s">
        <v>98</v>
      </c>
      <c r="G599" s="66" t="s">
        <v>120</v>
      </c>
      <c r="H599" s="66" t="s">
        <v>100</v>
      </c>
      <c r="I599" s="33" t="str">
        <f ca="1"/>
        <v>25,34</v>
      </c>
      <c r="J599" s="2">
        <v>599</v>
      </c>
      <c r="K599" s="2" t="str">
        <v>No Match</v>
      </c>
      <c r="M599" s="33">
        <f ca="1"/>
        <v>25.34</v>
      </c>
      <c r="N599" s="2" t="e">
        <f ca="1"/>
        <v>#N/A</v>
      </c>
      <c r="O599" s="2" t="e">
        <f ca="1"/>
        <v>#N/A</v>
      </c>
      <c r="P599" s="2" t="e">
        <f ca="1"/>
        <v>#N/A</v>
      </c>
      <c r="Q599" s="33" t="e">
        <f ca="1"/>
        <v>#N/A</v>
      </c>
      <c r="R599" s="33" t="e">
        <f ca="1"/>
        <v>#N/A</v>
      </c>
    </row>
    <row r="600" spans="1:18" x14ac:dyDescent="0.2">
      <c r="A600" s="2">
        <v>599</v>
      </c>
      <c r="B600" s="65">
        <v>45733</v>
      </c>
      <c r="C600" s="70">
        <v>0.39938657407407407</v>
      </c>
      <c r="D600" s="66" t="s">
        <v>98</v>
      </c>
      <c r="G600" s="66" t="s">
        <v>127</v>
      </c>
      <c r="H600" s="66" t="s">
        <v>100</v>
      </c>
      <c r="I600" s="33" t="str">
        <f ca="1"/>
        <v>25,28</v>
      </c>
      <c r="J600" s="2">
        <v>600</v>
      </c>
      <c r="K600" s="2" t="str">
        <v>No Match</v>
      </c>
      <c r="M600" s="33">
        <f ca="1"/>
        <v>25.28</v>
      </c>
      <c r="N600" s="2" t="e">
        <f ca="1"/>
        <v>#N/A</v>
      </c>
      <c r="O600" s="2" t="e">
        <f ca="1"/>
        <v>#N/A</v>
      </c>
      <c r="P600" s="2" t="e">
        <f ca="1"/>
        <v>#N/A</v>
      </c>
      <c r="Q600" s="33" t="e">
        <f ca="1"/>
        <v>#N/A</v>
      </c>
      <c r="R600" s="33" t="e">
        <f ca="1"/>
        <v>#N/A</v>
      </c>
    </row>
    <row r="601" spans="1:18" x14ac:dyDescent="0.2">
      <c r="A601" s="2">
        <v>600</v>
      </c>
      <c r="B601" s="65">
        <v>45733</v>
      </c>
      <c r="C601" s="70">
        <v>0.39946759259259257</v>
      </c>
      <c r="D601" s="66" t="s">
        <v>98</v>
      </c>
      <c r="G601" s="66" t="s">
        <v>140</v>
      </c>
      <c r="H601" s="66" t="s">
        <v>100</v>
      </c>
      <c r="I601" s="33" t="str">
        <f ca="1"/>
        <v>25,10</v>
      </c>
      <c r="J601" s="2">
        <v>601</v>
      </c>
      <c r="K601" s="2" t="str">
        <v>No Match</v>
      </c>
      <c r="M601" s="33">
        <f ca="1"/>
        <v>25.1</v>
      </c>
      <c r="N601" s="2">
        <f ca="1"/>
        <v>25</v>
      </c>
      <c r="O601" s="2">
        <f ca="1"/>
        <v>24.625</v>
      </c>
      <c r="P601" s="2">
        <f ca="1"/>
        <v>25.375</v>
      </c>
      <c r="Q601" s="33">
        <f ca="1"/>
        <v>25.310600000000004</v>
      </c>
      <c r="R601" s="33">
        <f ca="1"/>
        <v>25.206</v>
      </c>
    </row>
    <row r="602" spans="1:18" x14ac:dyDescent="0.2">
      <c r="A602" s="2">
        <v>601</v>
      </c>
      <c r="B602" s="65">
        <v>45733</v>
      </c>
      <c r="C602" s="70">
        <v>0.41248842592592594</v>
      </c>
      <c r="D602" s="66" t="s">
        <v>98</v>
      </c>
      <c r="G602" s="66" t="s">
        <v>226</v>
      </c>
      <c r="H602" s="66" t="s">
        <v>100</v>
      </c>
      <c r="I602" s="33" t="str">
        <f ca="1"/>
        <v>25,68</v>
      </c>
      <c r="J602" s="2">
        <v>602</v>
      </c>
      <c r="K602" s="2" t="str">
        <v>No Match</v>
      </c>
      <c r="M602" s="33">
        <f ca="1"/>
        <v>25.68</v>
      </c>
      <c r="N602" s="2" t="e">
        <f ca="1"/>
        <v>#N/A</v>
      </c>
      <c r="O602" s="2" t="e">
        <f ca="1"/>
        <v>#N/A</v>
      </c>
      <c r="P602" s="2" t="e">
        <f ca="1"/>
        <v>#N/A</v>
      </c>
      <c r="Q602" s="33" t="e">
        <f ca="1"/>
        <v>#N/A</v>
      </c>
      <c r="R602" s="33" t="e">
        <f ca="1"/>
        <v>#N/A</v>
      </c>
    </row>
    <row r="603" spans="1:18" x14ac:dyDescent="0.2">
      <c r="A603" s="2">
        <v>602</v>
      </c>
      <c r="B603" s="65">
        <v>45733</v>
      </c>
      <c r="C603" s="70">
        <v>0.41313657407407406</v>
      </c>
      <c r="D603" s="66" t="s">
        <v>98</v>
      </c>
      <c r="G603" s="66" t="s">
        <v>155</v>
      </c>
      <c r="H603" s="66" t="s">
        <v>100</v>
      </c>
      <c r="I603" s="33" t="str">
        <f ca="1"/>
        <v>25,49</v>
      </c>
      <c r="J603" s="2">
        <v>603</v>
      </c>
      <c r="K603" s="2" t="str">
        <v>No Match</v>
      </c>
      <c r="M603" s="33">
        <f ca="1"/>
        <v>25.49</v>
      </c>
      <c r="N603" s="2" t="e">
        <f ca="1"/>
        <v>#N/A</v>
      </c>
      <c r="O603" s="2" t="e">
        <f ca="1"/>
        <v>#N/A</v>
      </c>
      <c r="P603" s="2" t="e">
        <f ca="1"/>
        <v>#N/A</v>
      </c>
      <c r="Q603" s="33" t="e">
        <f ca="1"/>
        <v>#N/A</v>
      </c>
      <c r="R603" s="33" t="e">
        <f ca="1"/>
        <v>#N/A</v>
      </c>
    </row>
    <row r="604" spans="1:18" x14ac:dyDescent="0.2">
      <c r="A604" s="2">
        <v>603</v>
      </c>
      <c r="B604" s="65">
        <v>45733</v>
      </c>
      <c r="C604" s="70">
        <v>0.41696759259259258</v>
      </c>
      <c r="D604" s="66" t="s">
        <v>98</v>
      </c>
      <c r="G604" s="66" t="s">
        <v>133</v>
      </c>
      <c r="H604" s="66" t="s">
        <v>100</v>
      </c>
      <c r="I604" s="33" t="str">
        <f ca="1"/>
        <v>25,41</v>
      </c>
      <c r="J604" s="2">
        <v>604</v>
      </c>
      <c r="K604" s="2" t="str">
        <v>No Match</v>
      </c>
      <c r="M604" s="33">
        <f ca="1"/>
        <v>25.41</v>
      </c>
      <c r="N604" s="2" t="e">
        <f ca="1"/>
        <v>#N/A</v>
      </c>
      <c r="O604" s="2" t="e">
        <f ca="1"/>
        <v>#N/A</v>
      </c>
      <c r="P604" s="2" t="e">
        <f ca="1"/>
        <v>#N/A</v>
      </c>
      <c r="Q604" s="33" t="e">
        <f ca="1"/>
        <v>#N/A</v>
      </c>
      <c r="R604" s="33" t="e">
        <f ca="1"/>
        <v>#N/A</v>
      </c>
    </row>
    <row r="605" spans="1:18" x14ac:dyDescent="0.2">
      <c r="A605" s="2">
        <v>604</v>
      </c>
      <c r="B605" s="65">
        <v>45733</v>
      </c>
      <c r="C605" s="70">
        <v>0.41712962962962963</v>
      </c>
      <c r="D605" s="66" t="s">
        <v>98</v>
      </c>
      <c r="G605" s="66" t="s">
        <v>208</v>
      </c>
      <c r="H605" s="66" t="s">
        <v>100</v>
      </c>
      <c r="I605" s="33" t="str">
        <f ca="1"/>
        <v>25,17</v>
      </c>
      <c r="J605" s="2">
        <v>605</v>
      </c>
      <c r="K605" s="2" t="str">
        <v>No Match</v>
      </c>
      <c r="M605" s="33">
        <f ca="1"/>
        <v>25.17</v>
      </c>
      <c r="N605" s="2" t="e">
        <f ca="1"/>
        <v>#N/A</v>
      </c>
      <c r="O605" s="2" t="e">
        <f ca="1"/>
        <v>#N/A</v>
      </c>
      <c r="P605" s="2" t="e">
        <f ca="1"/>
        <v>#N/A</v>
      </c>
      <c r="Q605" s="33" t="e">
        <f ca="1"/>
        <v>#N/A</v>
      </c>
      <c r="R605" s="33" t="e">
        <f ca="1"/>
        <v>#N/A</v>
      </c>
    </row>
    <row r="606" spans="1:18" x14ac:dyDescent="0.2">
      <c r="A606" s="2">
        <v>605</v>
      </c>
      <c r="B606" s="65">
        <v>45733</v>
      </c>
      <c r="C606" s="70">
        <v>0.41759259259259257</v>
      </c>
      <c r="D606" s="66" t="s">
        <v>98</v>
      </c>
      <c r="G606" s="66" t="s">
        <v>136</v>
      </c>
      <c r="H606" s="66" t="s">
        <v>100</v>
      </c>
      <c r="I606" s="33" t="str">
        <f ca="1"/>
        <v>25,22</v>
      </c>
      <c r="J606" s="2">
        <v>606</v>
      </c>
      <c r="K606" s="2" t="str">
        <v>No Match</v>
      </c>
      <c r="M606" s="33">
        <f ca="1"/>
        <v>25.22</v>
      </c>
      <c r="N606" s="2" t="e">
        <f ca="1"/>
        <v>#N/A</v>
      </c>
      <c r="O606" s="2" t="e">
        <f ca="1"/>
        <v>#N/A</v>
      </c>
      <c r="P606" s="2" t="e">
        <f ca="1"/>
        <v>#N/A</v>
      </c>
      <c r="Q606" s="33" t="e">
        <f ca="1"/>
        <v>#N/A</v>
      </c>
      <c r="R606" s="33" t="e">
        <f ca="1"/>
        <v>#N/A</v>
      </c>
    </row>
    <row r="607" spans="1:18" x14ac:dyDescent="0.2">
      <c r="A607" s="2">
        <v>606</v>
      </c>
      <c r="B607" s="65">
        <v>45733</v>
      </c>
      <c r="C607" s="70">
        <v>0.41804398148148147</v>
      </c>
      <c r="D607" s="66" t="s">
        <v>98</v>
      </c>
      <c r="G607" s="66" t="s">
        <v>99</v>
      </c>
      <c r="H607" s="66" t="s">
        <v>100</v>
      </c>
      <c r="I607" s="33" t="str">
        <f ca="1"/>
        <v>25,16</v>
      </c>
      <c r="J607" s="2">
        <v>607</v>
      </c>
      <c r="K607" s="2" t="str">
        <v>No Match</v>
      </c>
      <c r="M607" s="33">
        <f ca="1"/>
        <v>25.16</v>
      </c>
      <c r="N607" s="2" t="e">
        <f ca="1"/>
        <v>#N/A</v>
      </c>
      <c r="O607" s="2" t="e">
        <f ca="1"/>
        <v>#N/A</v>
      </c>
      <c r="P607" s="2" t="e">
        <f ca="1"/>
        <v>#N/A</v>
      </c>
      <c r="Q607" s="33" t="e">
        <f ca="1"/>
        <v>#N/A</v>
      </c>
      <c r="R607" s="33" t="e">
        <f ca="1"/>
        <v>#N/A</v>
      </c>
    </row>
    <row r="608" spans="1:18" x14ac:dyDescent="0.2">
      <c r="A608" s="2">
        <v>607</v>
      </c>
      <c r="B608" s="65">
        <v>45733</v>
      </c>
      <c r="C608" s="70">
        <v>0.41813657407407406</v>
      </c>
      <c r="D608" s="66" t="s">
        <v>98</v>
      </c>
      <c r="G608" s="66" t="s">
        <v>138</v>
      </c>
      <c r="H608" s="66" t="s">
        <v>100</v>
      </c>
      <c r="I608" s="33" t="str">
        <f ca="1"/>
        <v>25,32</v>
      </c>
      <c r="J608" s="2">
        <v>608</v>
      </c>
      <c r="K608" s="2" t="str">
        <v>No Match</v>
      </c>
      <c r="M608" s="33">
        <f ca="1"/>
        <v>25.32</v>
      </c>
      <c r="N608" s="2" t="e">
        <f ca="1"/>
        <v>#N/A</v>
      </c>
      <c r="O608" s="2" t="e">
        <f ca="1"/>
        <v>#N/A</v>
      </c>
      <c r="P608" s="2" t="e">
        <f ca="1"/>
        <v>#N/A</v>
      </c>
      <c r="Q608" s="33" t="e">
        <f ca="1"/>
        <v>#N/A</v>
      </c>
      <c r="R608" s="33" t="e">
        <f ca="1"/>
        <v>#N/A</v>
      </c>
    </row>
    <row r="609" spans="1:18" x14ac:dyDescent="0.2">
      <c r="A609" s="2">
        <v>608</v>
      </c>
      <c r="B609" s="65">
        <v>45733</v>
      </c>
      <c r="C609" s="70">
        <v>0.41818287037037039</v>
      </c>
      <c r="D609" s="66" t="s">
        <v>98</v>
      </c>
      <c r="G609" s="66" t="s">
        <v>160</v>
      </c>
      <c r="H609" s="66" t="s">
        <v>100</v>
      </c>
      <c r="I609" s="33" t="str">
        <f ca="1"/>
        <v>25,14</v>
      </c>
      <c r="J609" s="2">
        <v>609</v>
      </c>
      <c r="K609" s="2" t="str">
        <v>No Match</v>
      </c>
      <c r="M609" s="33">
        <f ca="1"/>
        <v>25.14</v>
      </c>
      <c r="N609" s="2" t="e">
        <f ca="1"/>
        <v>#N/A</v>
      </c>
      <c r="O609" s="2" t="e">
        <f ca="1"/>
        <v>#N/A</v>
      </c>
      <c r="P609" s="2" t="e">
        <f ca="1"/>
        <v>#N/A</v>
      </c>
      <c r="Q609" s="33" t="e">
        <f ca="1"/>
        <v>#N/A</v>
      </c>
      <c r="R609" s="33" t="e">
        <f ca="1"/>
        <v>#N/A</v>
      </c>
    </row>
    <row r="610" spans="1:18" x14ac:dyDescent="0.2">
      <c r="A610" s="2">
        <v>609</v>
      </c>
      <c r="B610" s="65">
        <v>45733</v>
      </c>
      <c r="C610" s="70">
        <v>0.41822916666666665</v>
      </c>
      <c r="D610" s="66" t="s">
        <v>98</v>
      </c>
      <c r="G610" s="66" t="s">
        <v>123</v>
      </c>
      <c r="H610" s="66" t="s">
        <v>100</v>
      </c>
      <c r="I610" s="33" t="str">
        <f ca="1"/>
        <v>25,13</v>
      </c>
      <c r="J610" s="2">
        <v>610</v>
      </c>
      <c r="K610" s="2" t="str">
        <v>No Match</v>
      </c>
      <c r="M610" s="33">
        <f ca="1"/>
        <v>25.13</v>
      </c>
      <c r="N610" s="2" t="e">
        <f ca="1"/>
        <v>#N/A</v>
      </c>
      <c r="O610" s="2" t="e">
        <f ca="1"/>
        <v>#N/A</v>
      </c>
      <c r="P610" s="2" t="e">
        <f ca="1"/>
        <v>#N/A</v>
      </c>
      <c r="Q610" s="33" t="e">
        <f ca="1"/>
        <v>#N/A</v>
      </c>
      <c r="R610" s="33" t="e">
        <f ca="1"/>
        <v>#N/A</v>
      </c>
    </row>
    <row r="611" spans="1:18" x14ac:dyDescent="0.2">
      <c r="A611" s="2">
        <v>610</v>
      </c>
      <c r="B611" s="65">
        <v>45733</v>
      </c>
      <c r="C611" s="70">
        <v>0.41827546296296297</v>
      </c>
      <c r="D611" s="66" t="s">
        <v>98</v>
      </c>
      <c r="G611" s="66" t="s">
        <v>107</v>
      </c>
      <c r="H611" s="66" t="s">
        <v>100</v>
      </c>
      <c r="I611" s="33" t="str">
        <f ca="1"/>
        <v>25,43</v>
      </c>
      <c r="J611" s="2">
        <v>611</v>
      </c>
      <c r="K611" s="2" t="str">
        <v>No Match</v>
      </c>
      <c r="M611" s="33">
        <f ca="1"/>
        <v>25.43</v>
      </c>
      <c r="N611" s="2">
        <f ca="1"/>
        <v>25</v>
      </c>
      <c r="O611" s="2">
        <f ca="1"/>
        <v>24.625</v>
      </c>
      <c r="P611" s="2">
        <f ca="1"/>
        <v>25.375</v>
      </c>
      <c r="Q611" s="33">
        <f ca="1"/>
        <v>25.310672131147541</v>
      </c>
      <c r="R611" s="33">
        <f ca="1"/>
        <v>25.314999999999998</v>
      </c>
    </row>
    <row r="612" spans="1:18" x14ac:dyDescent="0.2">
      <c r="A612" s="2">
        <v>611</v>
      </c>
      <c r="B612" s="65">
        <v>45733</v>
      </c>
      <c r="C612" s="70">
        <v>0.42031249999999998</v>
      </c>
      <c r="D612" s="66" t="s">
        <v>98</v>
      </c>
      <c r="G612" s="66" t="s">
        <v>156</v>
      </c>
      <c r="H612" s="66" t="s">
        <v>100</v>
      </c>
      <c r="I612" s="33" t="str">
        <f ca="1"/>
        <v>25,83</v>
      </c>
      <c r="J612" s="2">
        <v>612</v>
      </c>
      <c r="K612" s="2" t="str">
        <v>No Match</v>
      </c>
      <c r="M612" s="33">
        <f ca="1"/>
        <v>25.83</v>
      </c>
      <c r="N612" s="2" t="e">
        <f ca="1"/>
        <v>#N/A</v>
      </c>
      <c r="O612" s="2" t="e">
        <f ca="1"/>
        <v>#N/A</v>
      </c>
      <c r="P612" s="2" t="e">
        <f ca="1"/>
        <v>#N/A</v>
      </c>
      <c r="Q612" s="33" t="e">
        <f ca="1"/>
        <v>#N/A</v>
      </c>
      <c r="R612" s="33" t="e">
        <f ca="1"/>
        <v>#N/A</v>
      </c>
    </row>
    <row r="613" spans="1:18" x14ac:dyDescent="0.2">
      <c r="A613" s="2">
        <v>612</v>
      </c>
      <c r="B613" s="65">
        <v>45733</v>
      </c>
      <c r="C613" s="70">
        <v>0.4211111111111111</v>
      </c>
      <c r="D613" s="66" t="s">
        <v>98</v>
      </c>
      <c r="G613" s="66" t="s">
        <v>163</v>
      </c>
      <c r="H613" s="66" t="s">
        <v>100</v>
      </c>
      <c r="I613" s="33" t="str">
        <f ca="1"/>
        <v>25,47</v>
      </c>
      <c r="J613" s="2">
        <v>613</v>
      </c>
      <c r="K613" s="2" t="str">
        <v>No Match</v>
      </c>
      <c r="M613" s="33">
        <f ca="1"/>
        <v>25.47</v>
      </c>
      <c r="N613" s="2" t="e">
        <f ca="1"/>
        <v>#N/A</v>
      </c>
      <c r="O613" s="2" t="e">
        <f ca="1"/>
        <v>#N/A</v>
      </c>
      <c r="P613" s="2" t="e">
        <f ca="1"/>
        <v>#N/A</v>
      </c>
      <c r="Q613" s="33" t="e">
        <f ca="1"/>
        <v>#N/A</v>
      </c>
      <c r="R613" s="33" t="e">
        <f ca="1"/>
        <v>#N/A</v>
      </c>
    </row>
    <row r="614" spans="1:18" x14ac:dyDescent="0.2">
      <c r="A614" s="2">
        <v>613</v>
      </c>
      <c r="B614" s="65">
        <v>45733</v>
      </c>
      <c r="C614" s="70">
        <v>0.42277777777777775</v>
      </c>
      <c r="D614" s="66" t="s">
        <v>98</v>
      </c>
      <c r="G614" s="66" t="s">
        <v>116</v>
      </c>
      <c r="H614" s="66" t="s">
        <v>100</v>
      </c>
      <c r="I614" s="33" t="str">
        <f ca="1"/>
        <v>25,33</v>
      </c>
      <c r="J614" s="2">
        <v>614</v>
      </c>
      <c r="K614" s="2" t="str">
        <v>No Match</v>
      </c>
      <c r="M614" s="33">
        <f ca="1"/>
        <v>25.33</v>
      </c>
      <c r="N614" s="2" t="e">
        <f ca="1"/>
        <v>#N/A</v>
      </c>
      <c r="O614" s="2" t="e">
        <f ca="1"/>
        <v>#N/A</v>
      </c>
      <c r="P614" s="2" t="e">
        <f ca="1"/>
        <v>#N/A</v>
      </c>
      <c r="Q614" s="33" t="e">
        <f ca="1"/>
        <v>#N/A</v>
      </c>
      <c r="R614" s="33" t="e">
        <f ca="1"/>
        <v>#N/A</v>
      </c>
    </row>
    <row r="615" spans="1:18" x14ac:dyDescent="0.2">
      <c r="A615" s="2">
        <v>614</v>
      </c>
      <c r="B615" s="65">
        <v>45733</v>
      </c>
      <c r="C615" s="70">
        <v>0.42422453703703705</v>
      </c>
      <c r="D615" s="66" t="s">
        <v>98</v>
      </c>
      <c r="G615" s="66" t="s">
        <v>99</v>
      </c>
      <c r="H615" s="66" t="s">
        <v>100</v>
      </c>
      <c r="I615" s="33" t="str">
        <f ca="1"/>
        <v>25,16</v>
      </c>
      <c r="J615" s="2">
        <v>615</v>
      </c>
      <c r="K615" s="2" t="str">
        <v>No Match</v>
      </c>
      <c r="M615" s="33">
        <f ca="1"/>
        <v>25.16</v>
      </c>
      <c r="N615" s="2" t="e">
        <f ca="1"/>
        <v>#N/A</v>
      </c>
      <c r="O615" s="2" t="e">
        <f ca="1"/>
        <v>#N/A</v>
      </c>
      <c r="P615" s="2" t="e">
        <f ca="1"/>
        <v>#N/A</v>
      </c>
      <c r="Q615" s="33" t="e">
        <f ca="1"/>
        <v>#N/A</v>
      </c>
      <c r="R615" s="33" t="e">
        <f ca="1"/>
        <v>#N/A</v>
      </c>
    </row>
    <row r="616" spans="1:18" x14ac:dyDescent="0.2">
      <c r="A616" s="2">
        <v>615</v>
      </c>
      <c r="B616" s="65">
        <v>45733</v>
      </c>
      <c r="C616" s="70">
        <v>0.42505787037037035</v>
      </c>
      <c r="D616" s="66" t="s">
        <v>98</v>
      </c>
      <c r="G616" s="66" t="s">
        <v>135</v>
      </c>
      <c r="H616" s="66" t="s">
        <v>100</v>
      </c>
      <c r="I616" s="33" t="str">
        <f ca="1"/>
        <v>25,15</v>
      </c>
      <c r="J616" s="2">
        <v>616</v>
      </c>
      <c r="K616" s="2" t="str">
        <v>No Match</v>
      </c>
      <c r="M616" s="33">
        <f ca="1"/>
        <v>25.15</v>
      </c>
      <c r="N616" s="2" t="e">
        <f ca="1"/>
        <v>#N/A</v>
      </c>
      <c r="O616" s="2" t="e">
        <f ca="1"/>
        <v>#N/A</v>
      </c>
      <c r="P616" s="2" t="e">
        <f ca="1"/>
        <v>#N/A</v>
      </c>
      <c r="Q616" s="33" t="e">
        <f ca="1"/>
        <v>#N/A</v>
      </c>
      <c r="R616" s="33" t="e">
        <f ca="1"/>
        <v>#N/A</v>
      </c>
    </row>
    <row r="617" spans="1:18" x14ac:dyDescent="0.2">
      <c r="A617" s="2">
        <v>616</v>
      </c>
      <c r="B617" s="65">
        <v>45733</v>
      </c>
      <c r="C617" s="70">
        <v>0.42631944444444442</v>
      </c>
      <c r="D617" s="66" t="s">
        <v>98</v>
      </c>
      <c r="G617" s="66" t="s">
        <v>142</v>
      </c>
      <c r="H617" s="66" t="s">
        <v>100</v>
      </c>
      <c r="I617" s="33" t="str">
        <f ca="1"/>
        <v>25,03</v>
      </c>
      <c r="J617" s="2">
        <v>617</v>
      </c>
      <c r="K617" s="2" t="str">
        <v>No Match</v>
      </c>
      <c r="M617" s="33">
        <f ca="1"/>
        <v>25.03</v>
      </c>
      <c r="N617" s="2" t="e">
        <f ca="1"/>
        <v>#N/A</v>
      </c>
      <c r="O617" s="2" t="e">
        <f ca="1"/>
        <v>#N/A</v>
      </c>
      <c r="P617" s="2" t="e">
        <f ca="1"/>
        <v>#N/A</v>
      </c>
      <c r="Q617" s="33" t="e">
        <f ca="1"/>
        <v>#N/A</v>
      </c>
      <c r="R617" s="33" t="e">
        <f ca="1"/>
        <v>#N/A</v>
      </c>
    </row>
    <row r="618" spans="1:18" x14ac:dyDescent="0.2">
      <c r="A618" s="2">
        <v>617</v>
      </c>
      <c r="B618" s="65">
        <v>45733</v>
      </c>
      <c r="C618" s="70">
        <v>0.42667824074074073</v>
      </c>
      <c r="D618" s="66" t="s">
        <v>98</v>
      </c>
      <c r="G618" s="66" t="s">
        <v>145</v>
      </c>
      <c r="H618" s="66" t="s">
        <v>100</v>
      </c>
      <c r="I618" s="33" t="str">
        <f ca="1"/>
        <v>25,30</v>
      </c>
      <c r="J618" s="2">
        <v>618</v>
      </c>
      <c r="K618" s="2" t="str">
        <v>No Match</v>
      </c>
      <c r="M618" s="33">
        <f ca="1"/>
        <v>25.3</v>
      </c>
      <c r="N618" s="2" t="e">
        <f ca="1"/>
        <v>#N/A</v>
      </c>
      <c r="O618" s="2" t="e">
        <f ca="1"/>
        <v>#N/A</v>
      </c>
      <c r="P618" s="2" t="e">
        <f ca="1"/>
        <v>#N/A</v>
      </c>
      <c r="Q618" s="33" t="e">
        <f ca="1"/>
        <v>#N/A</v>
      </c>
      <c r="R618" s="33" t="e">
        <f ca="1"/>
        <v>#N/A</v>
      </c>
    </row>
    <row r="619" spans="1:18" x14ac:dyDescent="0.2">
      <c r="A619" s="2">
        <v>618</v>
      </c>
      <c r="B619" s="65">
        <v>45733</v>
      </c>
      <c r="C619" s="70">
        <v>0.42671296296296296</v>
      </c>
      <c r="D619" s="66" t="s">
        <v>98</v>
      </c>
      <c r="G619" s="66" t="s">
        <v>116</v>
      </c>
      <c r="H619" s="66" t="s">
        <v>100</v>
      </c>
      <c r="I619" s="33" t="str">
        <f ca="1"/>
        <v>25,33</v>
      </c>
      <c r="J619" s="2">
        <v>619</v>
      </c>
      <c r="K619" s="2" t="str">
        <v>No Match</v>
      </c>
      <c r="M619" s="33">
        <f ca="1"/>
        <v>25.33</v>
      </c>
      <c r="N619" s="2" t="e">
        <f ca="1"/>
        <v>#N/A</v>
      </c>
      <c r="O619" s="2" t="e">
        <f ca="1"/>
        <v>#N/A</v>
      </c>
      <c r="P619" s="2" t="e">
        <f ca="1"/>
        <v>#N/A</v>
      </c>
      <c r="Q619" s="33" t="e">
        <f ca="1"/>
        <v>#N/A</v>
      </c>
      <c r="R619" s="33" t="e">
        <f ca="1"/>
        <v>#N/A</v>
      </c>
    </row>
    <row r="620" spans="1:18" x14ac:dyDescent="0.2">
      <c r="A620" s="2">
        <v>619</v>
      </c>
      <c r="B620" s="65">
        <v>45733</v>
      </c>
      <c r="C620" s="70">
        <v>0.42675925925925928</v>
      </c>
      <c r="D620" s="66" t="s">
        <v>98</v>
      </c>
      <c r="G620" s="66" t="s">
        <v>135</v>
      </c>
      <c r="H620" s="66" t="s">
        <v>100</v>
      </c>
      <c r="I620" s="33" t="str">
        <f ca="1"/>
        <v>25,15</v>
      </c>
      <c r="J620" s="2">
        <v>620</v>
      </c>
      <c r="K620" s="2" t="str">
        <v>No Match</v>
      </c>
      <c r="M620" s="33">
        <f ca="1"/>
        <v>25.15</v>
      </c>
      <c r="N620" s="2" t="e">
        <f ca="1"/>
        <v>#N/A</v>
      </c>
      <c r="O620" s="2" t="e">
        <f ca="1"/>
        <v>#N/A</v>
      </c>
      <c r="P620" s="2" t="e">
        <f ca="1"/>
        <v>#N/A</v>
      </c>
      <c r="Q620" s="33" t="e">
        <f ca="1"/>
        <v>#N/A</v>
      </c>
      <c r="R620" s="33" t="e">
        <f ca="1"/>
        <v>#N/A</v>
      </c>
    </row>
    <row r="621" spans="1:18" x14ac:dyDescent="0.2">
      <c r="A621" s="2">
        <v>620</v>
      </c>
      <c r="B621" s="65">
        <v>45733</v>
      </c>
      <c r="C621" s="70">
        <v>0.42737268518518517</v>
      </c>
      <c r="D621" s="66" t="s">
        <v>98</v>
      </c>
      <c r="G621" s="66" t="s">
        <v>131</v>
      </c>
      <c r="H621" s="66" t="s">
        <v>100</v>
      </c>
      <c r="I621" s="33" t="str">
        <f ca="1"/>
        <v>25,24</v>
      </c>
      <c r="J621" s="2">
        <v>621</v>
      </c>
      <c r="K621" s="2" t="str">
        <v>No Match</v>
      </c>
      <c r="M621" s="33">
        <f ca="1"/>
        <v>25.24</v>
      </c>
      <c r="N621" s="2">
        <f ca="1"/>
        <v>25</v>
      </c>
      <c r="O621" s="2">
        <f ca="1"/>
        <v>24.625</v>
      </c>
      <c r="P621" s="2">
        <f ca="1"/>
        <v>25.375</v>
      </c>
      <c r="Q621" s="33">
        <f ca="1"/>
        <v>25.31048387096774</v>
      </c>
      <c r="R621" s="33">
        <f ca="1"/>
        <v>25.299000000000003</v>
      </c>
    </row>
    <row r="622" spans="1:18" x14ac:dyDescent="0.2">
      <c r="A622" s="2">
        <v>621</v>
      </c>
      <c r="B622" s="65">
        <v>45733</v>
      </c>
      <c r="C622" s="70">
        <v>0.42973379629629632</v>
      </c>
      <c r="D622" s="66" t="s">
        <v>98</v>
      </c>
      <c r="G622" s="66" t="s">
        <v>200</v>
      </c>
      <c r="H622" s="66" t="s">
        <v>100</v>
      </c>
      <c r="I622" s="33" t="str">
        <f ca="1"/>
        <v>25,21</v>
      </c>
      <c r="J622" s="2">
        <v>622</v>
      </c>
      <c r="K622" s="2" t="str">
        <v>No Match</v>
      </c>
      <c r="M622" s="33">
        <f ca="1"/>
        <v>25.21</v>
      </c>
      <c r="N622" s="2" t="e">
        <f ca="1"/>
        <v>#N/A</v>
      </c>
      <c r="O622" s="2" t="e">
        <f ca="1"/>
        <v>#N/A</v>
      </c>
      <c r="P622" s="2" t="e">
        <f ca="1"/>
        <v>#N/A</v>
      </c>
      <c r="Q622" s="33" t="e">
        <f ca="1"/>
        <v>#N/A</v>
      </c>
      <c r="R622" s="33" t="e">
        <f ca="1"/>
        <v>#N/A</v>
      </c>
    </row>
    <row r="623" spans="1:18" x14ac:dyDescent="0.2">
      <c r="A623" s="2">
        <v>622</v>
      </c>
      <c r="B623" s="65">
        <v>45733</v>
      </c>
      <c r="C623" s="70">
        <v>0.46236111111111111</v>
      </c>
      <c r="D623" s="66" t="s">
        <v>98</v>
      </c>
      <c r="G623" s="66" t="s">
        <v>198</v>
      </c>
      <c r="H623" s="66" t="s">
        <v>100</v>
      </c>
      <c r="I623" s="33" t="str">
        <f ca="1"/>
        <v>25,45</v>
      </c>
      <c r="J623" s="2">
        <v>623</v>
      </c>
      <c r="K623" s="2" t="str">
        <v>No Match</v>
      </c>
      <c r="M623" s="33">
        <f ca="1"/>
        <v>25.45</v>
      </c>
      <c r="N623" s="2" t="e">
        <f ca="1"/>
        <v>#N/A</v>
      </c>
      <c r="O623" s="2" t="e">
        <f ca="1"/>
        <v>#N/A</v>
      </c>
      <c r="P623" s="2" t="e">
        <f ca="1"/>
        <v>#N/A</v>
      </c>
      <c r="Q623" s="33" t="e">
        <f ca="1"/>
        <v>#N/A</v>
      </c>
      <c r="R623" s="33" t="e">
        <f ca="1"/>
        <v>#N/A</v>
      </c>
    </row>
    <row r="624" spans="1:18" x14ac:dyDescent="0.2">
      <c r="A624" s="2">
        <v>623</v>
      </c>
      <c r="B624" s="65">
        <v>45733</v>
      </c>
      <c r="C624" s="70">
        <v>0.46241898148148147</v>
      </c>
      <c r="D624" s="66" t="s">
        <v>98</v>
      </c>
      <c r="G624" s="66" t="s">
        <v>220</v>
      </c>
      <c r="H624" s="66" t="s">
        <v>100</v>
      </c>
      <c r="I624" s="33" t="str">
        <f ca="1"/>
        <v>25,54</v>
      </c>
      <c r="J624" s="2">
        <v>624</v>
      </c>
      <c r="K624" s="2" t="str">
        <v>No Match</v>
      </c>
      <c r="M624" s="33">
        <f ca="1"/>
        <v>25.54</v>
      </c>
      <c r="N624" s="2" t="e">
        <f ca="1"/>
        <v>#N/A</v>
      </c>
      <c r="O624" s="2" t="e">
        <f ca="1"/>
        <v>#N/A</v>
      </c>
      <c r="P624" s="2" t="e">
        <f ca="1"/>
        <v>#N/A</v>
      </c>
      <c r="Q624" s="33" t="e">
        <f ca="1"/>
        <v>#N/A</v>
      </c>
      <c r="R624" s="33" t="e">
        <f ca="1"/>
        <v>#N/A</v>
      </c>
    </row>
    <row r="625" spans="1:18" x14ac:dyDescent="0.2">
      <c r="A625" s="2">
        <v>624</v>
      </c>
      <c r="B625" s="65">
        <v>45733</v>
      </c>
      <c r="C625" s="70">
        <v>0.46247685185185183</v>
      </c>
      <c r="D625" s="66" t="s">
        <v>98</v>
      </c>
      <c r="G625" s="66" t="s">
        <v>216</v>
      </c>
      <c r="H625" s="66" t="s">
        <v>100</v>
      </c>
      <c r="I625" s="33" t="str">
        <f ca="1"/>
        <v>26,63</v>
      </c>
      <c r="J625" s="2">
        <v>625</v>
      </c>
      <c r="K625" s="2" t="str">
        <v>No Match</v>
      </c>
      <c r="M625" s="33">
        <f ca="1"/>
        <v>26.63</v>
      </c>
      <c r="N625" s="2" t="e">
        <f ca="1"/>
        <v>#N/A</v>
      </c>
      <c r="O625" s="2" t="e">
        <f ca="1"/>
        <v>#N/A</v>
      </c>
      <c r="P625" s="2" t="e">
        <f ca="1"/>
        <v>#N/A</v>
      </c>
      <c r="Q625" s="33" t="e">
        <f ca="1"/>
        <v>#N/A</v>
      </c>
      <c r="R625" s="33" t="e">
        <f ca="1"/>
        <v>#N/A</v>
      </c>
    </row>
    <row r="626" spans="1:18" x14ac:dyDescent="0.2">
      <c r="A626" s="2">
        <v>625</v>
      </c>
      <c r="B626" s="65">
        <v>45733</v>
      </c>
      <c r="C626" s="70">
        <v>0.46337962962962964</v>
      </c>
      <c r="D626" s="66" t="s">
        <v>98</v>
      </c>
      <c r="G626" s="66" t="s">
        <v>220</v>
      </c>
      <c r="H626" s="66" t="s">
        <v>100</v>
      </c>
      <c r="I626" s="33" t="str">
        <f ca="1"/>
        <v>25,54</v>
      </c>
      <c r="J626" s="2">
        <v>626</v>
      </c>
      <c r="K626" s="2" t="str">
        <v>No Match</v>
      </c>
      <c r="M626" s="33">
        <f ca="1"/>
        <v>25.54</v>
      </c>
      <c r="N626" s="2" t="e">
        <f ca="1"/>
        <v>#N/A</v>
      </c>
      <c r="O626" s="2" t="e">
        <f ca="1"/>
        <v>#N/A</v>
      </c>
      <c r="P626" s="2" t="e">
        <f ca="1"/>
        <v>#N/A</v>
      </c>
      <c r="Q626" s="33" t="e">
        <f ca="1"/>
        <v>#N/A</v>
      </c>
      <c r="R626" s="33" t="e">
        <f ca="1"/>
        <v>#N/A</v>
      </c>
    </row>
    <row r="627" spans="1:18" x14ac:dyDescent="0.2">
      <c r="A627" s="2">
        <v>626</v>
      </c>
      <c r="B627" s="65">
        <v>45733</v>
      </c>
      <c r="C627" s="70">
        <v>0.46347222222222223</v>
      </c>
      <c r="D627" s="66" t="s">
        <v>98</v>
      </c>
      <c r="G627" s="66" t="s">
        <v>114</v>
      </c>
      <c r="H627" s="66" t="s">
        <v>100</v>
      </c>
      <c r="I627" s="33" t="str">
        <f ca="1"/>
        <v>25,70</v>
      </c>
      <c r="J627" s="2">
        <v>627</v>
      </c>
      <c r="K627" s="2" t="str">
        <v>No Match</v>
      </c>
      <c r="M627" s="33">
        <f ca="1"/>
        <v>25.7</v>
      </c>
      <c r="N627" s="2" t="e">
        <f ca="1"/>
        <v>#N/A</v>
      </c>
      <c r="O627" s="2" t="e">
        <f ca="1"/>
        <v>#N/A</v>
      </c>
      <c r="P627" s="2" t="e">
        <f ca="1"/>
        <v>#N/A</v>
      </c>
      <c r="Q627" s="33" t="e">
        <f ca="1"/>
        <v>#N/A</v>
      </c>
      <c r="R627" s="33" t="e">
        <f ca="1"/>
        <v>#N/A</v>
      </c>
    </row>
    <row r="628" spans="1:18" x14ac:dyDescent="0.2">
      <c r="A628" s="2">
        <v>627</v>
      </c>
      <c r="B628" s="65">
        <v>45733</v>
      </c>
      <c r="C628" s="70">
        <v>0.4635185185185185</v>
      </c>
      <c r="D628" s="66" t="s">
        <v>98</v>
      </c>
      <c r="G628" s="66" t="s">
        <v>220</v>
      </c>
      <c r="H628" s="66" t="s">
        <v>100</v>
      </c>
      <c r="I628" s="33" t="str">
        <f ca="1"/>
        <v>25,54</v>
      </c>
      <c r="J628" s="2">
        <v>628</v>
      </c>
      <c r="K628" s="2" t="str">
        <v>No Match</v>
      </c>
      <c r="M628" s="33">
        <f ca="1"/>
        <v>25.54</v>
      </c>
      <c r="N628" s="2" t="e">
        <f ca="1"/>
        <v>#N/A</v>
      </c>
      <c r="O628" s="2" t="e">
        <f ca="1"/>
        <v>#N/A</v>
      </c>
      <c r="P628" s="2" t="e">
        <f ca="1"/>
        <v>#N/A</v>
      </c>
      <c r="Q628" s="33" t="e">
        <f ca="1"/>
        <v>#N/A</v>
      </c>
      <c r="R628" s="33" t="e">
        <f ca="1"/>
        <v>#N/A</v>
      </c>
    </row>
    <row r="629" spans="1:18" x14ac:dyDescent="0.2">
      <c r="A629" s="2">
        <v>628</v>
      </c>
      <c r="B629" s="65">
        <v>45733</v>
      </c>
      <c r="C629" s="70">
        <v>0.46358796296296295</v>
      </c>
      <c r="D629" s="66" t="s">
        <v>98</v>
      </c>
      <c r="G629" s="66" t="s">
        <v>190</v>
      </c>
      <c r="H629" s="66" t="s">
        <v>100</v>
      </c>
      <c r="I629" s="33" t="str">
        <f ca="1"/>
        <v>25,19</v>
      </c>
      <c r="J629" s="2">
        <v>629</v>
      </c>
      <c r="K629" s="2" t="str">
        <v>No Match</v>
      </c>
      <c r="M629" s="33">
        <f ca="1"/>
        <v>25.19</v>
      </c>
      <c r="N629" s="2" t="e">
        <f ca="1"/>
        <v>#N/A</v>
      </c>
      <c r="O629" s="2" t="e">
        <f ca="1"/>
        <v>#N/A</v>
      </c>
      <c r="P629" s="2" t="e">
        <f ca="1"/>
        <v>#N/A</v>
      </c>
      <c r="Q629" s="33" t="e">
        <f ca="1"/>
        <v>#N/A</v>
      </c>
      <c r="R629" s="33" t="e">
        <f ca="1"/>
        <v>#N/A</v>
      </c>
    </row>
    <row r="630" spans="1:18" x14ac:dyDescent="0.2">
      <c r="A630" s="2">
        <v>629</v>
      </c>
      <c r="B630" s="65">
        <v>45733</v>
      </c>
      <c r="C630" s="70">
        <v>0.46363425925925927</v>
      </c>
      <c r="D630" s="66" t="s">
        <v>98</v>
      </c>
      <c r="G630" s="66" t="s">
        <v>114</v>
      </c>
      <c r="H630" s="66" t="s">
        <v>100</v>
      </c>
      <c r="I630" s="33" t="str">
        <f ca="1"/>
        <v>25,70</v>
      </c>
      <c r="J630" s="2">
        <v>630</v>
      </c>
      <c r="K630" s="2" t="str">
        <v>No Match</v>
      </c>
      <c r="M630" s="33">
        <f ca="1"/>
        <v>25.7</v>
      </c>
      <c r="N630" s="2" t="e">
        <f ca="1"/>
        <v>#N/A</v>
      </c>
      <c r="O630" s="2" t="e">
        <f ca="1"/>
        <v>#N/A</v>
      </c>
      <c r="P630" s="2" t="e">
        <f ca="1"/>
        <v>#N/A</v>
      </c>
      <c r="Q630" s="33" t="e">
        <f ca="1"/>
        <v>#N/A</v>
      </c>
      <c r="R630" s="33" t="e">
        <f ca="1"/>
        <v>#N/A</v>
      </c>
    </row>
    <row r="631" spans="1:18" x14ac:dyDescent="0.2">
      <c r="A631" s="2">
        <v>630</v>
      </c>
      <c r="B631" s="65">
        <v>45733</v>
      </c>
      <c r="C631" s="70">
        <v>0.46368055555555554</v>
      </c>
      <c r="D631" s="66" t="s">
        <v>98</v>
      </c>
      <c r="G631" s="66" t="s">
        <v>179</v>
      </c>
      <c r="H631" s="66" t="s">
        <v>100</v>
      </c>
      <c r="I631" s="33" t="str">
        <f ca="1"/>
        <v>25,55</v>
      </c>
      <c r="J631" s="2">
        <v>631</v>
      </c>
      <c r="K631" s="2" t="str">
        <v>No Match</v>
      </c>
      <c r="M631" s="33">
        <f ca="1"/>
        <v>25.55</v>
      </c>
      <c r="N631" s="2">
        <f ca="1"/>
        <v>25</v>
      </c>
      <c r="O631" s="2">
        <f ca="1"/>
        <v>24.625</v>
      </c>
      <c r="P631" s="2">
        <f ca="1"/>
        <v>25.375</v>
      </c>
      <c r="Q631" s="33">
        <f ca="1"/>
        <v>25.315158730158732</v>
      </c>
      <c r="R631" s="33">
        <f ca="1"/>
        <v>25.604999999999997</v>
      </c>
    </row>
    <row r="632" spans="1:18" x14ac:dyDescent="0.2">
      <c r="A632" s="2">
        <v>631</v>
      </c>
      <c r="B632" s="65">
        <v>45733</v>
      </c>
      <c r="C632" s="70">
        <v>0.46622685185185186</v>
      </c>
      <c r="D632" s="66" t="s">
        <v>98</v>
      </c>
      <c r="G632" s="66" t="s">
        <v>219</v>
      </c>
      <c r="H632" s="66" t="s">
        <v>100</v>
      </c>
      <c r="I632" s="33" t="str">
        <f ca="1"/>
        <v>25,89</v>
      </c>
      <c r="J632" s="2">
        <v>632</v>
      </c>
      <c r="K632" s="2" t="str">
        <v>No Match</v>
      </c>
      <c r="M632" s="33">
        <f ca="1"/>
        <v>25.89</v>
      </c>
      <c r="N632" s="2" t="e">
        <f ca="1"/>
        <v>#N/A</v>
      </c>
      <c r="O632" s="2" t="e">
        <f ca="1"/>
        <v>#N/A</v>
      </c>
      <c r="P632" s="2" t="e">
        <f ca="1"/>
        <v>#N/A</v>
      </c>
      <c r="Q632" s="33" t="e">
        <f ca="1"/>
        <v>#N/A</v>
      </c>
      <c r="R632" s="33" t="e">
        <f ca="1"/>
        <v>#N/A</v>
      </c>
    </row>
    <row r="633" spans="1:18" x14ac:dyDescent="0.2">
      <c r="A633" s="2">
        <v>632</v>
      </c>
      <c r="B633" s="65">
        <v>45733</v>
      </c>
      <c r="C633" s="70">
        <v>0.47085648148148146</v>
      </c>
      <c r="D633" s="66" t="s">
        <v>98</v>
      </c>
      <c r="G633" s="66" t="s">
        <v>139</v>
      </c>
      <c r="H633" s="66" t="s">
        <v>100</v>
      </c>
      <c r="I633" s="33" t="str">
        <f ca="1"/>
        <v>25,35</v>
      </c>
      <c r="J633" s="2">
        <v>633</v>
      </c>
      <c r="K633" s="2" t="str">
        <v>No Match</v>
      </c>
      <c r="M633" s="33">
        <f ca="1"/>
        <v>25.35</v>
      </c>
      <c r="N633" s="2" t="e">
        <f ca="1"/>
        <v>#N/A</v>
      </c>
      <c r="O633" s="2" t="e">
        <f ca="1"/>
        <v>#N/A</v>
      </c>
      <c r="P633" s="2" t="e">
        <f ca="1"/>
        <v>#N/A</v>
      </c>
      <c r="Q633" s="33" t="e">
        <f ca="1"/>
        <v>#N/A</v>
      </c>
      <c r="R633" s="33" t="e">
        <f ca="1"/>
        <v>#N/A</v>
      </c>
    </row>
    <row r="634" spans="1:18" x14ac:dyDescent="0.2">
      <c r="A634" s="2">
        <v>633</v>
      </c>
      <c r="B634" s="65">
        <v>45733</v>
      </c>
      <c r="C634" s="70">
        <v>0.47128472222222223</v>
      </c>
      <c r="D634" s="66" t="s">
        <v>98</v>
      </c>
      <c r="G634" s="66" t="s">
        <v>104</v>
      </c>
      <c r="H634" s="66" t="s">
        <v>100</v>
      </c>
      <c r="I634" s="33" t="str">
        <f ca="1"/>
        <v>25,40</v>
      </c>
      <c r="J634" s="2">
        <v>634</v>
      </c>
      <c r="K634" s="2" t="str">
        <v>No Match</v>
      </c>
      <c r="M634" s="33">
        <f ca="1"/>
        <v>25.4</v>
      </c>
      <c r="N634" s="2" t="e">
        <f ca="1"/>
        <v>#N/A</v>
      </c>
      <c r="O634" s="2" t="e">
        <f ca="1"/>
        <v>#N/A</v>
      </c>
      <c r="P634" s="2" t="e">
        <f ca="1"/>
        <v>#N/A</v>
      </c>
      <c r="Q634" s="33" t="e">
        <f ca="1"/>
        <v>#N/A</v>
      </c>
      <c r="R634" s="33" t="e">
        <f ca="1"/>
        <v>#N/A</v>
      </c>
    </row>
    <row r="635" spans="1:18" x14ac:dyDescent="0.2">
      <c r="A635" s="2">
        <v>634</v>
      </c>
      <c r="B635" s="65">
        <v>45733</v>
      </c>
      <c r="C635" s="70">
        <v>0.47297453703703701</v>
      </c>
      <c r="D635" s="66" t="s">
        <v>98</v>
      </c>
      <c r="G635" s="66" t="s">
        <v>141</v>
      </c>
      <c r="H635" s="66" t="s">
        <v>100</v>
      </c>
      <c r="I635" s="33" t="str">
        <f ca="1"/>
        <v>25,50</v>
      </c>
      <c r="J635" s="2">
        <v>635</v>
      </c>
      <c r="K635" s="2" t="str">
        <v>No Match</v>
      </c>
      <c r="M635" s="33">
        <f ca="1"/>
        <v>25.5</v>
      </c>
      <c r="N635" s="2" t="e">
        <f ca="1"/>
        <v>#N/A</v>
      </c>
      <c r="O635" s="2" t="e">
        <f ca="1"/>
        <v>#N/A</v>
      </c>
      <c r="P635" s="2" t="e">
        <f ca="1"/>
        <v>#N/A</v>
      </c>
      <c r="Q635" s="33" t="e">
        <f ca="1"/>
        <v>#N/A</v>
      </c>
      <c r="R635" s="33" t="e">
        <f ca="1"/>
        <v>#N/A</v>
      </c>
    </row>
    <row r="636" spans="1:18" x14ac:dyDescent="0.2">
      <c r="A636" s="2">
        <v>635</v>
      </c>
      <c r="B636" s="65">
        <v>45733</v>
      </c>
      <c r="C636" s="70">
        <v>0.47403935185185186</v>
      </c>
      <c r="D636" s="66" t="s">
        <v>98</v>
      </c>
      <c r="G636" s="66" t="s">
        <v>174</v>
      </c>
      <c r="H636" s="66" t="s">
        <v>100</v>
      </c>
      <c r="I636" s="33" t="str">
        <f ca="1"/>
        <v>25,65</v>
      </c>
      <c r="J636" s="2">
        <v>636</v>
      </c>
      <c r="K636" s="2" t="str">
        <v>No Match</v>
      </c>
      <c r="M636" s="33">
        <f ca="1"/>
        <v>25.65</v>
      </c>
      <c r="N636" s="2" t="e">
        <f ca="1"/>
        <v>#N/A</v>
      </c>
      <c r="O636" s="2" t="e">
        <f ca="1"/>
        <v>#N/A</v>
      </c>
      <c r="P636" s="2" t="e">
        <f ca="1"/>
        <v>#N/A</v>
      </c>
      <c r="Q636" s="33" t="e">
        <f ca="1"/>
        <v>#N/A</v>
      </c>
      <c r="R636" s="33" t="e">
        <f ca="1"/>
        <v>#N/A</v>
      </c>
    </row>
    <row r="637" spans="1:18" x14ac:dyDescent="0.2">
      <c r="A637" s="2">
        <v>636</v>
      </c>
      <c r="B637" s="65">
        <v>45733</v>
      </c>
      <c r="C637" s="70">
        <v>0.47715277777777776</v>
      </c>
      <c r="D637" s="66" t="s">
        <v>98</v>
      </c>
      <c r="G637" s="66" t="s">
        <v>111</v>
      </c>
      <c r="H637" s="66" t="s">
        <v>100</v>
      </c>
      <c r="I637" s="33" t="str">
        <f ca="1"/>
        <v>25,44</v>
      </c>
      <c r="J637" s="2">
        <v>637</v>
      </c>
      <c r="K637" s="2" t="str">
        <v>No Match</v>
      </c>
      <c r="M637" s="33">
        <f ca="1"/>
        <v>25.44</v>
      </c>
      <c r="N637" s="2" t="e">
        <f ca="1"/>
        <v>#N/A</v>
      </c>
      <c r="O637" s="2" t="e">
        <f ca="1"/>
        <v>#N/A</v>
      </c>
      <c r="P637" s="2" t="e">
        <f ca="1"/>
        <v>#N/A</v>
      </c>
      <c r="Q637" s="33" t="e">
        <f ca="1"/>
        <v>#N/A</v>
      </c>
      <c r="R637" s="33" t="e">
        <f ca="1"/>
        <v>#N/A</v>
      </c>
    </row>
    <row r="638" spans="1:18" x14ac:dyDescent="0.2">
      <c r="A638" s="2">
        <v>637</v>
      </c>
      <c r="B638" s="65">
        <v>45733</v>
      </c>
      <c r="C638" s="70">
        <v>0.47751157407407407</v>
      </c>
      <c r="D638" s="66" t="s">
        <v>98</v>
      </c>
      <c r="G638" s="66" t="s">
        <v>163</v>
      </c>
      <c r="H638" s="66" t="s">
        <v>100</v>
      </c>
      <c r="I638" s="33" t="str">
        <f ca="1"/>
        <v>25,47</v>
      </c>
      <c r="J638" s="2">
        <v>638</v>
      </c>
      <c r="K638" s="2" t="str">
        <v>No Match</v>
      </c>
      <c r="M638" s="33">
        <f ca="1"/>
        <v>25.47</v>
      </c>
      <c r="N638" s="2" t="e">
        <f ca="1"/>
        <v>#N/A</v>
      </c>
      <c r="O638" s="2" t="e">
        <f ca="1"/>
        <v>#N/A</v>
      </c>
      <c r="P638" s="2" t="e">
        <f ca="1"/>
        <v>#N/A</v>
      </c>
      <c r="Q638" s="33" t="e">
        <f ca="1"/>
        <v>#N/A</v>
      </c>
      <c r="R638" s="33" t="e">
        <f ca="1"/>
        <v>#N/A</v>
      </c>
    </row>
    <row r="639" spans="1:18" x14ac:dyDescent="0.2">
      <c r="A639" s="2">
        <v>638</v>
      </c>
      <c r="B639" s="65">
        <v>45733</v>
      </c>
      <c r="C639" s="70">
        <v>0.47909722222222223</v>
      </c>
      <c r="D639" s="66" t="s">
        <v>98</v>
      </c>
      <c r="G639" s="66" t="s">
        <v>195</v>
      </c>
      <c r="H639" s="66" t="s">
        <v>100</v>
      </c>
      <c r="I639" s="33" t="str">
        <f ca="1"/>
        <v>25,60</v>
      </c>
      <c r="J639" s="2">
        <v>639</v>
      </c>
      <c r="K639" s="2" t="str">
        <v>No Match</v>
      </c>
      <c r="M639" s="33">
        <f ca="1"/>
        <v>25.6</v>
      </c>
      <c r="N639" s="2" t="e">
        <f ca="1"/>
        <v>#N/A</v>
      </c>
      <c r="O639" s="2" t="e">
        <f ca="1"/>
        <v>#N/A</v>
      </c>
      <c r="P639" s="2" t="e">
        <f ca="1"/>
        <v>#N/A</v>
      </c>
      <c r="Q639" s="33" t="e">
        <f ca="1"/>
        <v>#N/A</v>
      </c>
      <c r="R639" s="33" t="e">
        <f ca="1"/>
        <v>#N/A</v>
      </c>
    </row>
    <row r="640" spans="1:18" x14ac:dyDescent="0.2">
      <c r="A640" s="2">
        <v>639</v>
      </c>
      <c r="B640" s="65">
        <v>45733</v>
      </c>
      <c r="C640" s="70">
        <v>0.4791435185185185</v>
      </c>
      <c r="D640" s="66" t="s">
        <v>98</v>
      </c>
      <c r="G640" s="66" t="s">
        <v>112</v>
      </c>
      <c r="H640" s="66" t="s">
        <v>100</v>
      </c>
      <c r="I640" s="33" t="str">
        <f ca="1"/>
        <v>25,36</v>
      </c>
      <c r="J640" s="2">
        <v>640</v>
      </c>
      <c r="K640" s="2" t="str">
        <v>No Match</v>
      </c>
      <c r="M640" s="33">
        <f ca="1"/>
        <v>25.36</v>
      </c>
      <c r="N640" s="2" t="e">
        <f ca="1"/>
        <v>#N/A</v>
      </c>
      <c r="O640" s="2" t="e">
        <f ca="1"/>
        <v>#N/A</v>
      </c>
      <c r="P640" s="2" t="e">
        <f ca="1"/>
        <v>#N/A</v>
      </c>
      <c r="Q640" s="33" t="e">
        <f ca="1"/>
        <v>#N/A</v>
      </c>
      <c r="R640" s="33" t="e">
        <f ca="1"/>
        <v>#N/A</v>
      </c>
    </row>
    <row r="641" spans="1:18" x14ac:dyDescent="0.2">
      <c r="A641" s="2">
        <v>640</v>
      </c>
      <c r="B641" s="65">
        <v>45733</v>
      </c>
      <c r="C641" s="70">
        <v>0.47942129629629632</v>
      </c>
      <c r="D641" s="66" t="s">
        <v>98</v>
      </c>
      <c r="G641" s="66" t="s">
        <v>163</v>
      </c>
      <c r="H641" s="66" t="s">
        <v>100</v>
      </c>
      <c r="I641" s="33" t="str">
        <f ca="1"/>
        <v>25,47</v>
      </c>
      <c r="J641" s="2">
        <v>641</v>
      </c>
      <c r="K641" s="2" t="str">
        <v>No Match</v>
      </c>
      <c r="M641" s="33">
        <f ca="1"/>
        <v>25.47</v>
      </c>
      <c r="N641" s="2">
        <f ca="1"/>
        <v>25</v>
      </c>
      <c r="O641" s="2">
        <f ca="1"/>
        <v>24.625</v>
      </c>
      <c r="P641" s="2">
        <f ca="1"/>
        <v>25.375</v>
      </c>
      <c r="Q641" s="33">
        <f ca="1"/>
        <v>25.318249999999999</v>
      </c>
      <c r="R641" s="33">
        <f ca="1"/>
        <v>25.512999999999998</v>
      </c>
    </row>
    <row r="642" spans="1:18" x14ac:dyDescent="0.2">
      <c r="A642" s="2">
        <v>641</v>
      </c>
      <c r="B642" s="65">
        <v>45733</v>
      </c>
      <c r="C642" s="70">
        <v>0.48047453703703702</v>
      </c>
      <c r="D642" s="66" t="s">
        <v>98</v>
      </c>
      <c r="G642" s="66" t="s">
        <v>112</v>
      </c>
      <c r="H642" s="66" t="s">
        <v>100</v>
      </c>
      <c r="I642" s="33" t="str">
        <f ca="1"/>
        <v>25,36</v>
      </c>
      <c r="J642" s="2">
        <v>642</v>
      </c>
      <c r="K642" s="2" t="str">
        <v>No Match</v>
      </c>
      <c r="M642" s="33">
        <f ca="1"/>
        <v>25.36</v>
      </c>
      <c r="N642" s="2" t="e">
        <f ca="1"/>
        <v>#N/A</v>
      </c>
      <c r="O642" s="2" t="e">
        <f ca="1"/>
        <v>#N/A</v>
      </c>
      <c r="P642" s="2" t="e">
        <f ca="1"/>
        <v>#N/A</v>
      </c>
      <c r="Q642" s="33" t="e">
        <f ca="1"/>
        <v>#N/A</v>
      </c>
      <c r="R642" s="33" t="e">
        <f ca="1"/>
        <v>#N/A</v>
      </c>
    </row>
    <row r="643" spans="1:18" x14ac:dyDescent="0.2">
      <c r="A643" s="2">
        <v>642</v>
      </c>
      <c r="B643" s="65">
        <v>45733</v>
      </c>
      <c r="C643" s="70">
        <v>0.48172453703703705</v>
      </c>
      <c r="D643" s="66" t="s">
        <v>98</v>
      </c>
      <c r="G643" s="66" t="s">
        <v>111</v>
      </c>
      <c r="H643" s="66" t="s">
        <v>100</v>
      </c>
      <c r="I643" s="33" t="str">
        <f ca="1"/>
        <v>25,44</v>
      </c>
      <c r="J643" s="2">
        <v>643</v>
      </c>
      <c r="K643" s="2" t="str">
        <v>No Match</v>
      </c>
      <c r="M643" s="33">
        <f ca="1"/>
        <v>25.44</v>
      </c>
      <c r="N643" s="2" t="e">
        <f ca="1"/>
        <v>#N/A</v>
      </c>
      <c r="O643" s="2" t="e">
        <f ca="1"/>
        <v>#N/A</v>
      </c>
      <c r="P643" s="2" t="e">
        <f ca="1"/>
        <v>#N/A</v>
      </c>
      <c r="Q643" s="33" t="e">
        <f ca="1"/>
        <v>#N/A</v>
      </c>
      <c r="R643" s="33" t="e">
        <f ca="1"/>
        <v>#N/A</v>
      </c>
    </row>
    <row r="644" spans="1:18" x14ac:dyDescent="0.2">
      <c r="A644" s="2">
        <v>643</v>
      </c>
      <c r="B644" s="65">
        <v>45733</v>
      </c>
      <c r="C644" s="70">
        <v>0.48368055555555556</v>
      </c>
      <c r="D644" s="66" t="s">
        <v>98</v>
      </c>
      <c r="G644" s="66" t="s">
        <v>161</v>
      </c>
      <c r="H644" s="66" t="s">
        <v>100</v>
      </c>
      <c r="I644" s="33" t="str">
        <f ca="1"/>
        <v>25,38</v>
      </c>
      <c r="J644" s="2">
        <v>644</v>
      </c>
      <c r="K644" s="2" t="str">
        <v>No Match</v>
      </c>
      <c r="M644" s="33">
        <f ca="1"/>
        <v>25.38</v>
      </c>
      <c r="N644" s="2" t="e">
        <f ca="1"/>
        <v>#N/A</v>
      </c>
      <c r="O644" s="2" t="e">
        <f ca="1"/>
        <v>#N/A</v>
      </c>
      <c r="P644" s="2" t="e">
        <f ca="1"/>
        <v>#N/A</v>
      </c>
      <c r="Q644" s="33" t="e">
        <f ca="1"/>
        <v>#N/A</v>
      </c>
      <c r="R644" s="33" t="e">
        <f ca="1"/>
        <v>#N/A</v>
      </c>
    </row>
    <row r="645" spans="1:18" x14ac:dyDescent="0.2">
      <c r="A645" s="2">
        <v>644</v>
      </c>
      <c r="B645" s="65">
        <v>45733</v>
      </c>
      <c r="C645" s="70">
        <v>0.48429398148148151</v>
      </c>
      <c r="D645" s="66" t="s">
        <v>98</v>
      </c>
      <c r="G645" s="66" t="s">
        <v>139</v>
      </c>
      <c r="H645" s="66" t="s">
        <v>100</v>
      </c>
      <c r="I645" s="33" t="str">
        <f ca="1"/>
        <v>25,35</v>
      </c>
      <c r="J645" s="2">
        <v>645</v>
      </c>
      <c r="K645" s="2" t="str">
        <v>No Match</v>
      </c>
      <c r="M645" s="33">
        <f ca="1"/>
        <v>25.35</v>
      </c>
      <c r="N645" s="2" t="e">
        <f ca="1"/>
        <v>#N/A</v>
      </c>
      <c r="O645" s="2" t="e">
        <f ca="1"/>
        <v>#N/A</v>
      </c>
      <c r="P645" s="2" t="e">
        <f ca="1"/>
        <v>#N/A</v>
      </c>
      <c r="Q645" s="33" t="e">
        <f ca="1"/>
        <v>#N/A</v>
      </c>
      <c r="R645" s="33" t="e">
        <f ca="1"/>
        <v>#N/A</v>
      </c>
    </row>
    <row r="646" spans="1:18" x14ac:dyDescent="0.2">
      <c r="A646" s="2">
        <v>645</v>
      </c>
      <c r="B646" s="65">
        <v>45733</v>
      </c>
      <c r="C646" s="70">
        <v>0.48549768518518521</v>
      </c>
      <c r="D646" s="66" t="s">
        <v>98</v>
      </c>
      <c r="G646" s="66" t="s">
        <v>138</v>
      </c>
      <c r="H646" s="66" t="s">
        <v>100</v>
      </c>
      <c r="I646" s="33" t="str">
        <f ca="1"/>
        <v>25,32</v>
      </c>
      <c r="J646" s="2">
        <v>646</v>
      </c>
      <c r="K646" s="2" t="str">
        <v>No Match</v>
      </c>
      <c r="M646" s="33">
        <f ca="1"/>
        <v>25.32</v>
      </c>
      <c r="N646" s="2" t="e">
        <f ca="1"/>
        <v>#N/A</v>
      </c>
      <c r="O646" s="2" t="e">
        <f ca="1"/>
        <v>#N/A</v>
      </c>
      <c r="P646" s="2" t="e">
        <f ca="1"/>
        <v>#N/A</v>
      </c>
      <c r="Q646" s="33" t="e">
        <f ca="1"/>
        <v>#N/A</v>
      </c>
      <c r="R646" s="33" t="e">
        <f ca="1"/>
        <v>#N/A</v>
      </c>
    </row>
    <row r="647" spans="1:18" x14ac:dyDescent="0.2">
      <c r="A647" s="2">
        <v>646</v>
      </c>
      <c r="B647" s="65">
        <v>45733</v>
      </c>
      <c r="C647" s="70">
        <v>0.48643518518518519</v>
      </c>
      <c r="D647" s="66" t="s">
        <v>98</v>
      </c>
      <c r="G647" s="66" t="s">
        <v>174</v>
      </c>
      <c r="H647" s="66" t="s">
        <v>100</v>
      </c>
      <c r="I647" s="33" t="str">
        <f ca="1"/>
        <v>25,65</v>
      </c>
      <c r="J647" s="2">
        <v>647</v>
      </c>
      <c r="K647" s="2" t="str">
        <v>No Match</v>
      </c>
      <c r="M647" s="33">
        <f ca="1"/>
        <v>25.65</v>
      </c>
      <c r="N647" s="2" t="e">
        <f ca="1"/>
        <v>#N/A</v>
      </c>
      <c r="O647" s="2" t="e">
        <f ca="1"/>
        <v>#N/A</v>
      </c>
      <c r="P647" s="2" t="e">
        <f ca="1"/>
        <v>#N/A</v>
      </c>
      <c r="Q647" s="33" t="e">
        <f ca="1"/>
        <v>#N/A</v>
      </c>
      <c r="R647" s="33" t="e">
        <f ca="1"/>
        <v>#N/A</v>
      </c>
    </row>
    <row r="648" spans="1:18" x14ac:dyDescent="0.2">
      <c r="A648" s="2">
        <v>647</v>
      </c>
      <c r="B648" s="65">
        <v>45733</v>
      </c>
      <c r="C648" s="70">
        <v>0.48851851851851852</v>
      </c>
      <c r="D648" s="66" t="s">
        <v>98</v>
      </c>
      <c r="G648" s="66" t="s">
        <v>114</v>
      </c>
      <c r="H648" s="66" t="s">
        <v>100</v>
      </c>
      <c r="I648" s="33" t="str">
        <f ca="1"/>
        <v>25,70</v>
      </c>
      <c r="J648" s="2">
        <v>648</v>
      </c>
      <c r="K648" s="2" t="str">
        <v>No Match</v>
      </c>
      <c r="M648" s="33">
        <f ca="1"/>
        <v>25.7</v>
      </c>
      <c r="N648" s="2" t="e">
        <f ca="1"/>
        <v>#N/A</v>
      </c>
      <c r="O648" s="2" t="e">
        <f ca="1"/>
        <v>#N/A</v>
      </c>
      <c r="P648" s="2" t="e">
        <f ca="1"/>
        <v>#N/A</v>
      </c>
      <c r="Q648" s="33" t="e">
        <f ca="1"/>
        <v>#N/A</v>
      </c>
      <c r="R648" s="33" t="e">
        <f ca="1"/>
        <v>#N/A</v>
      </c>
    </row>
    <row r="649" spans="1:18" x14ac:dyDescent="0.2">
      <c r="A649" s="2">
        <v>648</v>
      </c>
      <c r="B649" s="65">
        <v>45733</v>
      </c>
      <c r="C649" s="70">
        <v>0.49037037037037035</v>
      </c>
      <c r="D649" s="66" t="s">
        <v>98</v>
      </c>
      <c r="G649" s="66" t="s">
        <v>166</v>
      </c>
      <c r="H649" s="66" t="s">
        <v>100</v>
      </c>
      <c r="I649" s="33" t="str">
        <f ca="1"/>
        <v>25,66</v>
      </c>
      <c r="J649" s="2">
        <v>649</v>
      </c>
      <c r="K649" s="2" t="str">
        <v>No Match</v>
      </c>
      <c r="M649" s="33">
        <f ca="1"/>
        <v>25.66</v>
      </c>
      <c r="N649" s="2" t="e">
        <f ca="1"/>
        <v>#N/A</v>
      </c>
      <c r="O649" s="2" t="e">
        <f ca="1"/>
        <v>#N/A</v>
      </c>
      <c r="P649" s="2" t="e">
        <f ca="1"/>
        <v>#N/A</v>
      </c>
      <c r="Q649" s="33" t="e">
        <f ca="1"/>
        <v>#N/A</v>
      </c>
      <c r="R649" s="33" t="e">
        <f ca="1"/>
        <v>#N/A</v>
      </c>
    </row>
    <row r="650" spans="1:18" x14ac:dyDescent="0.2">
      <c r="A650" s="2">
        <v>649</v>
      </c>
      <c r="B650" s="65">
        <v>45733</v>
      </c>
      <c r="C650" s="70">
        <v>0.49273148148148149</v>
      </c>
      <c r="D650" s="66" t="s">
        <v>98</v>
      </c>
      <c r="G650" s="66" t="s">
        <v>174</v>
      </c>
      <c r="H650" s="66" t="s">
        <v>100</v>
      </c>
      <c r="I650" s="33" t="str">
        <f ca="1"/>
        <v>25,65</v>
      </c>
      <c r="J650" s="2">
        <v>650</v>
      </c>
      <c r="K650" s="2" t="str">
        <v>No Match</v>
      </c>
      <c r="M650" s="33">
        <f ca="1"/>
        <v>25.65</v>
      </c>
      <c r="N650" s="2" t="e">
        <f ca="1"/>
        <v>#N/A</v>
      </c>
      <c r="O650" s="2" t="e">
        <f ca="1"/>
        <v>#N/A</v>
      </c>
      <c r="P650" s="2" t="e">
        <f ca="1"/>
        <v>#N/A</v>
      </c>
      <c r="Q650" s="33" t="e">
        <f ca="1"/>
        <v>#N/A</v>
      </c>
      <c r="R650" s="33" t="e">
        <f ca="1"/>
        <v>#N/A</v>
      </c>
    </row>
    <row r="651" spans="1:18" x14ac:dyDescent="0.2">
      <c r="A651" s="2">
        <v>650</v>
      </c>
      <c r="B651" s="65">
        <v>45733</v>
      </c>
      <c r="C651" s="70">
        <v>0.49278935185185185</v>
      </c>
      <c r="D651" s="66" t="s">
        <v>98</v>
      </c>
      <c r="G651" s="66" t="s">
        <v>211</v>
      </c>
      <c r="H651" s="66" t="s">
        <v>100</v>
      </c>
      <c r="I651" s="33" t="str">
        <f ca="1"/>
        <v>25,77</v>
      </c>
      <c r="J651" s="2">
        <v>651</v>
      </c>
      <c r="K651" s="2" t="str">
        <v>No Match</v>
      </c>
      <c r="M651" s="33">
        <f ca="1"/>
        <v>25.77</v>
      </c>
      <c r="N651" s="2">
        <f ca="1"/>
        <v>25</v>
      </c>
      <c r="O651" s="2">
        <f ca="1"/>
        <v>24.625</v>
      </c>
      <c r="P651" s="2">
        <f ca="1"/>
        <v>25.375</v>
      </c>
      <c r="Q651" s="33">
        <f ca="1"/>
        <v>25.321476923076926</v>
      </c>
      <c r="R651" s="33">
        <f ca="1"/>
        <v>25.527999999999999</v>
      </c>
    </row>
    <row r="652" spans="1:18" x14ac:dyDescent="0.2">
      <c r="A652" s="2">
        <v>651</v>
      </c>
      <c r="B652" s="65">
        <v>45733</v>
      </c>
      <c r="C652" s="70">
        <v>0.49285879629629631</v>
      </c>
      <c r="D652" s="66" t="s">
        <v>98</v>
      </c>
      <c r="G652" s="66" t="s">
        <v>211</v>
      </c>
      <c r="H652" s="66" t="s">
        <v>100</v>
      </c>
      <c r="I652" s="33" t="str">
        <f ca="1"/>
        <v>25,77</v>
      </c>
      <c r="J652" s="2">
        <v>652</v>
      </c>
      <c r="K652" s="2" t="str">
        <v>No Match</v>
      </c>
      <c r="M652" s="33">
        <f ca="1"/>
        <v>25.77</v>
      </c>
      <c r="N652" s="2" t="e">
        <f ca="1"/>
        <v>#N/A</v>
      </c>
      <c r="O652" s="2" t="e">
        <f ca="1"/>
        <v>#N/A</v>
      </c>
      <c r="P652" s="2" t="e">
        <f ca="1"/>
        <v>#N/A</v>
      </c>
      <c r="Q652" s="33" t="e">
        <f ca="1"/>
        <v>#N/A</v>
      </c>
      <c r="R652" s="33" t="e">
        <f ca="1"/>
        <v>#N/A</v>
      </c>
    </row>
    <row r="653" spans="1:18" x14ac:dyDescent="0.2">
      <c r="A653" s="2">
        <v>652</v>
      </c>
      <c r="B653" s="65">
        <v>45733</v>
      </c>
      <c r="C653" s="70">
        <v>0.49542824074074077</v>
      </c>
      <c r="D653" s="66" t="s">
        <v>98</v>
      </c>
      <c r="G653" s="66" t="s">
        <v>199</v>
      </c>
      <c r="H653" s="66" t="s">
        <v>100</v>
      </c>
      <c r="I653" s="33" t="str">
        <f ca="1"/>
        <v>25,78</v>
      </c>
      <c r="J653" s="2">
        <v>653</v>
      </c>
      <c r="K653" s="2" t="str">
        <v>No Match</v>
      </c>
      <c r="M653" s="33">
        <f ca="1"/>
        <v>25.78</v>
      </c>
      <c r="N653" s="2" t="e">
        <f ca="1"/>
        <v>#N/A</v>
      </c>
      <c r="O653" s="2" t="e">
        <f ca="1"/>
        <v>#N/A</v>
      </c>
      <c r="P653" s="2" t="e">
        <f ca="1"/>
        <v>#N/A</v>
      </c>
      <c r="Q653" s="33" t="e">
        <f ca="1"/>
        <v>#N/A</v>
      </c>
      <c r="R653" s="33" t="e">
        <f ca="1"/>
        <v>#N/A</v>
      </c>
    </row>
    <row r="654" spans="1:18" x14ac:dyDescent="0.2">
      <c r="A654" s="2">
        <v>653</v>
      </c>
      <c r="B654" s="65">
        <v>45733</v>
      </c>
      <c r="C654" s="70">
        <v>0.49975694444444446</v>
      </c>
      <c r="D654" s="66" t="s">
        <v>98</v>
      </c>
      <c r="G654" s="66" t="s">
        <v>206</v>
      </c>
      <c r="H654" s="66" t="s">
        <v>100</v>
      </c>
      <c r="I654" s="33" t="str">
        <f ca="1"/>
        <v>25,80</v>
      </c>
      <c r="J654" s="2">
        <v>654</v>
      </c>
      <c r="K654" s="2" t="str">
        <v>No Match</v>
      </c>
      <c r="M654" s="33">
        <f ca="1"/>
        <v>25.8</v>
      </c>
      <c r="N654" s="2" t="e">
        <f ca="1"/>
        <v>#N/A</v>
      </c>
      <c r="O654" s="2" t="e">
        <f ca="1"/>
        <v>#N/A</v>
      </c>
      <c r="P654" s="2" t="e">
        <f ca="1"/>
        <v>#N/A</v>
      </c>
      <c r="Q654" s="33" t="e">
        <f ca="1"/>
        <v>#N/A</v>
      </c>
      <c r="R654" s="33" t="e">
        <f ca="1"/>
        <v>#N/A</v>
      </c>
    </row>
    <row r="655" spans="1:18" x14ac:dyDescent="0.2">
      <c r="A655" s="2">
        <v>654</v>
      </c>
      <c r="B655" s="65">
        <v>45733</v>
      </c>
      <c r="C655" s="70">
        <v>0.50465277777777773</v>
      </c>
      <c r="D655" s="66" t="s">
        <v>98</v>
      </c>
      <c r="G655" s="66" t="s">
        <v>126</v>
      </c>
      <c r="H655" s="66" t="s">
        <v>100</v>
      </c>
      <c r="I655" s="33" t="str">
        <f ca="1"/>
        <v>25,84</v>
      </c>
      <c r="J655" s="2">
        <v>655</v>
      </c>
      <c r="K655" s="2" t="str">
        <v>No Match</v>
      </c>
      <c r="M655" s="33">
        <f ca="1"/>
        <v>25.84</v>
      </c>
      <c r="N655" s="2" t="e">
        <f ca="1"/>
        <v>#N/A</v>
      </c>
      <c r="O655" s="2" t="e">
        <f ca="1"/>
        <v>#N/A</v>
      </c>
      <c r="P655" s="2" t="e">
        <f ca="1"/>
        <v>#N/A</v>
      </c>
      <c r="Q655" s="33" t="e">
        <f ca="1"/>
        <v>#N/A</v>
      </c>
      <c r="R655" s="33" t="e">
        <f ca="1"/>
        <v>#N/A</v>
      </c>
    </row>
    <row r="656" spans="1:18" x14ac:dyDescent="0.2">
      <c r="A656" s="2">
        <v>655</v>
      </c>
      <c r="B656" s="65">
        <v>45733</v>
      </c>
      <c r="C656" s="70">
        <v>0.50690972222222219</v>
      </c>
      <c r="D656" s="66" t="s">
        <v>98</v>
      </c>
      <c r="G656" s="66" t="s">
        <v>193</v>
      </c>
      <c r="H656" s="66" t="s">
        <v>100</v>
      </c>
      <c r="I656" s="33" t="str">
        <f ca="1"/>
        <v>25,81</v>
      </c>
      <c r="J656" s="2">
        <v>656</v>
      </c>
      <c r="K656" s="2" t="str">
        <v>No Match</v>
      </c>
      <c r="M656" s="33">
        <f ca="1"/>
        <v>25.81</v>
      </c>
      <c r="N656" s="2" t="e">
        <f ca="1"/>
        <v>#N/A</v>
      </c>
      <c r="O656" s="2" t="e">
        <f ca="1"/>
        <v>#N/A</v>
      </c>
      <c r="P656" s="2" t="e">
        <f ca="1"/>
        <v>#N/A</v>
      </c>
      <c r="Q656" s="33" t="e">
        <f ca="1"/>
        <v>#N/A</v>
      </c>
      <c r="R656" s="33" t="e">
        <f ca="1"/>
        <v>#N/A</v>
      </c>
    </row>
    <row r="657" spans="1:18" x14ac:dyDescent="0.2">
      <c r="A657" s="2">
        <v>656</v>
      </c>
      <c r="B657" s="65">
        <v>45733</v>
      </c>
      <c r="C657" s="70">
        <v>0.50716435185185182</v>
      </c>
      <c r="D657" s="66" t="s">
        <v>98</v>
      </c>
      <c r="G657" s="66" t="s">
        <v>223</v>
      </c>
      <c r="H657" s="66" t="s">
        <v>100</v>
      </c>
      <c r="I657" s="33" t="str">
        <f ca="1"/>
        <v>25,73</v>
      </c>
      <c r="J657" s="2">
        <v>657</v>
      </c>
      <c r="K657" s="2" t="str">
        <v>No Match</v>
      </c>
      <c r="M657" s="33">
        <f ca="1"/>
        <v>25.73</v>
      </c>
      <c r="N657" s="2" t="e">
        <f ca="1"/>
        <v>#N/A</v>
      </c>
      <c r="O657" s="2" t="e">
        <f ca="1"/>
        <v>#N/A</v>
      </c>
      <c r="P657" s="2" t="e">
        <f ca="1"/>
        <v>#N/A</v>
      </c>
      <c r="Q657" s="33" t="e">
        <f ca="1"/>
        <v>#N/A</v>
      </c>
      <c r="R657" s="33" t="e">
        <f ca="1"/>
        <v>#N/A</v>
      </c>
    </row>
    <row r="658" spans="1:18" x14ac:dyDescent="0.2">
      <c r="A658" s="2">
        <v>657</v>
      </c>
      <c r="B658" s="65">
        <v>45733</v>
      </c>
      <c r="C658" s="70">
        <v>0.50747685185185187</v>
      </c>
      <c r="D658" s="66" t="s">
        <v>98</v>
      </c>
      <c r="G658" s="66" t="s">
        <v>118</v>
      </c>
      <c r="H658" s="66" t="s">
        <v>100</v>
      </c>
      <c r="I658" s="33" t="str">
        <f ca="1"/>
        <v>26,02</v>
      </c>
      <c r="J658" s="2">
        <v>658</v>
      </c>
      <c r="K658" s="2" t="str">
        <v>No Match</v>
      </c>
      <c r="M658" s="33">
        <f ca="1"/>
        <v>26.02</v>
      </c>
      <c r="N658" s="2" t="e">
        <f ca="1"/>
        <v>#N/A</v>
      </c>
      <c r="O658" s="2" t="e">
        <f ca="1"/>
        <v>#N/A</v>
      </c>
      <c r="P658" s="2" t="e">
        <f ca="1"/>
        <v>#N/A</v>
      </c>
      <c r="Q658" s="33" t="e">
        <f ca="1"/>
        <v>#N/A</v>
      </c>
      <c r="R658" s="33" t="e">
        <f ca="1"/>
        <v>#N/A</v>
      </c>
    </row>
    <row r="659" spans="1:18" x14ac:dyDescent="0.2">
      <c r="A659" s="2">
        <v>658</v>
      </c>
      <c r="B659" s="65">
        <v>45733</v>
      </c>
      <c r="C659" s="70">
        <v>0.50773148148148151</v>
      </c>
      <c r="D659" s="66" t="s">
        <v>98</v>
      </c>
      <c r="G659" s="66" t="s">
        <v>249</v>
      </c>
      <c r="H659" s="66" t="s">
        <v>100</v>
      </c>
      <c r="I659" s="33" t="str">
        <f ca="1"/>
        <v>25,87</v>
      </c>
      <c r="J659" s="2">
        <v>659</v>
      </c>
      <c r="K659" s="2" t="str">
        <v>No Match</v>
      </c>
      <c r="M659" s="33">
        <f ca="1"/>
        <v>25.87</v>
      </c>
      <c r="N659" s="2" t="e">
        <f ca="1"/>
        <v>#N/A</v>
      </c>
      <c r="O659" s="2" t="e">
        <f ca="1"/>
        <v>#N/A</v>
      </c>
      <c r="P659" s="2" t="e">
        <f ca="1"/>
        <v>#N/A</v>
      </c>
      <c r="Q659" s="33" t="e">
        <f ca="1"/>
        <v>#N/A</v>
      </c>
      <c r="R659" s="33" t="e">
        <f ca="1"/>
        <v>#N/A</v>
      </c>
    </row>
    <row r="660" spans="1:18" x14ac:dyDescent="0.2">
      <c r="A660" s="2">
        <v>659</v>
      </c>
      <c r="B660" s="65">
        <v>45733</v>
      </c>
      <c r="C660" s="70">
        <v>0.50902777777777775</v>
      </c>
      <c r="D660" s="66" t="s">
        <v>98</v>
      </c>
      <c r="G660" s="66" t="s">
        <v>218</v>
      </c>
      <c r="H660" s="66" t="s">
        <v>100</v>
      </c>
      <c r="I660" s="33" t="str">
        <f ca="1"/>
        <v>25,88</v>
      </c>
      <c r="J660" s="2">
        <v>660</v>
      </c>
      <c r="K660" s="2" t="str">
        <v>No Match</v>
      </c>
      <c r="M660" s="33">
        <f ca="1"/>
        <v>25.88</v>
      </c>
      <c r="N660" s="2" t="e">
        <f ca="1"/>
        <v>#N/A</v>
      </c>
      <c r="O660" s="2" t="e">
        <f ca="1"/>
        <v>#N/A</v>
      </c>
      <c r="P660" s="2" t="e">
        <f ca="1"/>
        <v>#N/A</v>
      </c>
      <c r="Q660" s="33" t="e">
        <f ca="1"/>
        <v>#N/A</v>
      </c>
      <c r="R660" s="33" t="e">
        <f ca="1"/>
        <v>#N/A</v>
      </c>
    </row>
    <row r="661" spans="1:18" x14ac:dyDescent="0.2">
      <c r="A661" s="2">
        <v>660</v>
      </c>
      <c r="B661" s="65">
        <v>45733</v>
      </c>
      <c r="C661" s="70">
        <v>0.50912037037037039</v>
      </c>
      <c r="D661" s="66" t="s">
        <v>98</v>
      </c>
      <c r="G661" s="66" t="s">
        <v>106</v>
      </c>
      <c r="H661" s="66" t="s">
        <v>100</v>
      </c>
      <c r="I661" s="33" t="str">
        <f ca="1"/>
        <v>26,01</v>
      </c>
      <c r="J661" s="2">
        <v>661</v>
      </c>
      <c r="K661" s="2" t="str">
        <v>No Match</v>
      </c>
      <c r="M661" s="33">
        <f ca="1"/>
        <v>26.01</v>
      </c>
      <c r="N661" s="2">
        <f ca="1"/>
        <v>25</v>
      </c>
      <c r="O661" s="2">
        <f ca="1"/>
        <v>24.625</v>
      </c>
      <c r="P661" s="2">
        <f ca="1"/>
        <v>25.375</v>
      </c>
      <c r="Q661" s="33">
        <f ca="1"/>
        <v>25.329500000000003</v>
      </c>
      <c r="R661" s="33">
        <f ca="1"/>
        <v>25.850999999999999</v>
      </c>
    </row>
    <row r="662" spans="1:18" x14ac:dyDescent="0.2">
      <c r="A662" s="2">
        <v>661</v>
      </c>
      <c r="B662" s="65">
        <v>45733</v>
      </c>
      <c r="C662" s="70">
        <v>0.5098611111111111</v>
      </c>
      <c r="D662" s="66" t="s">
        <v>98</v>
      </c>
      <c r="G662" s="66" t="s">
        <v>106</v>
      </c>
      <c r="H662" s="66" t="s">
        <v>100</v>
      </c>
      <c r="I662" s="33" t="str">
        <f ca="1"/>
        <v>26,01</v>
      </c>
      <c r="J662" s="2">
        <v>662</v>
      </c>
      <c r="K662" s="2" t="str">
        <v>No Match</v>
      </c>
      <c r="M662" s="33">
        <f ca="1"/>
        <v>26.01</v>
      </c>
      <c r="N662" s="2" t="e">
        <f ca="1"/>
        <v>#N/A</v>
      </c>
      <c r="O662" s="2" t="e">
        <f ca="1"/>
        <v>#N/A</v>
      </c>
      <c r="P662" s="2" t="e">
        <f ca="1"/>
        <v>#N/A</v>
      </c>
      <c r="Q662" s="33" t="e">
        <f ca="1"/>
        <v>#N/A</v>
      </c>
      <c r="R662" s="33" t="e">
        <f ca="1"/>
        <v>#N/A</v>
      </c>
    </row>
    <row r="663" spans="1:18" x14ac:dyDescent="0.2">
      <c r="A663" s="2">
        <v>662</v>
      </c>
      <c r="B663" s="65">
        <v>45733</v>
      </c>
      <c r="C663" s="70">
        <v>0.5105439814814815</v>
      </c>
      <c r="D663" s="66" t="s">
        <v>98</v>
      </c>
      <c r="G663" s="66" t="s">
        <v>191</v>
      </c>
      <c r="H663" s="66" t="s">
        <v>100</v>
      </c>
      <c r="I663" s="33" t="str">
        <f ca="1"/>
        <v>25,79</v>
      </c>
      <c r="J663" s="2">
        <v>663</v>
      </c>
      <c r="K663" s="2" t="str">
        <v>No Match</v>
      </c>
      <c r="M663" s="33">
        <f ca="1"/>
        <v>25.79</v>
      </c>
      <c r="N663" s="2" t="e">
        <f ca="1"/>
        <v>#N/A</v>
      </c>
      <c r="O663" s="2" t="e">
        <f ca="1"/>
        <v>#N/A</v>
      </c>
      <c r="P663" s="2" t="e">
        <f ca="1"/>
        <v>#N/A</v>
      </c>
      <c r="Q663" s="33" t="e">
        <f ca="1"/>
        <v>#N/A</v>
      </c>
      <c r="R663" s="33" t="e">
        <f ca="1"/>
        <v>#N/A</v>
      </c>
    </row>
    <row r="664" spans="1:18" x14ac:dyDescent="0.2">
      <c r="A664" s="2">
        <v>663</v>
      </c>
      <c r="B664" s="65">
        <v>45733</v>
      </c>
      <c r="C664" s="70">
        <v>0.5115277777777778</v>
      </c>
      <c r="D664" s="66" t="s">
        <v>98</v>
      </c>
      <c r="G664" s="66" t="s">
        <v>191</v>
      </c>
      <c r="H664" s="66" t="s">
        <v>100</v>
      </c>
      <c r="I664" s="33" t="str">
        <f ca="1"/>
        <v>25,79</v>
      </c>
      <c r="J664" s="2">
        <v>664</v>
      </c>
      <c r="K664" s="2" t="str">
        <v>No Match</v>
      </c>
      <c r="M664" s="33">
        <f ca="1"/>
        <v>25.79</v>
      </c>
      <c r="N664" s="2" t="e">
        <f ca="1"/>
        <v>#N/A</v>
      </c>
      <c r="O664" s="2" t="e">
        <f ca="1"/>
        <v>#N/A</v>
      </c>
      <c r="P664" s="2" t="e">
        <f ca="1"/>
        <v>#N/A</v>
      </c>
      <c r="Q664" s="33" t="e">
        <f ca="1"/>
        <v>#N/A</v>
      </c>
      <c r="R664" s="33" t="e">
        <f ca="1"/>
        <v>#N/A</v>
      </c>
    </row>
    <row r="665" spans="1:18" x14ac:dyDescent="0.2">
      <c r="A665" s="2">
        <v>664</v>
      </c>
      <c r="B665" s="65">
        <v>45733</v>
      </c>
      <c r="C665" s="70">
        <v>0.51355324074074071</v>
      </c>
      <c r="D665" s="66" t="s">
        <v>98</v>
      </c>
      <c r="G665" s="66" t="s">
        <v>206</v>
      </c>
      <c r="H665" s="66" t="s">
        <v>100</v>
      </c>
      <c r="I665" s="33" t="str">
        <f ca="1"/>
        <v>25,80</v>
      </c>
      <c r="J665" s="2">
        <v>665</v>
      </c>
      <c r="K665" s="2" t="str">
        <v>No Match</v>
      </c>
      <c r="M665" s="33">
        <f ca="1"/>
        <v>25.8</v>
      </c>
      <c r="N665" s="2" t="e">
        <f ca="1"/>
        <v>#N/A</v>
      </c>
      <c r="O665" s="2" t="e">
        <f ca="1"/>
        <v>#N/A</v>
      </c>
      <c r="P665" s="2" t="e">
        <f ca="1"/>
        <v>#N/A</v>
      </c>
      <c r="Q665" s="33" t="e">
        <f ca="1"/>
        <v>#N/A</v>
      </c>
      <c r="R665" s="33" t="e">
        <f ca="1"/>
        <v>#N/A</v>
      </c>
    </row>
    <row r="666" spans="1:18" x14ac:dyDescent="0.2">
      <c r="A666" s="2">
        <v>665</v>
      </c>
      <c r="B666" s="65">
        <v>45733</v>
      </c>
      <c r="C666" s="70">
        <v>0.51399305555555552</v>
      </c>
      <c r="D666" s="66" t="s">
        <v>98</v>
      </c>
      <c r="G666" s="66" t="s">
        <v>226</v>
      </c>
      <c r="H666" s="66" t="s">
        <v>100</v>
      </c>
      <c r="I666" s="33" t="str">
        <f ca="1"/>
        <v>25,68</v>
      </c>
      <c r="J666" s="2">
        <v>666</v>
      </c>
      <c r="K666" s="2" t="str">
        <v>No Match</v>
      </c>
      <c r="M666" s="33">
        <f ca="1"/>
        <v>25.68</v>
      </c>
      <c r="N666" s="2" t="e">
        <f ca="1"/>
        <v>#N/A</v>
      </c>
      <c r="O666" s="2" t="e">
        <f ca="1"/>
        <v>#N/A</v>
      </c>
      <c r="P666" s="2" t="e">
        <f ca="1"/>
        <v>#N/A</v>
      </c>
      <c r="Q666" s="33" t="e">
        <f ca="1"/>
        <v>#N/A</v>
      </c>
      <c r="R666" s="33" t="e">
        <f ca="1"/>
        <v>#N/A</v>
      </c>
    </row>
    <row r="667" spans="1:18" x14ac:dyDescent="0.2">
      <c r="A667" s="2">
        <v>666</v>
      </c>
      <c r="B667" s="65">
        <v>45733</v>
      </c>
      <c r="C667" s="70">
        <v>0.51472222222222219</v>
      </c>
      <c r="D667" s="66" t="s">
        <v>98</v>
      </c>
      <c r="G667" s="66" t="s">
        <v>226</v>
      </c>
      <c r="H667" s="66" t="s">
        <v>100</v>
      </c>
      <c r="I667" s="33" t="str">
        <f ca="1"/>
        <v>25,68</v>
      </c>
      <c r="J667" s="2">
        <v>667</v>
      </c>
      <c r="K667" s="2" t="str">
        <v>No Match</v>
      </c>
      <c r="M667" s="33">
        <f ca="1"/>
        <v>25.68</v>
      </c>
      <c r="N667" s="2" t="e">
        <f ca="1"/>
        <v>#N/A</v>
      </c>
      <c r="O667" s="2" t="e">
        <f ca="1"/>
        <v>#N/A</v>
      </c>
      <c r="P667" s="2" t="e">
        <f ca="1"/>
        <v>#N/A</v>
      </c>
      <c r="Q667" s="33" t="e">
        <f ca="1"/>
        <v>#N/A</v>
      </c>
      <c r="R667" s="33" t="e">
        <f ca="1"/>
        <v>#N/A</v>
      </c>
    </row>
    <row r="668" spans="1:18" x14ac:dyDescent="0.2">
      <c r="A668" s="2">
        <v>667</v>
      </c>
      <c r="B668" s="65">
        <v>45733</v>
      </c>
      <c r="C668" s="70">
        <v>0.51543981481481482</v>
      </c>
      <c r="D668" s="66" t="s">
        <v>98</v>
      </c>
      <c r="G668" s="66" t="s">
        <v>226</v>
      </c>
      <c r="H668" s="66" t="s">
        <v>100</v>
      </c>
      <c r="I668" s="33" t="str">
        <f ca="1"/>
        <v>25,68</v>
      </c>
      <c r="J668" s="2">
        <v>668</v>
      </c>
      <c r="K668" s="2" t="str">
        <v>No Match</v>
      </c>
      <c r="M668" s="33">
        <f ca="1"/>
        <v>25.68</v>
      </c>
      <c r="N668" s="2" t="e">
        <f ca="1"/>
        <v>#N/A</v>
      </c>
      <c r="O668" s="2" t="e">
        <f ca="1"/>
        <v>#N/A</v>
      </c>
      <c r="P668" s="2" t="e">
        <f ca="1"/>
        <v>#N/A</v>
      </c>
      <c r="Q668" s="33" t="e">
        <f ca="1"/>
        <v>#N/A</v>
      </c>
      <c r="R668" s="33" t="e">
        <f ca="1"/>
        <v>#N/A</v>
      </c>
    </row>
    <row r="669" spans="1:18" x14ac:dyDescent="0.2">
      <c r="A669" s="2">
        <v>668</v>
      </c>
      <c r="B669" s="65">
        <v>45733</v>
      </c>
      <c r="C669" s="70">
        <v>0.51606481481481481</v>
      </c>
      <c r="D669" s="66" t="s">
        <v>98</v>
      </c>
      <c r="G669" s="66" t="s">
        <v>199</v>
      </c>
      <c r="H669" s="66" t="s">
        <v>100</v>
      </c>
      <c r="I669" s="33" t="str">
        <f ca="1"/>
        <v>25,78</v>
      </c>
      <c r="J669" s="2">
        <v>669</v>
      </c>
      <c r="K669" s="2" t="str">
        <v>No Match</v>
      </c>
      <c r="M669" s="33">
        <f ca="1"/>
        <v>25.78</v>
      </c>
      <c r="N669" s="2" t="e">
        <f ca="1"/>
        <v>#N/A</v>
      </c>
      <c r="O669" s="2" t="e">
        <f ca="1"/>
        <v>#N/A</v>
      </c>
      <c r="P669" s="2" t="e">
        <f ca="1"/>
        <v>#N/A</v>
      </c>
      <c r="Q669" s="33" t="e">
        <f ca="1"/>
        <v>#N/A</v>
      </c>
      <c r="R669" s="33" t="e">
        <f ca="1"/>
        <v>#N/A</v>
      </c>
    </row>
    <row r="670" spans="1:18" x14ac:dyDescent="0.2">
      <c r="A670" s="2">
        <v>669</v>
      </c>
      <c r="B670" s="65">
        <v>45733</v>
      </c>
      <c r="C670" s="70">
        <v>0.51756944444444442</v>
      </c>
      <c r="D670" s="66" t="s">
        <v>98</v>
      </c>
      <c r="G670" s="66" t="s">
        <v>248</v>
      </c>
      <c r="H670" s="66" t="s">
        <v>100</v>
      </c>
      <c r="I670" s="33" t="str">
        <f ca="1"/>
        <v>26,06</v>
      </c>
      <c r="J670" s="2">
        <v>670</v>
      </c>
      <c r="K670" s="2" t="str">
        <v>No Match</v>
      </c>
      <c r="M670" s="33">
        <f ca="1"/>
        <v>26.06</v>
      </c>
      <c r="N670" s="2" t="e">
        <f ca="1"/>
        <v>#N/A</v>
      </c>
      <c r="O670" s="2" t="e">
        <f ca="1"/>
        <v>#N/A</v>
      </c>
      <c r="P670" s="2" t="e">
        <f ca="1"/>
        <v>#N/A</v>
      </c>
      <c r="Q670" s="33" t="e">
        <f ca="1"/>
        <v>#N/A</v>
      </c>
      <c r="R670" s="33" t="e">
        <f ca="1"/>
        <v>#N/A</v>
      </c>
    </row>
    <row r="671" spans="1:18" x14ac:dyDescent="0.2">
      <c r="A671" s="2">
        <v>670</v>
      </c>
      <c r="B671" s="65">
        <v>45733</v>
      </c>
      <c r="C671" s="70">
        <v>0.51822916666666663</v>
      </c>
      <c r="D671" s="66" t="s">
        <v>98</v>
      </c>
      <c r="G671" s="66" t="s">
        <v>250</v>
      </c>
      <c r="H671" s="66" t="s">
        <v>100</v>
      </c>
      <c r="I671" s="33" t="str">
        <f ca="1"/>
        <v>26,03</v>
      </c>
      <c r="J671" s="2">
        <v>671</v>
      </c>
      <c r="K671" s="2" t="str">
        <v>No Match</v>
      </c>
      <c r="M671" s="33">
        <f ca="1"/>
        <v>26.03</v>
      </c>
      <c r="N671" s="2">
        <f ca="1"/>
        <v>25</v>
      </c>
      <c r="O671" s="2">
        <f ca="1"/>
        <v>24.625</v>
      </c>
      <c r="P671" s="2">
        <f ca="1"/>
        <v>25.375</v>
      </c>
      <c r="Q671" s="33">
        <f ca="1"/>
        <v>25.33697014925373</v>
      </c>
      <c r="R671" s="33">
        <f ca="1"/>
        <v>25.830000000000002</v>
      </c>
    </row>
    <row r="672" spans="1:18" x14ac:dyDescent="0.2">
      <c r="A672" s="2">
        <v>671</v>
      </c>
      <c r="B672" s="65">
        <v>45733</v>
      </c>
      <c r="C672" s="70">
        <v>0.56003472222222217</v>
      </c>
      <c r="D672" s="66" t="s">
        <v>98</v>
      </c>
      <c r="G672" s="66" t="s">
        <v>117</v>
      </c>
      <c r="H672" s="66" t="s">
        <v>100</v>
      </c>
      <c r="I672" s="33" t="str">
        <f ca="1"/>
        <v>25,61</v>
      </c>
      <c r="J672" s="2">
        <v>672</v>
      </c>
      <c r="K672" s="2" t="str">
        <v>No Match</v>
      </c>
      <c r="M672" s="33">
        <f ca="1"/>
        <v>25.61</v>
      </c>
      <c r="N672" s="2" t="e">
        <f ca="1"/>
        <v>#N/A</v>
      </c>
      <c r="O672" s="2" t="e">
        <f ca="1"/>
        <v>#N/A</v>
      </c>
      <c r="P672" s="2" t="e">
        <f ca="1"/>
        <v>#N/A</v>
      </c>
      <c r="Q672" s="33" t="e">
        <f ca="1"/>
        <v>#N/A</v>
      </c>
      <c r="R672" s="33" t="e">
        <f ca="1"/>
        <v>#N/A</v>
      </c>
    </row>
    <row r="673" spans="1:18" x14ac:dyDescent="0.2">
      <c r="A673" s="2">
        <v>672</v>
      </c>
      <c r="B673" s="65">
        <v>45733</v>
      </c>
      <c r="C673" s="70">
        <v>0.56009259259259259</v>
      </c>
      <c r="D673" s="66" t="s">
        <v>98</v>
      </c>
      <c r="G673" s="66" t="s">
        <v>189</v>
      </c>
      <c r="H673" s="66" t="s">
        <v>100</v>
      </c>
      <c r="I673" s="33" t="str">
        <f ca="1"/>
        <v>25,48</v>
      </c>
      <c r="J673" s="2">
        <v>673</v>
      </c>
      <c r="K673" s="2" t="str">
        <v>No Match</v>
      </c>
      <c r="M673" s="33">
        <f ca="1"/>
        <v>25.48</v>
      </c>
      <c r="N673" s="2" t="e">
        <f ca="1"/>
        <v>#N/A</v>
      </c>
      <c r="O673" s="2" t="e">
        <f ca="1"/>
        <v>#N/A</v>
      </c>
      <c r="P673" s="2" t="e">
        <f ca="1"/>
        <v>#N/A</v>
      </c>
      <c r="Q673" s="33" t="e">
        <f ca="1"/>
        <v>#N/A</v>
      </c>
      <c r="R673" s="33" t="e">
        <f ca="1"/>
        <v>#N/A</v>
      </c>
    </row>
    <row r="674" spans="1:18" x14ac:dyDescent="0.2">
      <c r="A674" s="2">
        <v>673</v>
      </c>
      <c r="B674" s="65">
        <v>45733</v>
      </c>
      <c r="C674" s="70">
        <v>0.560150462962963</v>
      </c>
      <c r="D674" s="66" t="s">
        <v>98</v>
      </c>
      <c r="G674" s="66" t="s">
        <v>141</v>
      </c>
      <c r="H674" s="66" t="s">
        <v>100</v>
      </c>
      <c r="I674" s="33" t="str">
        <f ca="1"/>
        <v>25,50</v>
      </c>
      <c r="J674" s="2">
        <v>674</v>
      </c>
      <c r="K674" s="2" t="str">
        <v>No Match</v>
      </c>
      <c r="M674" s="33">
        <f ca="1"/>
        <v>25.5</v>
      </c>
      <c r="N674" s="2" t="e">
        <f ca="1"/>
        <v>#N/A</v>
      </c>
      <c r="O674" s="2" t="e">
        <f ca="1"/>
        <v>#N/A</v>
      </c>
      <c r="P674" s="2" t="e">
        <f ca="1"/>
        <v>#N/A</v>
      </c>
      <c r="Q674" s="33" t="e">
        <f ca="1"/>
        <v>#N/A</v>
      </c>
      <c r="R674" s="33" t="e">
        <f ca="1"/>
        <v>#N/A</v>
      </c>
    </row>
    <row r="675" spans="1:18" x14ac:dyDescent="0.2">
      <c r="A675" s="2">
        <v>674</v>
      </c>
      <c r="B675" s="65">
        <v>45733</v>
      </c>
      <c r="C675" s="70">
        <v>0.56021990740740746</v>
      </c>
      <c r="D675" s="66" t="s">
        <v>98</v>
      </c>
      <c r="G675" s="66" t="s">
        <v>162</v>
      </c>
      <c r="H675" s="66" t="s">
        <v>100</v>
      </c>
      <c r="I675" s="33" t="str">
        <f ca="1"/>
        <v>25,51</v>
      </c>
      <c r="J675" s="2">
        <v>675</v>
      </c>
      <c r="K675" s="2" t="str">
        <v>No Match</v>
      </c>
      <c r="M675" s="33">
        <f ca="1"/>
        <v>25.51</v>
      </c>
      <c r="N675" s="2" t="e">
        <f ca="1"/>
        <v>#N/A</v>
      </c>
      <c r="O675" s="2" t="e">
        <f ca="1"/>
        <v>#N/A</v>
      </c>
      <c r="P675" s="2" t="e">
        <f ca="1"/>
        <v>#N/A</v>
      </c>
      <c r="Q675" s="33" t="e">
        <f ca="1"/>
        <v>#N/A</v>
      </c>
      <c r="R675" s="33" t="e">
        <f ca="1"/>
        <v>#N/A</v>
      </c>
    </row>
    <row r="676" spans="1:18" x14ac:dyDescent="0.2">
      <c r="A676" s="2">
        <v>675</v>
      </c>
      <c r="B676" s="65">
        <v>45733</v>
      </c>
      <c r="C676" s="70">
        <v>0.56026620370370372</v>
      </c>
      <c r="D676" s="66" t="s">
        <v>98</v>
      </c>
      <c r="G676" s="66" t="s">
        <v>143</v>
      </c>
      <c r="H676" s="66" t="s">
        <v>100</v>
      </c>
      <c r="I676" s="33" t="str">
        <f ca="1"/>
        <v>25,53</v>
      </c>
      <c r="J676" s="2">
        <v>676</v>
      </c>
      <c r="K676" s="2" t="str">
        <v>No Match</v>
      </c>
      <c r="M676" s="33">
        <f ca="1"/>
        <v>25.53</v>
      </c>
      <c r="N676" s="2" t="e">
        <f ca="1"/>
        <v>#N/A</v>
      </c>
      <c r="O676" s="2" t="e">
        <f ca="1"/>
        <v>#N/A</v>
      </c>
      <c r="P676" s="2" t="e">
        <f ca="1"/>
        <v>#N/A</v>
      </c>
      <c r="Q676" s="33" t="e">
        <f ca="1"/>
        <v>#N/A</v>
      </c>
      <c r="R676" s="33" t="e">
        <f ca="1"/>
        <v>#N/A</v>
      </c>
    </row>
    <row r="677" spans="1:18" x14ac:dyDescent="0.2">
      <c r="A677" s="2">
        <v>676</v>
      </c>
      <c r="B677" s="65">
        <v>45733</v>
      </c>
      <c r="C677" s="70">
        <v>0.56031249999999999</v>
      </c>
      <c r="D677" s="66" t="s">
        <v>98</v>
      </c>
      <c r="G677" s="66" t="s">
        <v>148</v>
      </c>
      <c r="H677" s="66" t="s">
        <v>100</v>
      </c>
      <c r="I677" s="33" t="str">
        <f ca="1"/>
        <v>25,96</v>
      </c>
      <c r="J677" s="2">
        <v>677</v>
      </c>
      <c r="K677" s="2" t="str">
        <v>No Match</v>
      </c>
      <c r="M677" s="33">
        <f ca="1"/>
        <v>25.96</v>
      </c>
      <c r="N677" s="2" t="e">
        <f ca="1"/>
        <v>#N/A</v>
      </c>
      <c r="O677" s="2" t="e">
        <f ca="1"/>
        <v>#N/A</v>
      </c>
      <c r="P677" s="2" t="e">
        <f ca="1"/>
        <v>#N/A</v>
      </c>
      <c r="Q677" s="33" t="e">
        <f ca="1"/>
        <v>#N/A</v>
      </c>
      <c r="R677" s="33" t="e">
        <f ca="1"/>
        <v>#N/A</v>
      </c>
    </row>
    <row r="678" spans="1:18" x14ac:dyDescent="0.2">
      <c r="A678" s="2">
        <v>677</v>
      </c>
      <c r="B678" s="65">
        <v>45733</v>
      </c>
      <c r="C678" s="70">
        <v>0.56037037037037041</v>
      </c>
      <c r="D678" s="66" t="s">
        <v>98</v>
      </c>
      <c r="G678" s="66" t="s">
        <v>223</v>
      </c>
      <c r="H678" s="66" t="s">
        <v>100</v>
      </c>
      <c r="I678" s="33" t="str">
        <f ca="1"/>
        <v>25,73</v>
      </c>
      <c r="J678" s="2">
        <v>678</v>
      </c>
      <c r="K678" s="2" t="str">
        <v>No Match</v>
      </c>
      <c r="M678" s="33">
        <f ca="1"/>
        <v>25.73</v>
      </c>
      <c r="N678" s="2" t="e">
        <f ca="1"/>
        <v>#N/A</v>
      </c>
      <c r="O678" s="2" t="e">
        <f ca="1"/>
        <v>#N/A</v>
      </c>
      <c r="P678" s="2" t="e">
        <f ca="1"/>
        <v>#N/A</v>
      </c>
      <c r="Q678" s="33" t="e">
        <f ca="1"/>
        <v>#N/A</v>
      </c>
      <c r="R678" s="33" t="e">
        <f ca="1"/>
        <v>#N/A</v>
      </c>
    </row>
    <row r="679" spans="1:18" x14ac:dyDescent="0.2">
      <c r="A679" s="2">
        <v>678</v>
      </c>
      <c r="B679" s="65">
        <v>45733</v>
      </c>
      <c r="C679" s="70">
        <v>0.56041666666666667</v>
      </c>
      <c r="D679" s="66" t="s">
        <v>98</v>
      </c>
      <c r="G679" s="66" t="s">
        <v>116</v>
      </c>
      <c r="H679" s="66" t="s">
        <v>100</v>
      </c>
      <c r="I679" s="33" t="str">
        <f ca="1"/>
        <v>25,33</v>
      </c>
      <c r="J679" s="2">
        <v>679</v>
      </c>
      <c r="K679" s="2" t="str">
        <v>No Match</v>
      </c>
      <c r="M679" s="33">
        <f ca="1"/>
        <v>25.33</v>
      </c>
      <c r="N679" s="2" t="e">
        <f ca="1"/>
        <v>#N/A</v>
      </c>
      <c r="O679" s="2" t="e">
        <f ca="1"/>
        <v>#N/A</v>
      </c>
      <c r="P679" s="2" t="e">
        <f ca="1"/>
        <v>#N/A</v>
      </c>
      <c r="Q679" s="33" t="e">
        <f ca="1"/>
        <v>#N/A</v>
      </c>
      <c r="R679" s="33" t="e">
        <f ca="1"/>
        <v>#N/A</v>
      </c>
    </row>
    <row r="680" spans="1:18" x14ac:dyDescent="0.2">
      <c r="A680" s="2">
        <v>679</v>
      </c>
      <c r="B680" s="65">
        <v>45733</v>
      </c>
      <c r="C680" s="70">
        <v>0.56047453703703709</v>
      </c>
      <c r="D680" s="66" t="s">
        <v>98</v>
      </c>
      <c r="G680" s="66" t="s">
        <v>161</v>
      </c>
      <c r="H680" s="66" t="s">
        <v>100</v>
      </c>
      <c r="I680" s="33" t="str">
        <f ca="1"/>
        <v>25,38</v>
      </c>
      <c r="J680" s="2">
        <v>680</v>
      </c>
      <c r="K680" s="2" t="str">
        <v>No Match</v>
      </c>
      <c r="M680" s="33">
        <f ca="1"/>
        <v>25.38</v>
      </c>
      <c r="N680" s="2" t="e">
        <f ca="1"/>
        <v>#N/A</v>
      </c>
      <c r="O680" s="2" t="e">
        <f ca="1"/>
        <v>#N/A</v>
      </c>
      <c r="P680" s="2" t="e">
        <f ca="1"/>
        <v>#N/A</v>
      </c>
      <c r="Q680" s="33" t="e">
        <f ca="1"/>
        <v>#N/A</v>
      </c>
      <c r="R680" s="33" t="e">
        <f ca="1"/>
        <v>#N/A</v>
      </c>
    </row>
    <row r="681" spans="1:18" x14ac:dyDescent="0.2">
      <c r="A681" s="2">
        <v>680</v>
      </c>
      <c r="B681" s="65">
        <v>45733</v>
      </c>
      <c r="C681" s="70">
        <v>0.5605324074074074</v>
      </c>
      <c r="D681" s="66" t="s">
        <v>98</v>
      </c>
      <c r="G681" s="66" t="s">
        <v>163</v>
      </c>
      <c r="H681" s="66" t="s">
        <v>100</v>
      </c>
      <c r="I681" s="33" t="str">
        <f ca="1"/>
        <v>25,47</v>
      </c>
      <c r="J681" s="2">
        <v>681</v>
      </c>
      <c r="K681" s="2" t="str">
        <v>No Match</v>
      </c>
      <c r="M681" s="33">
        <f ca="1"/>
        <v>25.47</v>
      </c>
      <c r="N681" s="2">
        <f ca="1"/>
        <v>25</v>
      </c>
      <c r="O681" s="2">
        <f ca="1"/>
        <v>24.625</v>
      </c>
      <c r="P681" s="2">
        <f ca="1"/>
        <v>25.375</v>
      </c>
      <c r="Q681" s="33">
        <f ca="1"/>
        <v>25.340102941176472</v>
      </c>
      <c r="R681" s="33">
        <f ca="1"/>
        <v>25.549999999999997</v>
      </c>
    </row>
    <row r="682" spans="1:18" x14ac:dyDescent="0.2">
      <c r="A682" s="2">
        <v>681</v>
      </c>
      <c r="B682" s="65">
        <v>45733</v>
      </c>
      <c r="C682" s="70">
        <v>0.56258101851851849</v>
      </c>
      <c r="D682" s="66" t="s">
        <v>98</v>
      </c>
      <c r="G682" s="66" t="s">
        <v>140</v>
      </c>
      <c r="H682" s="66" t="s">
        <v>100</v>
      </c>
      <c r="I682" s="33" t="str">
        <f ca="1"/>
        <v>25,10</v>
      </c>
      <c r="J682" s="2">
        <v>682</v>
      </c>
      <c r="K682" s="2" t="str">
        <v>No Match</v>
      </c>
      <c r="M682" s="33">
        <f ca="1"/>
        <v>25.1</v>
      </c>
      <c r="N682" s="2" t="e">
        <f ca="1"/>
        <v>#N/A</v>
      </c>
      <c r="O682" s="2" t="e">
        <f ca="1"/>
        <v>#N/A</v>
      </c>
      <c r="P682" s="2" t="e">
        <f ca="1"/>
        <v>#N/A</v>
      </c>
      <c r="Q682" s="33" t="e">
        <f ca="1"/>
        <v>#N/A</v>
      </c>
      <c r="R682" s="33" t="e">
        <f ca="1"/>
        <v>#N/A</v>
      </c>
    </row>
    <row r="683" spans="1:18" x14ac:dyDescent="0.2">
      <c r="A683" s="2">
        <v>682</v>
      </c>
      <c r="B683" s="65">
        <v>45733</v>
      </c>
      <c r="C683" s="70">
        <v>0.56376157407407412</v>
      </c>
      <c r="D683" s="66" t="s">
        <v>98</v>
      </c>
      <c r="G683" s="66" t="s">
        <v>99</v>
      </c>
      <c r="H683" s="66" t="s">
        <v>100</v>
      </c>
      <c r="I683" s="33" t="str">
        <f ca="1"/>
        <v>25,16</v>
      </c>
      <c r="J683" s="2">
        <v>683</v>
      </c>
      <c r="K683" s="2" t="str">
        <v>No Match</v>
      </c>
      <c r="M683" s="33">
        <f ca="1"/>
        <v>25.16</v>
      </c>
      <c r="N683" s="2" t="e">
        <f ca="1"/>
        <v>#N/A</v>
      </c>
      <c r="O683" s="2" t="e">
        <f ca="1"/>
        <v>#N/A</v>
      </c>
      <c r="P683" s="2" t="e">
        <f ca="1"/>
        <v>#N/A</v>
      </c>
      <c r="Q683" s="33" t="e">
        <f ca="1"/>
        <v>#N/A</v>
      </c>
      <c r="R683" s="33" t="e">
        <f ca="1"/>
        <v>#N/A</v>
      </c>
    </row>
    <row r="684" spans="1:18" x14ac:dyDescent="0.2">
      <c r="A684" s="2">
        <v>683</v>
      </c>
      <c r="B684" s="65">
        <v>45733</v>
      </c>
      <c r="C684" s="70">
        <v>0.56497685185185187</v>
      </c>
      <c r="D684" s="66" t="s">
        <v>98</v>
      </c>
      <c r="G684" s="66" t="s">
        <v>201</v>
      </c>
      <c r="H684" s="66" t="s">
        <v>100</v>
      </c>
      <c r="I684" s="33" t="str">
        <f ca="1"/>
        <v>25,02</v>
      </c>
      <c r="J684" s="2">
        <v>684</v>
      </c>
      <c r="K684" s="2" t="str">
        <v>No Match</v>
      </c>
      <c r="M684" s="33">
        <f ca="1"/>
        <v>25.02</v>
      </c>
      <c r="N684" s="2" t="e">
        <f ca="1"/>
        <v>#N/A</v>
      </c>
      <c r="O684" s="2" t="e">
        <f ca="1"/>
        <v>#N/A</v>
      </c>
      <c r="P684" s="2" t="e">
        <f ca="1"/>
        <v>#N/A</v>
      </c>
      <c r="Q684" s="33" t="e">
        <f ca="1"/>
        <v>#N/A</v>
      </c>
      <c r="R684" s="33" t="e">
        <f ca="1"/>
        <v>#N/A</v>
      </c>
    </row>
    <row r="685" spans="1:18" x14ac:dyDescent="0.2">
      <c r="A685" s="2">
        <v>684</v>
      </c>
      <c r="B685" s="65">
        <v>45733</v>
      </c>
      <c r="C685" s="70">
        <v>0.56594907407407402</v>
      </c>
      <c r="D685" s="66" t="s">
        <v>98</v>
      </c>
      <c r="G685" s="66" t="s">
        <v>160</v>
      </c>
      <c r="H685" s="66" t="s">
        <v>100</v>
      </c>
      <c r="I685" s="33" t="str">
        <f ca="1"/>
        <v>25,14</v>
      </c>
      <c r="J685" s="2">
        <v>685</v>
      </c>
      <c r="K685" s="2" t="str">
        <v>No Match</v>
      </c>
      <c r="M685" s="33">
        <f ca="1"/>
        <v>25.14</v>
      </c>
      <c r="N685" s="2" t="e">
        <f ca="1"/>
        <v>#N/A</v>
      </c>
      <c r="O685" s="2" t="e">
        <f ca="1"/>
        <v>#N/A</v>
      </c>
      <c r="P685" s="2" t="e">
        <f ca="1"/>
        <v>#N/A</v>
      </c>
      <c r="Q685" s="33" t="e">
        <f ca="1"/>
        <v>#N/A</v>
      </c>
      <c r="R685" s="33" t="e">
        <f ca="1"/>
        <v>#N/A</v>
      </c>
    </row>
    <row r="686" spans="1:18" x14ac:dyDescent="0.2">
      <c r="A686" s="2">
        <v>685</v>
      </c>
      <c r="B686" s="65">
        <v>45733</v>
      </c>
      <c r="C686" s="70">
        <v>0.56726851851851856</v>
      </c>
      <c r="D686" s="66" t="s">
        <v>98</v>
      </c>
      <c r="G686" s="66" t="s">
        <v>124</v>
      </c>
      <c r="H686" s="66" t="s">
        <v>100</v>
      </c>
      <c r="I686" s="33" t="str">
        <f ca="1"/>
        <v>25,09</v>
      </c>
      <c r="J686" s="2">
        <v>686</v>
      </c>
      <c r="K686" s="2" t="str">
        <v>No Match</v>
      </c>
      <c r="M686" s="33">
        <f ca="1"/>
        <v>25.09</v>
      </c>
      <c r="N686" s="2" t="e">
        <f ca="1"/>
        <v>#N/A</v>
      </c>
      <c r="O686" s="2" t="e">
        <f ca="1"/>
        <v>#N/A</v>
      </c>
      <c r="P686" s="2" t="e">
        <f ca="1"/>
        <v>#N/A</v>
      </c>
      <c r="Q686" s="33" t="e">
        <f ca="1"/>
        <v>#N/A</v>
      </c>
      <c r="R686" s="33" t="e">
        <f ca="1"/>
        <v>#N/A</v>
      </c>
    </row>
    <row r="687" spans="1:18" x14ac:dyDescent="0.2">
      <c r="A687" s="2">
        <v>686</v>
      </c>
      <c r="B687" s="65">
        <v>45733</v>
      </c>
      <c r="C687" s="70">
        <v>0.5741087962962963</v>
      </c>
      <c r="D687" s="66" t="s">
        <v>98</v>
      </c>
      <c r="G687" s="66" t="s">
        <v>208</v>
      </c>
      <c r="H687" s="66" t="s">
        <v>100</v>
      </c>
      <c r="I687" s="33" t="str">
        <f ca="1"/>
        <v>25,17</v>
      </c>
      <c r="J687" s="2">
        <v>687</v>
      </c>
      <c r="K687" s="2" t="str">
        <v>No Match</v>
      </c>
      <c r="M687" s="33">
        <f ca="1"/>
        <v>25.17</v>
      </c>
      <c r="N687" s="2" t="e">
        <f ca="1"/>
        <v>#N/A</v>
      </c>
      <c r="O687" s="2" t="e">
        <f ca="1"/>
        <v>#N/A</v>
      </c>
      <c r="P687" s="2" t="e">
        <f ca="1"/>
        <v>#N/A</v>
      </c>
      <c r="Q687" s="33" t="e">
        <f ca="1"/>
        <v>#N/A</v>
      </c>
      <c r="R687" s="33" t="e">
        <f ca="1"/>
        <v>#N/A</v>
      </c>
    </row>
    <row r="688" spans="1:18" x14ac:dyDescent="0.2">
      <c r="A688" s="2">
        <v>687</v>
      </c>
      <c r="B688" s="65">
        <v>45733</v>
      </c>
      <c r="C688" s="70">
        <v>0.57461805555555556</v>
      </c>
      <c r="D688" s="66" t="s">
        <v>98</v>
      </c>
      <c r="G688" s="66" t="s">
        <v>163</v>
      </c>
      <c r="H688" s="66" t="s">
        <v>100</v>
      </c>
      <c r="I688" s="33" t="str">
        <f ca="1"/>
        <v>25,47</v>
      </c>
      <c r="J688" s="2">
        <v>688</v>
      </c>
      <c r="K688" s="2" t="str">
        <v>No Match</v>
      </c>
      <c r="M688" s="33">
        <f ca="1"/>
        <v>25.47</v>
      </c>
      <c r="N688" s="2" t="e">
        <f ca="1"/>
        <v>#N/A</v>
      </c>
      <c r="O688" s="2" t="e">
        <f ca="1"/>
        <v>#N/A</v>
      </c>
      <c r="P688" s="2" t="e">
        <f ca="1"/>
        <v>#N/A</v>
      </c>
      <c r="Q688" s="33" t="e">
        <f ca="1"/>
        <v>#N/A</v>
      </c>
      <c r="R688" s="33" t="e">
        <f ca="1"/>
        <v>#N/A</v>
      </c>
    </row>
    <row r="689" spans="1:18" x14ac:dyDescent="0.2">
      <c r="A689" s="2">
        <v>688</v>
      </c>
      <c r="B689" s="65">
        <v>45733</v>
      </c>
      <c r="C689" s="70">
        <v>0.57590277777777776</v>
      </c>
      <c r="D689" s="66" t="s">
        <v>98</v>
      </c>
      <c r="G689" s="66" t="s">
        <v>161</v>
      </c>
      <c r="H689" s="66" t="s">
        <v>100</v>
      </c>
      <c r="I689" s="33" t="str">
        <f ca="1"/>
        <v>25,38</v>
      </c>
      <c r="J689" s="2">
        <v>689</v>
      </c>
      <c r="K689" s="2" t="str">
        <v>No Match</v>
      </c>
      <c r="M689" s="33">
        <f ca="1"/>
        <v>25.38</v>
      </c>
      <c r="N689" s="2" t="e">
        <f ca="1"/>
        <v>#N/A</v>
      </c>
      <c r="O689" s="2" t="e">
        <f ca="1"/>
        <v>#N/A</v>
      </c>
      <c r="P689" s="2" t="e">
        <f ca="1"/>
        <v>#N/A</v>
      </c>
      <c r="Q689" s="33" t="e">
        <f ca="1"/>
        <v>#N/A</v>
      </c>
      <c r="R689" s="33" t="e">
        <f ca="1"/>
        <v>#N/A</v>
      </c>
    </row>
    <row r="690" spans="1:18" x14ac:dyDescent="0.2">
      <c r="A690" s="2">
        <v>689</v>
      </c>
      <c r="B690" s="65">
        <v>45733</v>
      </c>
      <c r="C690" s="70">
        <v>0.58900462962962963</v>
      </c>
      <c r="D690" s="66" t="s">
        <v>98</v>
      </c>
      <c r="G690" s="66" t="s">
        <v>176</v>
      </c>
      <c r="H690" s="66" t="s">
        <v>100</v>
      </c>
      <c r="I690" s="33" t="str">
        <f ca="1"/>
        <v>25,18</v>
      </c>
      <c r="J690" s="2">
        <v>690</v>
      </c>
      <c r="K690" s="2" t="str">
        <v>No Match</v>
      </c>
      <c r="M690" s="33">
        <f ca="1"/>
        <v>25.18</v>
      </c>
      <c r="N690" s="2" t="e">
        <f ca="1"/>
        <v>#N/A</v>
      </c>
      <c r="O690" s="2" t="e">
        <f ca="1"/>
        <v>#N/A</v>
      </c>
      <c r="P690" s="2" t="e">
        <f ca="1"/>
        <v>#N/A</v>
      </c>
      <c r="Q690" s="33" t="e">
        <f ca="1"/>
        <v>#N/A</v>
      </c>
      <c r="R690" s="33" t="e">
        <f ca="1"/>
        <v>#N/A</v>
      </c>
    </row>
    <row r="691" spans="1:18" x14ac:dyDescent="0.2">
      <c r="A691" s="2">
        <v>690</v>
      </c>
      <c r="B691" s="65">
        <v>45733</v>
      </c>
      <c r="C691" s="70">
        <v>0.58914351851851854</v>
      </c>
      <c r="D691" s="66" t="s">
        <v>98</v>
      </c>
      <c r="G691" s="66" t="s">
        <v>169</v>
      </c>
      <c r="H691" s="66" t="s">
        <v>100</v>
      </c>
      <c r="I691" s="33" t="str">
        <f ca="1"/>
        <v>25,11</v>
      </c>
      <c r="J691" s="2">
        <v>691</v>
      </c>
      <c r="K691" s="2" t="str">
        <v>No Match</v>
      </c>
      <c r="M691" s="33">
        <f ca="1"/>
        <v>25.11</v>
      </c>
      <c r="N691" s="2">
        <f ca="1"/>
        <v>25</v>
      </c>
      <c r="O691" s="2">
        <f ca="1"/>
        <v>24.625</v>
      </c>
      <c r="P691" s="2">
        <f ca="1"/>
        <v>25.375</v>
      </c>
      <c r="Q691" s="33">
        <f ca="1"/>
        <v>25.337811594202901</v>
      </c>
      <c r="R691" s="33">
        <f ca="1"/>
        <v>25.181999999999999</v>
      </c>
    </row>
    <row r="692" spans="1:18" x14ac:dyDescent="0.2">
      <c r="A692" s="2">
        <v>691</v>
      </c>
      <c r="B692" s="65">
        <v>45733</v>
      </c>
      <c r="C692" s="70">
        <v>0.59060185185185188</v>
      </c>
      <c r="D692" s="66" t="s">
        <v>98</v>
      </c>
      <c r="G692" s="66" t="s">
        <v>147</v>
      </c>
      <c r="H692" s="66" t="s">
        <v>100</v>
      </c>
      <c r="I692" s="33" t="str">
        <f ca="1"/>
        <v>25,00</v>
      </c>
      <c r="J692" s="2">
        <v>692</v>
      </c>
      <c r="K692" s="2" t="str">
        <v>No Match</v>
      </c>
      <c r="M692" s="33">
        <f ca="1"/>
        <v>25</v>
      </c>
      <c r="N692" s="2" t="e">
        <f ca="1"/>
        <v>#N/A</v>
      </c>
      <c r="O692" s="2" t="e">
        <f ca="1"/>
        <v>#N/A</v>
      </c>
      <c r="P692" s="2" t="e">
        <f ca="1"/>
        <v>#N/A</v>
      </c>
      <c r="Q692" s="33" t="e">
        <f ca="1"/>
        <v>#N/A</v>
      </c>
      <c r="R692" s="33" t="e">
        <f ca="1"/>
        <v>#N/A</v>
      </c>
    </row>
    <row r="693" spans="1:18" x14ac:dyDescent="0.2">
      <c r="A693" s="2">
        <v>692</v>
      </c>
      <c r="B693" s="65">
        <v>45733</v>
      </c>
      <c r="C693" s="70">
        <v>0.59149305555555554</v>
      </c>
      <c r="D693" s="66" t="s">
        <v>98</v>
      </c>
      <c r="G693" s="66" t="s">
        <v>129</v>
      </c>
      <c r="H693" s="66" t="s">
        <v>100</v>
      </c>
      <c r="I693" s="33" t="str">
        <f ca="1"/>
        <v>25,08</v>
      </c>
      <c r="J693" s="2">
        <v>693</v>
      </c>
      <c r="K693" s="2" t="str">
        <v>No Match</v>
      </c>
      <c r="M693" s="33">
        <f ca="1"/>
        <v>25.08</v>
      </c>
      <c r="N693" s="2" t="e">
        <f ca="1"/>
        <v>#N/A</v>
      </c>
      <c r="O693" s="2" t="e">
        <f ca="1"/>
        <v>#N/A</v>
      </c>
      <c r="P693" s="2" t="e">
        <f ca="1"/>
        <v>#N/A</v>
      </c>
      <c r="Q693" s="33" t="e">
        <f ca="1"/>
        <v>#N/A</v>
      </c>
      <c r="R693" s="33" t="e">
        <f ca="1"/>
        <v>#N/A</v>
      </c>
    </row>
    <row r="694" spans="1:18" x14ac:dyDescent="0.2">
      <c r="A694" s="2">
        <v>693</v>
      </c>
      <c r="B694" s="65">
        <v>45733</v>
      </c>
      <c r="C694" s="70">
        <v>0.59311342592592597</v>
      </c>
      <c r="D694" s="66" t="s">
        <v>98</v>
      </c>
      <c r="G694" s="66" t="s">
        <v>169</v>
      </c>
      <c r="H694" s="66" t="s">
        <v>100</v>
      </c>
      <c r="I694" s="33" t="str">
        <f ca="1"/>
        <v>25,11</v>
      </c>
      <c r="J694" s="2">
        <v>694</v>
      </c>
      <c r="K694" s="2" t="str">
        <v>No Match</v>
      </c>
      <c r="M694" s="33">
        <f ca="1"/>
        <v>25.11</v>
      </c>
      <c r="N694" s="2" t="e">
        <f ca="1"/>
        <v>#N/A</v>
      </c>
      <c r="O694" s="2" t="e">
        <f ca="1"/>
        <v>#N/A</v>
      </c>
      <c r="P694" s="2" t="e">
        <f ca="1"/>
        <v>#N/A</v>
      </c>
      <c r="Q694" s="33" t="e">
        <f ca="1"/>
        <v>#N/A</v>
      </c>
      <c r="R694" s="33" t="e">
        <f ca="1"/>
        <v>#N/A</v>
      </c>
    </row>
    <row r="695" spans="1:18" x14ac:dyDescent="0.2">
      <c r="A695" s="2">
        <v>694</v>
      </c>
      <c r="B695" s="65">
        <v>45733</v>
      </c>
      <c r="C695" s="70">
        <v>0.59523148148148153</v>
      </c>
      <c r="D695" s="66" t="s">
        <v>98</v>
      </c>
      <c r="G695" s="66" t="s">
        <v>204</v>
      </c>
      <c r="H695" s="66" t="s">
        <v>100</v>
      </c>
      <c r="I695" s="33" t="str">
        <f ca="1"/>
        <v>25,01</v>
      </c>
      <c r="J695" s="2">
        <v>695</v>
      </c>
      <c r="K695" s="2" t="str">
        <v>No Match</v>
      </c>
      <c r="M695" s="33">
        <f ca="1"/>
        <v>25.01</v>
      </c>
      <c r="N695" s="2" t="e">
        <f ca="1"/>
        <v>#N/A</v>
      </c>
      <c r="O695" s="2" t="e">
        <f ca="1"/>
        <v>#N/A</v>
      </c>
      <c r="P695" s="2" t="e">
        <f ca="1"/>
        <v>#N/A</v>
      </c>
      <c r="Q695" s="33" t="e">
        <f ca="1"/>
        <v>#N/A</v>
      </c>
      <c r="R695" s="33" t="e">
        <f ca="1"/>
        <v>#N/A</v>
      </c>
    </row>
    <row r="696" spans="1:18" x14ac:dyDescent="0.2">
      <c r="A696" s="2">
        <v>695</v>
      </c>
      <c r="B696" s="65">
        <v>45733</v>
      </c>
      <c r="C696" s="70">
        <v>0.59565972222222219</v>
      </c>
      <c r="D696" s="66" t="s">
        <v>98</v>
      </c>
      <c r="G696" s="66" t="s">
        <v>210</v>
      </c>
      <c r="H696" s="66" t="s">
        <v>100</v>
      </c>
      <c r="I696" s="33" t="str">
        <f ca="1"/>
        <v>24,93</v>
      </c>
      <c r="J696" s="2">
        <v>696</v>
      </c>
      <c r="K696" s="2" t="str">
        <v>No Match</v>
      </c>
      <c r="M696" s="33">
        <f ca="1"/>
        <v>24.93</v>
      </c>
      <c r="N696" s="2" t="e">
        <f ca="1"/>
        <v>#N/A</v>
      </c>
      <c r="O696" s="2" t="e">
        <f ca="1"/>
        <v>#N/A</v>
      </c>
      <c r="P696" s="2" t="e">
        <f ca="1"/>
        <v>#N/A</v>
      </c>
      <c r="Q696" s="33" t="e">
        <f ca="1"/>
        <v>#N/A</v>
      </c>
      <c r="R696" s="33" t="e">
        <f ca="1"/>
        <v>#N/A</v>
      </c>
    </row>
    <row r="697" spans="1:18" x14ac:dyDescent="0.2">
      <c r="A697" s="2">
        <v>696</v>
      </c>
      <c r="B697" s="65">
        <v>45733</v>
      </c>
      <c r="C697" s="70">
        <v>0.59696759259259258</v>
      </c>
      <c r="D697" s="66" t="s">
        <v>98</v>
      </c>
      <c r="G697" s="66" t="s">
        <v>121</v>
      </c>
      <c r="H697" s="66" t="s">
        <v>100</v>
      </c>
      <c r="I697" s="33" t="str">
        <f ca="1"/>
        <v>24,99</v>
      </c>
      <c r="J697" s="2">
        <v>697</v>
      </c>
      <c r="K697" s="2" t="str">
        <v>No Match</v>
      </c>
      <c r="M697" s="33">
        <f ca="1"/>
        <v>24.99</v>
      </c>
      <c r="N697" s="2" t="e">
        <f ca="1"/>
        <v>#N/A</v>
      </c>
      <c r="O697" s="2" t="e">
        <f ca="1"/>
        <v>#N/A</v>
      </c>
      <c r="P697" s="2" t="e">
        <f ca="1"/>
        <v>#N/A</v>
      </c>
      <c r="Q697" s="33" t="e">
        <f ca="1"/>
        <v>#N/A</v>
      </c>
      <c r="R697" s="33" t="e">
        <f ca="1"/>
        <v>#N/A</v>
      </c>
    </row>
    <row r="698" spans="1:18" x14ac:dyDescent="0.2">
      <c r="A698" s="2">
        <v>697</v>
      </c>
      <c r="B698" s="65">
        <v>45733</v>
      </c>
      <c r="C698" s="70">
        <v>0.59890046296296295</v>
      </c>
      <c r="D698" s="66" t="s">
        <v>98</v>
      </c>
      <c r="G698" s="66" t="s">
        <v>171</v>
      </c>
      <c r="H698" s="66" t="s">
        <v>100</v>
      </c>
      <c r="I698" s="33" t="str">
        <f ca="1"/>
        <v>24,75</v>
      </c>
      <c r="J698" s="2">
        <v>698</v>
      </c>
      <c r="K698" s="2" t="str">
        <v>No Match</v>
      </c>
      <c r="M698" s="33">
        <f ca="1"/>
        <v>24.75</v>
      </c>
      <c r="N698" s="2" t="e">
        <f ca="1"/>
        <v>#N/A</v>
      </c>
      <c r="O698" s="2" t="e">
        <f ca="1"/>
        <v>#N/A</v>
      </c>
      <c r="P698" s="2" t="e">
        <f ca="1"/>
        <v>#N/A</v>
      </c>
      <c r="Q698" s="33" t="e">
        <f ca="1"/>
        <v>#N/A</v>
      </c>
      <c r="R698" s="33" t="e">
        <f ca="1"/>
        <v>#N/A</v>
      </c>
    </row>
    <row r="699" spans="1:18" x14ac:dyDescent="0.2">
      <c r="A699" s="2">
        <v>698</v>
      </c>
      <c r="B699" s="65">
        <v>45733</v>
      </c>
      <c r="C699" s="70">
        <v>0.59984953703703703</v>
      </c>
      <c r="D699" s="66" t="s">
        <v>98</v>
      </c>
      <c r="G699" s="66" t="s">
        <v>158</v>
      </c>
      <c r="H699" s="66" t="s">
        <v>100</v>
      </c>
      <c r="I699" s="33" t="str">
        <f ca="1"/>
        <v>25,67</v>
      </c>
      <c r="J699" s="2">
        <v>699</v>
      </c>
      <c r="K699" s="2" t="str">
        <v>No Match</v>
      </c>
      <c r="M699" s="33">
        <f ca="1"/>
        <v>25.67</v>
      </c>
      <c r="N699" s="2" t="e">
        <f ca="1"/>
        <v>#N/A</v>
      </c>
      <c r="O699" s="2" t="e">
        <f ca="1"/>
        <v>#N/A</v>
      </c>
      <c r="P699" s="2" t="e">
        <f ca="1"/>
        <v>#N/A</v>
      </c>
      <c r="Q699" s="33" t="e">
        <f ca="1"/>
        <v>#N/A</v>
      </c>
      <c r="R699" s="33" t="e">
        <f ca="1"/>
        <v>#N/A</v>
      </c>
    </row>
    <row r="700" spans="1:18" x14ac:dyDescent="0.2">
      <c r="A700" s="2">
        <v>699</v>
      </c>
      <c r="B700" s="65">
        <v>45733</v>
      </c>
      <c r="C700" s="70">
        <v>0.60152777777777777</v>
      </c>
      <c r="D700" s="66" t="s">
        <v>98</v>
      </c>
      <c r="G700" s="66" t="s">
        <v>222</v>
      </c>
      <c r="H700" s="66" t="s">
        <v>100</v>
      </c>
      <c r="I700" s="33" t="str">
        <f ca="1"/>
        <v>25,82</v>
      </c>
      <c r="J700" s="2">
        <v>700</v>
      </c>
      <c r="K700" s="2" t="str">
        <v>No Match</v>
      </c>
      <c r="M700" s="33">
        <f ca="1"/>
        <v>25.82</v>
      </c>
      <c r="N700" s="2" t="e">
        <f ca="1"/>
        <v>#N/A</v>
      </c>
      <c r="O700" s="2" t="e">
        <f ca="1"/>
        <v>#N/A</v>
      </c>
      <c r="P700" s="2" t="e">
        <f ca="1"/>
        <v>#N/A</v>
      </c>
      <c r="Q700" s="33" t="e">
        <f ca="1"/>
        <v>#N/A</v>
      </c>
      <c r="R700" s="33" t="e">
        <f ca="1"/>
        <v>#N/A</v>
      </c>
    </row>
    <row r="701" spans="1:18" x14ac:dyDescent="0.2">
      <c r="A701" s="2">
        <v>700</v>
      </c>
      <c r="B701" s="65">
        <v>45733</v>
      </c>
      <c r="C701" s="70">
        <v>0.60296296296296292</v>
      </c>
      <c r="D701" s="66" t="s">
        <v>98</v>
      </c>
      <c r="G701" s="66" t="s">
        <v>211</v>
      </c>
      <c r="H701" s="66" t="s">
        <v>100</v>
      </c>
      <c r="I701" s="33" t="str">
        <f ca="1"/>
        <v>25,77</v>
      </c>
      <c r="J701" s="2">
        <v>701</v>
      </c>
      <c r="K701" s="2" t="str">
        <v>No Match</v>
      </c>
      <c r="M701" s="33">
        <f ca="1"/>
        <v>25.77</v>
      </c>
      <c r="N701" s="2">
        <f ca="1"/>
        <v>25</v>
      </c>
      <c r="O701" s="2">
        <f ca="1"/>
        <v>24.625</v>
      </c>
      <c r="P701" s="2">
        <f ca="1"/>
        <v>25.375</v>
      </c>
      <c r="Q701" s="33">
        <f ca="1"/>
        <v>25.336028571428574</v>
      </c>
      <c r="R701" s="33">
        <f ca="1"/>
        <v>25.213000000000001</v>
      </c>
    </row>
    <row r="702" spans="1:18" x14ac:dyDescent="0.2">
      <c r="A702" s="2">
        <v>701</v>
      </c>
      <c r="B702" s="65">
        <v>45733</v>
      </c>
      <c r="C702" s="70">
        <v>0.60561342592592593</v>
      </c>
      <c r="D702" s="66" t="s">
        <v>98</v>
      </c>
      <c r="G702" s="66" t="s">
        <v>222</v>
      </c>
      <c r="H702" s="66" t="s">
        <v>100</v>
      </c>
      <c r="I702" s="33" t="str">
        <f ca="1"/>
        <v>25,82</v>
      </c>
      <c r="J702" s="2">
        <v>702</v>
      </c>
      <c r="K702" s="2" t="str">
        <v>No Match</v>
      </c>
      <c r="M702" s="33">
        <f ca="1"/>
        <v>25.82</v>
      </c>
      <c r="N702" s="2" t="e">
        <f ca="1"/>
        <v>#N/A</v>
      </c>
      <c r="O702" s="2" t="e">
        <f ca="1"/>
        <v>#N/A</v>
      </c>
      <c r="P702" s="2" t="e">
        <f ca="1"/>
        <v>#N/A</v>
      </c>
      <c r="Q702" s="33" t="e">
        <f ca="1"/>
        <v>#N/A</v>
      </c>
      <c r="R702" s="33" t="e">
        <f ca="1"/>
        <v>#N/A</v>
      </c>
    </row>
    <row r="703" spans="1:18" x14ac:dyDescent="0.2">
      <c r="A703" s="2">
        <v>702</v>
      </c>
      <c r="B703" s="65">
        <v>45733</v>
      </c>
      <c r="C703" s="70">
        <v>0.60750000000000004</v>
      </c>
      <c r="D703" s="66" t="s">
        <v>98</v>
      </c>
      <c r="G703" s="66" t="s">
        <v>219</v>
      </c>
      <c r="H703" s="66" t="s">
        <v>100</v>
      </c>
      <c r="I703" s="33" t="str">
        <f ca="1"/>
        <v>25,89</v>
      </c>
      <c r="J703" s="2">
        <v>703</v>
      </c>
      <c r="K703" s="2" t="str">
        <v>No Match</v>
      </c>
      <c r="M703" s="33">
        <f ca="1"/>
        <v>25.89</v>
      </c>
      <c r="N703" s="2" t="e">
        <f ca="1"/>
        <v>#N/A</v>
      </c>
      <c r="O703" s="2" t="e">
        <f ca="1"/>
        <v>#N/A</v>
      </c>
      <c r="P703" s="2" t="e">
        <f ca="1"/>
        <v>#N/A</v>
      </c>
      <c r="Q703" s="33" t="e">
        <f ca="1"/>
        <v>#N/A</v>
      </c>
      <c r="R703" s="33" t="e">
        <f ca="1"/>
        <v>#N/A</v>
      </c>
    </row>
    <row r="704" spans="1:18" x14ac:dyDescent="0.2">
      <c r="A704" s="2">
        <v>703</v>
      </c>
      <c r="B704" s="65">
        <v>45733</v>
      </c>
      <c r="C704" s="70">
        <v>0.60827546296296298</v>
      </c>
      <c r="D704" s="66" t="s">
        <v>98</v>
      </c>
      <c r="G704" s="66" t="s">
        <v>251</v>
      </c>
      <c r="H704" s="66" t="s">
        <v>100</v>
      </c>
      <c r="I704" s="33" t="str">
        <f ca="1"/>
        <v>26,11</v>
      </c>
      <c r="J704" s="2">
        <v>704</v>
      </c>
      <c r="K704" s="2" t="str">
        <v>No Match</v>
      </c>
      <c r="M704" s="33">
        <f ca="1"/>
        <v>26.11</v>
      </c>
      <c r="N704" s="2" t="e">
        <f ca="1"/>
        <v>#N/A</v>
      </c>
      <c r="O704" s="2" t="e">
        <f ca="1"/>
        <v>#N/A</v>
      </c>
      <c r="P704" s="2" t="e">
        <f ca="1"/>
        <v>#N/A</v>
      </c>
      <c r="Q704" s="33" t="e">
        <f ca="1"/>
        <v>#N/A</v>
      </c>
      <c r="R704" s="33" t="e">
        <f ca="1"/>
        <v>#N/A</v>
      </c>
    </row>
    <row r="705" spans="1:18" x14ac:dyDescent="0.2">
      <c r="A705" s="2">
        <v>704</v>
      </c>
      <c r="B705" s="65">
        <v>45733</v>
      </c>
      <c r="C705" s="70">
        <v>0.6086111111111111</v>
      </c>
      <c r="D705" s="66" t="s">
        <v>98</v>
      </c>
      <c r="G705" s="66" t="s">
        <v>200</v>
      </c>
      <c r="H705" s="66" t="s">
        <v>100</v>
      </c>
      <c r="I705" s="33" t="str">
        <f ca="1"/>
        <v>25,21</v>
      </c>
      <c r="J705" s="2">
        <v>705</v>
      </c>
      <c r="K705" s="2" t="str">
        <v>No Match</v>
      </c>
      <c r="M705" s="33">
        <f ca="1"/>
        <v>25.21</v>
      </c>
      <c r="N705" s="2" t="e">
        <f ca="1"/>
        <v>#N/A</v>
      </c>
      <c r="O705" s="2" t="e">
        <f ca="1"/>
        <v>#N/A</v>
      </c>
      <c r="P705" s="2" t="e">
        <f ca="1"/>
        <v>#N/A</v>
      </c>
      <c r="Q705" s="33" t="e">
        <f ca="1"/>
        <v>#N/A</v>
      </c>
      <c r="R705" s="33" t="e">
        <f ca="1"/>
        <v>#N/A</v>
      </c>
    </row>
    <row r="706" spans="1:18" x14ac:dyDescent="0.2">
      <c r="A706" s="2">
        <v>705</v>
      </c>
      <c r="B706" s="65">
        <v>45733</v>
      </c>
      <c r="C706" s="70">
        <v>0.61</v>
      </c>
      <c r="D706" s="66" t="s">
        <v>98</v>
      </c>
      <c r="G706" s="66" t="s">
        <v>180</v>
      </c>
      <c r="H706" s="66" t="s">
        <v>100</v>
      </c>
      <c r="I706" s="33" t="str">
        <f ca="1"/>
        <v>25,04</v>
      </c>
      <c r="J706" s="2">
        <v>706</v>
      </c>
      <c r="K706" s="2" t="str">
        <v>No Match</v>
      </c>
      <c r="M706" s="33">
        <f ca="1"/>
        <v>25.04</v>
      </c>
      <c r="N706" s="2" t="e">
        <f ca="1"/>
        <v>#N/A</v>
      </c>
      <c r="O706" s="2" t="e">
        <f ca="1"/>
        <v>#N/A</v>
      </c>
      <c r="P706" s="2" t="e">
        <f ca="1"/>
        <v>#N/A</v>
      </c>
      <c r="Q706" s="33" t="e">
        <f ca="1"/>
        <v>#N/A</v>
      </c>
      <c r="R706" s="33" t="e">
        <f ca="1"/>
        <v>#N/A</v>
      </c>
    </row>
    <row r="707" spans="1:18" x14ac:dyDescent="0.2">
      <c r="A707" s="2">
        <v>706</v>
      </c>
      <c r="B707" s="65">
        <v>45733</v>
      </c>
      <c r="C707" s="70">
        <v>0.61079861111111111</v>
      </c>
      <c r="D707" s="66" t="s">
        <v>98</v>
      </c>
      <c r="G707" s="66" t="s">
        <v>120</v>
      </c>
      <c r="H707" s="66" t="s">
        <v>100</v>
      </c>
      <c r="I707" s="33" t="str">
        <f ca="1"/>
        <v>25,34</v>
      </c>
      <c r="J707" s="2">
        <v>707</v>
      </c>
      <c r="K707" s="2" t="str">
        <v>No Match</v>
      </c>
      <c r="M707" s="33">
        <f ca="1"/>
        <v>25.34</v>
      </c>
      <c r="N707" s="2" t="e">
        <f ca="1"/>
        <v>#N/A</v>
      </c>
      <c r="O707" s="2" t="e">
        <f ca="1"/>
        <v>#N/A</v>
      </c>
      <c r="P707" s="2" t="e">
        <f ca="1"/>
        <v>#N/A</v>
      </c>
      <c r="Q707" s="33" t="e">
        <f ca="1"/>
        <v>#N/A</v>
      </c>
      <c r="R707" s="33" t="e">
        <f ca="1"/>
        <v>#N/A</v>
      </c>
    </row>
    <row r="708" spans="1:18" x14ac:dyDescent="0.2">
      <c r="A708" s="2">
        <v>707</v>
      </c>
      <c r="B708" s="65">
        <v>45733</v>
      </c>
      <c r="C708" s="70">
        <v>0.61357638888888888</v>
      </c>
      <c r="D708" s="66" t="s">
        <v>98</v>
      </c>
      <c r="G708" s="66" t="s">
        <v>102</v>
      </c>
      <c r="H708" s="66" t="s">
        <v>100</v>
      </c>
      <c r="I708" s="33" t="str">
        <f ca="1"/>
        <v>25,06</v>
      </c>
      <c r="J708" s="2">
        <v>708</v>
      </c>
      <c r="K708" s="2" t="str">
        <v>No Match</v>
      </c>
      <c r="M708" s="33">
        <f ca="1"/>
        <v>25.06</v>
      </c>
      <c r="N708" s="2" t="e">
        <f ca="1"/>
        <v>#N/A</v>
      </c>
      <c r="O708" s="2" t="e">
        <f ca="1"/>
        <v>#N/A</v>
      </c>
      <c r="P708" s="2" t="e">
        <f ca="1"/>
        <v>#N/A</v>
      </c>
      <c r="Q708" s="33" t="e">
        <f ca="1"/>
        <v>#N/A</v>
      </c>
      <c r="R708" s="33" t="e">
        <f ca="1"/>
        <v>#N/A</v>
      </c>
    </row>
    <row r="709" spans="1:18" x14ac:dyDescent="0.2">
      <c r="A709" s="2">
        <v>708</v>
      </c>
      <c r="B709" s="65">
        <v>45733</v>
      </c>
      <c r="C709" s="70">
        <v>0.6157407407407407</v>
      </c>
      <c r="D709" s="66" t="s">
        <v>98</v>
      </c>
      <c r="G709" s="66" t="s">
        <v>147</v>
      </c>
      <c r="H709" s="66" t="s">
        <v>100</v>
      </c>
      <c r="I709" s="33" t="str">
        <f ca="1"/>
        <v>25,00</v>
      </c>
      <c r="J709" s="2">
        <v>709</v>
      </c>
      <c r="K709" s="2" t="str">
        <v>No Match</v>
      </c>
      <c r="M709" s="33">
        <f ca="1"/>
        <v>25</v>
      </c>
      <c r="N709" s="2" t="e">
        <f ca="1"/>
        <v>#N/A</v>
      </c>
      <c r="O709" s="2" t="e">
        <f ca="1"/>
        <v>#N/A</v>
      </c>
      <c r="P709" s="2" t="e">
        <f ca="1"/>
        <v>#N/A</v>
      </c>
      <c r="Q709" s="33" t="e">
        <f ca="1"/>
        <v>#N/A</v>
      </c>
      <c r="R709" s="33" t="e">
        <f ca="1"/>
        <v>#N/A</v>
      </c>
    </row>
    <row r="710" spans="1:18" x14ac:dyDescent="0.2">
      <c r="A710" s="2">
        <v>709</v>
      </c>
      <c r="B710" s="65">
        <v>45733</v>
      </c>
      <c r="C710" s="70">
        <v>0.61804398148148143</v>
      </c>
      <c r="D710" s="66" t="s">
        <v>98</v>
      </c>
      <c r="G710" s="66" t="s">
        <v>135</v>
      </c>
      <c r="H710" s="66" t="s">
        <v>100</v>
      </c>
      <c r="I710" s="33" t="str">
        <f ca="1"/>
        <v>25,15</v>
      </c>
      <c r="J710" s="2">
        <v>710</v>
      </c>
      <c r="K710" s="2" t="str">
        <v>No Match</v>
      </c>
      <c r="M710" s="33">
        <f ca="1"/>
        <v>25.15</v>
      </c>
      <c r="N710" s="2" t="e">
        <f ca="1"/>
        <v>#N/A</v>
      </c>
      <c r="O710" s="2" t="e">
        <f ca="1"/>
        <v>#N/A</v>
      </c>
      <c r="P710" s="2" t="e">
        <f ca="1"/>
        <v>#N/A</v>
      </c>
      <c r="Q710" s="33" t="e">
        <f ca="1"/>
        <v>#N/A</v>
      </c>
      <c r="R710" s="33" t="e">
        <f ca="1"/>
        <v>#N/A</v>
      </c>
    </row>
    <row r="711" spans="1:18" x14ac:dyDescent="0.2">
      <c r="A711" s="2">
        <v>710</v>
      </c>
      <c r="B711" s="65">
        <v>45733</v>
      </c>
      <c r="C711" s="70">
        <v>0.61861111111111111</v>
      </c>
      <c r="D711" s="66" t="s">
        <v>98</v>
      </c>
      <c r="G711" s="66" t="s">
        <v>208</v>
      </c>
      <c r="H711" s="66" t="s">
        <v>100</v>
      </c>
      <c r="I711" s="33" t="str">
        <f ca="1"/>
        <v>25,17</v>
      </c>
      <c r="J711" s="2">
        <v>711</v>
      </c>
      <c r="K711" s="2" t="str">
        <v>No Match</v>
      </c>
      <c r="M711" s="33">
        <f ca="1"/>
        <v>25.17</v>
      </c>
      <c r="N711" s="2">
        <f ca="1"/>
        <v>25</v>
      </c>
      <c r="O711" s="2">
        <f ca="1"/>
        <v>24.625</v>
      </c>
      <c r="P711" s="2">
        <f ca="1"/>
        <v>25.375</v>
      </c>
      <c r="Q711" s="33">
        <f ca="1"/>
        <v>25.336633802816905</v>
      </c>
      <c r="R711" s="33">
        <f ca="1"/>
        <v>25.379000000000001</v>
      </c>
    </row>
    <row r="712" spans="1:18" x14ac:dyDescent="0.2">
      <c r="A712" s="2">
        <v>711</v>
      </c>
      <c r="B712" s="65">
        <v>45733</v>
      </c>
      <c r="C712" s="70">
        <v>0.61951388888888892</v>
      </c>
      <c r="D712" s="66" t="s">
        <v>98</v>
      </c>
      <c r="G712" s="66" t="s">
        <v>124</v>
      </c>
      <c r="H712" s="66" t="s">
        <v>100</v>
      </c>
      <c r="I712" s="33" t="str">
        <f ca="1"/>
        <v>25,09</v>
      </c>
      <c r="J712" s="2">
        <v>712</v>
      </c>
      <c r="K712" s="2" t="str">
        <v>No Match</v>
      </c>
      <c r="M712" s="33">
        <f ca="1"/>
        <v>25.09</v>
      </c>
      <c r="N712" s="2" t="e">
        <f ca="1"/>
        <v>#N/A</v>
      </c>
      <c r="O712" s="2" t="e">
        <f ca="1"/>
        <v>#N/A</v>
      </c>
      <c r="P712" s="2" t="e">
        <f ca="1"/>
        <v>#N/A</v>
      </c>
      <c r="Q712" s="33" t="e">
        <f ca="1"/>
        <v>#N/A</v>
      </c>
      <c r="R712" s="33" t="e">
        <f ca="1"/>
        <v>#N/A</v>
      </c>
    </row>
    <row r="713" spans="1:18" x14ac:dyDescent="0.2">
      <c r="A713" s="2">
        <v>712</v>
      </c>
      <c r="B713" s="65">
        <v>45733</v>
      </c>
      <c r="C713" s="70">
        <v>0.62091435185185184</v>
      </c>
      <c r="D713" s="66" t="s">
        <v>98</v>
      </c>
      <c r="G713" s="66" t="s">
        <v>99</v>
      </c>
      <c r="H713" s="66" t="s">
        <v>100</v>
      </c>
      <c r="I713" s="33" t="str">
        <f ca="1"/>
        <v>25,16</v>
      </c>
      <c r="J713" s="2">
        <v>713</v>
      </c>
      <c r="K713" s="2" t="str">
        <v>No Match</v>
      </c>
      <c r="M713" s="33">
        <f ca="1"/>
        <v>25.16</v>
      </c>
      <c r="N713" s="2" t="e">
        <f ca="1"/>
        <v>#N/A</v>
      </c>
      <c r="O713" s="2" t="e">
        <f ca="1"/>
        <v>#N/A</v>
      </c>
      <c r="P713" s="2" t="e">
        <f ca="1"/>
        <v>#N/A</v>
      </c>
      <c r="Q713" s="33" t="e">
        <f ca="1"/>
        <v>#N/A</v>
      </c>
      <c r="R713" s="33" t="e">
        <f ca="1"/>
        <v>#N/A</v>
      </c>
    </row>
    <row r="714" spans="1:18" x14ac:dyDescent="0.2">
      <c r="A714" s="2">
        <v>713</v>
      </c>
      <c r="B714" s="65">
        <v>45733</v>
      </c>
      <c r="C714" s="70">
        <v>0.62269675925925927</v>
      </c>
      <c r="D714" s="66" t="s">
        <v>98</v>
      </c>
      <c r="G714" s="66" t="s">
        <v>200</v>
      </c>
      <c r="H714" s="66" t="s">
        <v>100</v>
      </c>
      <c r="I714" s="33" t="str">
        <f ca="1"/>
        <v>25,21</v>
      </c>
      <c r="J714" s="2">
        <v>714</v>
      </c>
      <c r="K714" s="2" t="str">
        <v>No Match</v>
      </c>
      <c r="M714" s="33">
        <f ca="1"/>
        <v>25.21</v>
      </c>
      <c r="N714" s="2" t="e">
        <f ca="1"/>
        <v>#N/A</v>
      </c>
      <c r="O714" s="2" t="e">
        <f ca="1"/>
        <v>#N/A</v>
      </c>
      <c r="P714" s="2" t="e">
        <f ca="1"/>
        <v>#N/A</v>
      </c>
      <c r="Q714" s="33" t="e">
        <f ca="1"/>
        <v>#N/A</v>
      </c>
      <c r="R714" s="33" t="e">
        <f ca="1"/>
        <v>#N/A</v>
      </c>
    </row>
    <row r="715" spans="1:18" x14ac:dyDescent="0.2">
      <c r="A715" s="2">
        <v>714</v>
      </c>
      <c r="B715" s="65">
        <v>45733</v>
      </c>
      <c r="C715" s="70">
        <v>0.62328703703703703</v>
      </c>
      <c r="D715" s="66" t="s">
        <v>98</v>
      </c>
      <c r="G715" s="66" t="s">
        <v>160</v>
      </c>
      <c r="H715" s="66" t="s">
        <v>100</v>
      </c>
      <c r="I715" s="33" t="str">
        <f ca="1"/>
        <v>25,14</v>
      </c>
      <c r="J715" s="2">
        <v>715</v>
      </c>
      <c r="K715" s="2" t="str">
        <v>No Match</v>
      </c>
      <c r="M715" s="33">
        <f ca="1"/>
        <v>25.14</v>
      </c>
      <c r="N715" s="2" t="e">
        <f ca="1"/>
        <v>#N/A</v>
      </c>
      <c r="O715" s="2" t="e">
        <f ca="1"/>
        <v>#N/A</v>
      </c>
      <c r="P715" s="2" t="e">
        <f ca="1"/>
        <v>#N/A</v>
      </c>
      <c r="Q715" s="33" t="e">
        <f ca="1"/>
        <v>#N/A</v>
      </c>
      <c r="R715" s="33" t="e">
        <f ca="1"/>
        <v>#N/A</v>
      </c>
    </row>
    <row r="716" spans="1:18" x14ac:dyDescent="0.2">
      <c r="A716" s="2">
        <v>715</v>
      </c>
      <c r="B716" s="65">
        <v>45733</v>
      </c>
      <c r="C716" s="70">
        <v>0.62418981481481484</v>
      </c>
      <c r="D716" s="66" t="s">
        <v>98</v>
      </c>
      <c r="G716" s="66" t="s">
        <v>102</v>
      </c>
      <c r="H716" s="66" t="s">
        <v>100</v>
      </c>
      <c r="I716" s="33" t="str">
        <f ca="1"/>
        <v>25,06</v>
      </c>
      <c r="J716" s="2">
        <v>716</v>
      </c>
      <c r="K716" s="2" t="str">
        <v>No Match</v>
      </c>
      <c r="M716" s="33">
        <f ca="1"/>
        <v>25.06</v>
      </c>
      <c r="N716" s="2" t="e">
        <f ca="1"/>
        <v>#N/A</v>
      </c>
      <c r="O716" s="2" t="e">
        <f ca="1"/>
        <v>#N/A</v>
      </c>
      <c r="P716" s="2" t="e">
        <f ca="1"/>
        <v>#N/A</v>
      </c>
      <c r="Q716" s="33" t="e">
        <f ca="1"/>
        <v>#N/A</v>
      </c>
      <c r="R716" s="33" t="e">
        <f ca="1"/>
        <v>#N/A</v>
      </c>
    </row>
    <row r="717" spans="1:18" x14ac:dyDescent="0.2">
      <c r="A717" s="2">
        <v>716</v>
      </c>
      <c r="B717" s="65">
        <v>45733</v>
      </c>
      <c r="C717" s="70">
        <v>0.62591435185185185</v>
      </c>
      <c r="D717" s="66" t="s">
        <v>98</v>
      </c>
      <c r="G717" s="66" t="s">
        <v>207</v>
      </c>
      <c r="H717" s="66" t="s">
        <v>100</v>
      </c>
      <c r="I717" s="33" t="str">
        <f ca="1"/>
        <v>25,07</v>
      </c>
      <c r="J717" s="2">
        <v>717</v>
      </c>
      <c r="K717" s="2" t="str">
        <v>No Match</v>
      </c>
      <c r="M717" s="33">
        <f ca="1"/>
        <v>25.07</v>
      </c>
      <c r="N717" s="2" t="e">
        <f ca="1"/>
        <v>#N/A</v>
      </c>
      <c r="O717" s="2" t="e">
        <f ca="1"/>
        <v>#N/A</v>
      </c>
      <c r="P717" s="2" t="e">
        <f ca="1"/>
        <v>#N/A</v>
      </c>
      <c r="Q717" s="33" t="e">
        <f ca="1"/>
        <v>#N/A</v>
      </c>
      <c r="R717" s="33" t="e">
        <f ca="1"/>
        <v>#N/A</v>
      </c>
    </row>
    <row r="718" spans="1:18" x14ac:dyDescent="0.2">
      <c r="A718" s="2">
        <v>717</v>
      </c>
      <c r="B718" s="65">
        <v>45733</v>
      </c>
      <c r="C718" s="70">
        <v>0.62701388888888887</v>
      </c>
      <c r="D718" s="66" t="s">
        <v>98</v>
      </c>
      <c r="G718" s="66" t="s">
        <v>204</v>
      </c>
      <c r="H718" s="66" t="s">
        <v>100</v>
      </c>
      <c r="I718" s="33" t="str">
        <f ca="1"/>
        <v>25,01</v>
      </c>
      <c r="J718" s="2">
        <v>718</v>
      </c>
      <c r="K718" s="2" t="str">
        <v>No Match</v>
      </c>
      <c r="M718" s="33">
        <f ca="1"/>
        <v>25.01</v>
      </c>
      <c r="N718" s="2" t="e">
        <f ca="1"/>
        <v>#N/A</v>
      </c>
      <c r="O718" s="2" t="e">
        <f ca="1"/>
        <v>#N/A</v>
      </c>
      <c r="P718" s="2" t="e">
        <f ca="1"/>
        <v>#N/A</v>
      </c>
      <c r="Q718" s="33" t="e">
        <f ca="1"/>
        <v>#N/A</v>
      </c>
      <c r="R718" s="33" t="e">
        <f ca="1"/>
        <v>#N/A</v>
      </c>
    </row>
    <row r="719" spans="1:18" x14ac:dyDescent="0.2">
      <c r="A719" s="2">
        <v>718</v>
      </c>
      <c r="B719" s="65">
        <v>45733</v>
      </c>
      <c r="C719" s="70">
        <v>0.6281944444444445</v>
      </c>
      <c r="D719" s="66" t="s">
        <v>98</v>
      </c>
      <c r="G719" s="66" t="s">
        <v>160</v>
      </c>
      <c r="H719" s="66" t="s">
        <v>100</v>
      </c>
      <c r="I719" s="33" t="str">
        <f ca="1"/>
        <v>25,14</v>
      </c>
      <c r="J719" s="2">
        <v>719</v>
      </c>
      <c r="K719" s="2" t="str">
        <v>No Match</v>
      </c>
      <c r="M719" s="33">
        <f ca="1"/>
        <v>25.14</v>
      </c>
      <c r="N719" s="2" t="e">
        <f ca="1"/>
        <v>#N/A</v>
      </c>
      <c r="O719" s="2" t="e">
        <f ca="1"/>
        <v>#N/A</v>
      </c>
      <c r="P719" s="2" t="e">
        <f ca="1"/>
        <v>#N/A</v>
      </c>
      <c r="Q719" s="33" t="e">
        <f ca="1"/>
        <v>#N/A</v>
      </c>
      <c r="R719" s="33" t="e">
        <f ca="1"/>
        <v>#N/A</v>
      </c>
    </row>
    <row r="720" spans="1:18" x14ac:dyDescent="0.2">
      <c r="A720" s="2">
        <v>719</v>
      </c>
      <c r="B720" s="65">
        <v>45733</v>
      </c>
      <c r="C720" s="70">
        <v>0.6322916666666667</v>
      </c>
      <c r="D720" s="66" t="s">
        <v>98</v>
      </c>
      <c r="G720" s="66" t="s">
        <v>186</v>
      </c>
      <c r="H720" s="66" t="s">
        <v>100</v>
      </c>
      <c r="I720" s="33" t="str">
        <f ca="1"/>
        <v>24,89</v>
      </c>
      <c r="J720" s="2">
        <v>720</v>
      </c>
      <c r="K720" s="2" t="str">
        <v>No Match</v>
      </c>
      <c r="M720" s="33">
        <f ca="1"/>
        <v>24.89</v>
      </c>
      <c r="N720" s="2" t="e">
        <f ca="1"/>
        <v>#N/A</v>
      </c>
      <c r="O720" s="2" t="e">
        <f ca="1"/>
        <v>#N/A</v>
      </c>
      <c r="P720" s="2" t="e">
        <f ca="1"/>
        <v>#N/A</v>
      </c>
      <c r="Q720" s="33" t="e">
        <f ca="1"/>
        <v>#N/A</v>
      </c>
      <c r="R720" s="33" t="e">
        <f ca="1"/>
        <v>#N/A</v>
      </c>
    </row>
    <row r="721" spans="1:18" x14ac:dyDescent="0.2">
      <c r="A721" s="2">
        <v>720</v>
      </c>
      <c r="B721" s="65">
        <v>45733</v>
      </c>
      <c r="C721" s="70">
        <v>0.63240740740740742</v>
      </c>
      <c r="D721" s="66" t="s">
        <v>98</v>
      </c>
      <c r="G721" s="66" t="s">
        <v>224</v>
      </c>
      <c r="H721" s="66" t="s">
        <v>100</v>
      </c>
      <c r="I721" s="33" t="str">
        <f ca="1"/>
        <v>24,90</v>
      </c>
      <c r="J721" s="2">
        <v>721</v>
      </c>
      <c r="K721" s="2" t="str">
        <v>No Match</v>
      </c>
      <c r="M721" s="33">
        <f ca="1"/>
        <v>24.9</v>
      </c>
      <c r="N721" s="2">
        <f ca="1"/>
        <v>25</v>
      </c>
      <c r="O721" s="2">
        <f ca="1"/>
        <v>24.625</v>
      </c>
      <c r="P721" s="2">
        <f ca="1"/>
        <v>25.375</v>
      </c>
      <c r="Q721" s="33">
        <f ca="1"/>
        <v>25.332888888888888</v>
      </c>
      <c r="R721" s="33">
        <f ca="1"/>
        <v>25.067</v>
      </c>
    </row>
    <row r="722" spans="1:18" x14ac:dyDescent="0.2">
      <c r="A722" s="2">
        <v>721</v>
      </c>
      <c r="B722" s="65">
        <v>45733</v>
      </c>
      <c r="C722" s="70">
        <v>0.63285879629629627</v>
      </c>
      <c r="D722" s="66" t="s">
        <v>98</v>
      </c>
      <c r="G722" s="66" t="s">
        <v>227</v>
      </c>
      <c r="H722" s="66" t="s">
        <v>100</v>
      </c>
      <c r="I722" s="33" t="str">
        <f ca="1"/>
        <v>24,70</v>
      </c>
      <c r="J722" s="2">
        <v>722</v>
      </c>
      <c r="K722" s="2" t="str">
        <v>No Match</v>
      </c>
      <c r="M722" s="33">
        <f ca="1"/>
        <v>24.7</v>
      </c>
      <c r="N722" s="2" t="e">
        <f ca="1"/>
        <v>#N/A</v>
      </c>
      <c r="O722" s="2" t="e">
        <f ca="1"/>
        <v>#N/A</v>
      </c>
      <c r="P722" s="2" t="e">
        <f ca="1"/>
        <v>#N/A</v>
      </c>
      <c r="Q722" s="33" t="e">
        <f ca="1"/>
        <v>#N/A</v>
      </c>
      <c r="R722" s="33" t="e">
        <f ca="1"/>
        <v>#N/A</v>
      </c>
    </row>
    <row r="723" spans="1:18" x14ac:dyDescent="0.2">
      <c r="A723" s="2">
        <v>722</v>
      </c>
      <c r="B723" s="65">
        <v>45733</v>
      </c>
      <c r="C723" s="70">
        <v>0.63314814814814813</v>
      </c>
      <c r="D723" s="66" t="s">
        <v>98</v>
      </c>
      <c r="G723" s="66" t="s">
        <v>201</v>
      </c>
      <c r="H723" s="66" t="s">
        <v>100</v>
      </c>
      <c r="I723" s="33" t="str">
        <f ca="1"/>
        <v>25,02</v>
      </c>
      <c r="J723" s="2">
        <v>723</v>
      </c>
      <c r="K723" s="2" t="str">
        <v>No Match</v>
      </c>
      <c r="M723" s="33">
        <f ca="1"/>
        <v>25.02</v>
      </c>
      <c r="N723" s="2" t="e">
        <f ca="1"/>
        <v>#N/A</v>
      </c>
      <c r="O723" s="2" t="e">
        <f ca="1"/>
        <v>#N/A</v>
      </c>
      <c r="P723" s="2" t="e">
        <f ca="1"/>
        <v>#N/A</v>
      </c>
      <c r="Q723" s="33" t="e">
        <f ca="1"/>
        <v>#N/A</v>
      </c>
      <c r="R723" s="33" t="e">
        <f ca="1"/>
        <v>#N/A</v>
      </c>
    </row>
    <row r="724" spans="1:18" x14ac:dyDescent="0.2">
      <c r="A724" s="2">
        <v>723</v>
      </c>
      <c r="B724" s="65">
        <v>45733</v>
      </c>
      <c r="C724" s="70">
        <v>0.63512731481481477</v>
      </c>
      <c r="D724" s="66" t="s">
        <v>98</v>
      </c>
      <c r="G724" s="66" t="s">
        <v>113</v>
      </c>
      <c r="H724" s="66" t="s">
        <v>100</v>
      </c>
      <c r="I724" s="33" t="str">
        <f ca="1"/>
        <v>24,98</v>
      </c>
      <c r="J724" s="2">
        <v>724</v>
      </c>
      <c r="K724" s="2" t="str">
        <v>No Match</v>
      </c>
      <c r="M724" s="33">
        <f ca="1"/>
        <v>24.98</v>
      </c>
      <c r="N724" s="2" t="e">
        <f ca="1"/>
        <v>#N/A</v>
      </c>
      <c r="O724" s="2" t="e">
        <f ca="1"/>
        <v>#N/A</v>
      </c>
      <c r="P724" s="2" t="e">
        <f ca="1"/>
        <v>#N/A</v>
      </c>
      <c r="Q724" s="33" t="e">
        <f ca="1"/>
        <v>#N/A</v>
      </c>
      <c r="R724" s="33" t="e">
        <f ca="1"/>
        <v>#N/A</v>
      </c>
    </row>
    <row r="725" spans="1:18" x14ac:dyDescent="0.2">
      <c r="A725" s="2">
        <v>724</v>
      </c>
      <c r="B725" s="65">
        <v>45733</v>
      </c>
      <c r="C725" s="70">
        <v>0.63666666666666671</v>
      </c>
      <c r="D725" s="66" t="s">
        <v>98</v>
      </c>
      <c r="G725" s="66" t="s">
        <v>209</v>
      </c>
      <c r="H725" s="66" t="s">
        <v>100</v>
      </c>
      <c r="I725" s="33" t="str">
        <f ca="1"/>
        <v>24,95</v>
      </c>
      <c r="J725" s="2">
        <v>725</v>
      </c>
      <c r="K725" s="2" t="str">
        <v>No Match</v>
      </c>
      <c r="M725" s="33">
        <f ca="1"/>
        <v>24.95</v>
      </c>
      <c r="N725" s="2" t="e">
        <f ca="1"/>
        <v>#N/A</v>
      </c>
      <c r="O725" s="2" t="e">
        <f ca="1"/>
        <v>#N/A</v>
      </c>
      <c r="P725" s="2" t="e">
        <f ca="1"/>
        <v>#N/A</v>
      </c>
      <c r="Q725" s="33" t="e">
        <f ca="1"/>
        <v>#N/A</v>
      </c>
      <c r="R725" s="33" t="e">
        <f ca="1"/>
        <v>#N/A</v>
      </c>
    </row>
    <row r="726" spans="1:18" x14ac:dyDescent="0.2">
      <c r="A726" s="2">
        <v>725</v>
      </c>
      <c r="B726" s="65">
        <v>45733</v>
      </c>
      <c r="C726" s="70">
        <v>0.63699074074074069</v>
      </c>
      <c r="D726" s="66" t="s">
        <v>98</v>
      </c>
      <c r="G726" s="66" t="s">
        <v>147</v>
      </c>
      <c r="H726" s="66" t="s">
        <v>100</v>
      </c>
      <c r="I726" s="33" t="str">
        <f ca="1"/>
        <v>25,00</v>
      </c>
      <c r="J726" s="2">
        <v>726</v>
      </c>
      <c r="K726" s="2" t="str">
        <v>No Match</v>
      </c>
      <c r="M726" s="33">
        <f ca="1"/>
        <v>25</v>
      </c>
      <c r="N726" s="2" t="e">
        <f ca="1"/>
        <v>#N/A</v>
      </c>
      <c r="O726" s="2" t="e">
        <f ca="1"/>
        <v>#N/A</v>
      </c>
      <c r="P726" s="2" t="e">
        <f ca="1"/>
        <v>#N/A</v>
      </c>
      <c r="Q726" s="33" t="e">
        <f ca="1"/>
        <v>#N/A</v>
      </c>
      <c r="R726" s="33" t="e">
        <f ca="1"/>
        <v>#N/A</v>
      </c>
    </row>
    <row r="727" spans="1:18" x14ac:dyDescent="0.2">
      <c r="A727" s="2">
        <v>726</v>
      </c>
      <c r="B727" s="65">
        <v>45733</v>
      </c>
      <c r="C727" s="70">
        <v>0.63893518518518522</v>
      </c>
      <c r="D727" s="66" t="s">
        <v>98</v>
      </c>
      <c r="G727" s="66" t="s">
        <v>101</v>
      </c>
      <c r="H727" s="66" t="s">
        <v>100</v>
      </c>
      <c r="I727" s="33" t="str">
        <f ca="1"/>
        <v>25,64</v>
      </c>
      <c r="J727" s="2">
        <v>727</v>
      </c>
      <c r="K727" s="2" t="str">
        <v>No Match</v>
      </c>
      <c r="M727" s="33">
        <f ca="1"/>
        <v>25.64</v>
      </c>
      <c r="N727" s="2" t="e">
        <f ca="1"/>
        <v>#N/A</v>
      </c>
      <c r="O727" s="2" t="e">
        <f ca="1"/>
        <v>#N/A</v>
      </c>
      <c r="P727" s="2" t="e">
        <f ca="1"/>
        <v>#N/A</v>
      </c>
      <c r="Q727" s="33" t="e">
        <f ca="1"/>
        <v>#N/A</v>
      </c>
      <c r="R727" s="33" t="e">
        <f ca="1"/>
        <v>#N/A</v>
      </c>
    </row>
    <row r="728" spans="1:18" x14ac:dyDescent="0.2">
      <c r="A728" s="2">
        <v>727</v>
      </c>
      <c r="B728" s="65">
        <v>45733</v>
      </c>
      <c r="C728" s="70">
        <v>0.64386574074074077</v>
      </c>
      <c r="D728" s="66" t="s">
        <v>98</v>
      </c>
      <c r="G728" s="66" t="s">
        <v>156</v>
      </c>
      <c r="H728" s="66" t="s">
        <v>100</v>
      </c>
      <c r="I728" s="33" t="str">
        <f ca="1"/>
        <v>25,83</v>
      </c>
      <c r="J728" s="2">
        <v>728</v>
      </c>
      <c r="K728" s="2" t="str">
        <v>No Match</v>
      </c>
      <c r="M728" s="33">
        <f ca="1"/>
        <v>25.83</v>
      </c>
      <c r="N728" s="2" t="e">
        <f ca="1"/>
        <v>#N/A</v>
      </c>
      <c r="O728" s="2" t="e">
        <f ca="1"/>
        <v>#N/A</v>
      </c>
      <c r="P728" s="2" t="e">
        <f ca="1"/>
        <v>#N/A</v>
      </c>
      <c r="Q728" s="33" t="e">
        <f ca="1"/>
        <v>#N/A</v>
      </c>
      <c r="R728" s="33" t="e">
        <f ca="1"/>
        <v>#N/A</v>
      </c>
    </row>
    <row r="729" spans="1:18" x14ac:dyDescent="0.2">
      <c r="A729" s="2">
        <v>728</v>
      </c>
      <c r="B729" s="65">
        <v>45733</v>
      </c>
      <c r="C729" s="70">
        <v>0.64409722222222221</v>
      </c>
      <c r="D729" s="66" t="s">
        <v>98</v>
      </c>
      <c r="G729" s="66" t="s">
        <v>101</v>
      </c>
      <c r="H729" s="66" t="s">
        <v>100</v>
      </c>
      <c r="I729" s="33" t="str">
        <f ca="1"/>
        <v>25,64</v>
      </c>
      <c r="J729" s="2">
        <v>729</v>
      </c>
      <c r="K729" s="2" t="str">
        <v>No Match</v>
      </c>
      <c r="M729" s="33">
        <f ca="1"/>
        <v>25.64</v>
      </c>
      <c r="N729" s="2" t="e">
        <f ca="1"/>
        <v>#N/A</v>
      </c>
      <c r="O729" s="2" t="e">
        <f ca="1"/>
        <v>#N/A</v>
      </c>
      <c r="P729" s="2" t="e">
        <f ca="1"/>
        <v>#N/A</v>
      </c>
      <c r="Q729" s="33" t="e">
        <f ca="1"/>
        <v>#N/A</v>
      </c>
      <c r="R729" s="33" t="e">
        <f ca="1"/>
        <v>#N/A</v>
      </c>
    </row>
    <row r="730" spans="1:18" x14ac:dyDescent="0.2">
      <c r="A730" s="2">
        <v>729</v>
      </c>
      <c r="B730" s="65">
        <v>45733</v>
      </c>
      <c r="C730" s="70">
        <v>0.64516203703703701</v>
      </c>
      <c r="D730" s="66" t="s">
        <v>98</v>
      </c>
      <c r="G730" s="66" t="s">
        <v>114</v>
      </c>
      <c r="H730" s="66" t="s">
        <v>100</v>
      </c>
      <c r="I730" s="33" t="str">
        <f ca="1"/>
        <v>25,70</v>
      </c>
      <c r="J730" s="2">
        <v>730</v>
      </c>
      <c r="K730" s="2" t="str">
        <v>No Match</v>
      </c>
      <c r="M730" s="33">
        <f ca="1"/>
        <v>25.7</v>
      </c>
      <c r="N730" s="2" t="e">
        <f ca="1"/>
        <v>#N/A</v>
      </c>
      <c r="O730" s="2" t="e">
        <f ca="1"/>
        <v>#N/A</v>
      </c>
      <c r="P730" s="2" t="e">
        <f ca="1"/>
        <v>#N/A</v>
      </c>
      <c r="Q730" s="33" t="e">
        <f ca="1"/>
        <v>#N/A</v>
      </c>
      <c r="R730" s="33" t="e">
        <f ca="1"/>
        <v>#N/A</v>
      </c>
    </row>
    <row r="731" spans="1:18" x14ac:dyDescent="0.2">
      <c r="A731" s="2">
        <v>730</v>
      </c>
      <c r="B731" s="65">
        <v>45733</v>
      </c>
      <c r="C731" s="70">
        <v>0.64560185185185182</v>
      </c>
      <c r="D731" s="66" t="s">
        <v>98</v>
      </c>
      <c r="G731" s="66" t="s">
        <v>157</v>
      </c>
      <c r="H731" s="66" t="s">
        <v>100</v>
      </c>
      <c r="I731" s="33" t="str">
        <f ca="1"/>
        <v>25,72</v>
      </c>
      <c r="J731" s="2">
        <v>731</v>
      </c>
      <c r="K731" s="2" t="str">
        <v>No Match</v>
      </c>
      <c r="M731" s="33">
        <f ca="1"/>
        <v>25.72</v>
      </c>
      <c r="N731" s="2">
        <f ca="1"/>
        <v>25</v>
      </c>
      <c r="O731" s="2">
        <f ca="1"/>
        <v>24.625</v>
      </c>
      <c r="P731" s="2">
        <f ca="1"/>
        <v>25.375</v>
      </c>
      <c r="Q731" s="33">
        <f ca="1"/>
        <v>25.332684931506854</v>
      </c>
      <c r="R731" s="33">
        <f ca="1"/>
        <v>25.317999999999998</v>
      </c>
    </row>
    <row r="732" spans="1:18" x14ac:dyDescent="0.2">
      <c r="A732" s="2">
        <v>731</v>
      </c>
      <c r="B732" s="65">
        <v>45733</v>
      </c>
      <c r="C732" s="70">
        <v>0.64746527777777774</v>
      </c>
      <c r="D732" s="66" t="s">
        <v>98</v>
      </c>
      <c r="G732" s="66" t="s">
        <v>168</v>
      </c>
      <c r="H732" s="66" t="s">
        <v>100</v>
      </c>
      <c r="I732" s="33" t="str">
        <f ca="1"/>
        <v>25,59</v>
      </c>
      <c r="J732" s="2">
        <v>732</v>
      </c>
      <c r="K732" s="2" t="str">
        <v>No Match</v>
      </c>
      <c r="M732" s="33">
        <f ca="1"/>
        <v>25.59</v>
      </c>
      <c r="N732" s="2" t="e">
        <f ca="1"/>
        <v>#N/A</v>
      </c>
      <c r="O732" s="2" t="e">
        <f ca="1"/>
        <v>#N/A</v>
      </c>
      <c r="P732" s="2" t="e">
        <f ca="1"/>
        <v>#N/A</v>
      </c>
      <c r="Q732" s="33" t="e">
        <f ca="1"/>
        <v>#N/A</v>
      </c>
      <c r="R732" s="33" t="e">
        <f ca="1"/>
        <v>#N/A</v>
      </c>
    </row>
    <row r="733" spans="1:18" x14ac:dyDescent="0.2">
      <c r="A733" s="2">
        <v>732</v>
      </c>
      <c r="B733" s="65">
        <v>45733</v>
      </c>
      <c r="C733" s="70">
        <v>0.647974537037037</v>
      </c>
      <c r="D733" s="66" t="s">
        <v>98</v>
      </c>
      <c r="G733" s="66" t="s">
        <v>141</v>
      </c>
      <c r="H733" s="66" t="s">
        <v>100</v>
      </c>
      <c r="I733" s="33" t="str">
        <f ca="1"/>
        <v>25,50</v>
      </c>
      <c r="J733" s="2">
        <v>733</v>
      </c>
      <c r="K733" s="2" t="str">
        <v>No Match</v>
      </c>
      <c r="M733" s="33">
        <f ca="1"/>
        <v>25.5</v>
      </c>
      <c r="N733" s="2" t="e">
        <f ca="1"/>
        <v>#N/A</v>
      </c>
      <c r="O733" s="2" t="e">
        <f ca="1"/>
        <v>#N/A</v>
      </c>
      <c r="P733" s="2" t="e">
        <f ca="1"/>
        <v>#N/A</v>
      </c>
      <c r="Q733" s="33" t="e">
        <f ca="1"/>
        <v>#N/A</v>
      </c>
      <c r="R733" s="33" t="e">
        <f ca="1"/>
        <v>#N/A</v>
      </c>
    </row>
    <row r="734" spans="1:18" x14ac:dyDescent="0.2">
      <c r="A734" s="2">
        <v>733</v>
      </c>
      <c r="B734" s="65">
        <v>45733</v>
      </c>
      <c r="C734" s="70">
        <v>0.64879629629629632</v>
      </c>
      <c r="D734" s="66" t="s">
        <v>98</v>
      </c>
      <c r="G734" s="66" t="s">
        <v>155</v>
      </c>
      <c r="H734" s="66" t="s">
        <v>100</v>
      </c>
      <c r="I734" s="33" t="str">
        <f ca="1"/>
        <v>25,49</v>
      </c>
      <c r="J734" s="2">
        <v>734</v>
      </c>
      <c r="K734" s="2" t="str">
        <v>No Match</v>
      </c>
      <c r="M734" s="33">
        <f ca="1"/>
        <v>25.49</v>
      </c>
      <c r="N734" s="2" t="e">
        <f ca="1"/>
        <v>#N/A</v>
      </c>
      <c r="O734" s="2" t="e">
        <f ca="1"/>
        <v>#N/A</v>
      </c>
      <c r="P734" s="2" t="e">
        <f ca="1"/>
        <v>#N/A</v>
      </c>
      <c r="Q734" s="33" t="e">
        <f ca="1"/>
        <v>#N/A</v>
      </c>
      <c r="R734" s="33" t="e">
        <f ca="1"/>
        <v>#N/A</v>
      </c>
    </row>
    <row r="735" spans="1:18" x14ac:dyDescent="0.2">
      <c r="A735" s="2">
        <v>734</v>
      </c>
      <c r="B735" s="65">
        <v>45733</v>
      </c>
      <c r="C735" s="70">
        <v>0.65023148148148147</v>
      </c>
      <c r="D735" s="66" t="s">
        <v>98</v>
      </c>
      <c r="G735" s="66" t="s">
        <v>146</v>
      </c>
      <c r="H735" s="66" t="s">
        <v>100</v>
      </c>
      <c r="I735" s="33" t="str">
        <f ca="1"/>
        <v>25,37</v>
      </c>
      <c r="J735" s="2">
        <v>735</v>
      </c>
      <c r="K735" s="2" t="str">
        <v>No Match</v>
      </c>
      <c r="M735" s="33">
        <f ca="1"/>
        <v>25.37</v>
      </c>
      <c r="N735" s="2" t="e">
        <f ca="1"/>
        <v>#N/A</v>
      </c>
      <c r="O735" s="2" t="e">
        <f ca="1"/>
        <v>#N/A</v>
      </c>
      <c r="P735" s="2" t="e">
        <f ca="1"/>
        <v>#N/A</v>
      </c>
      <c r="Q735" s="33" t="e">
        <f ca="1"/>
        <v>#N/A</v>
      </c>
      <c r="R735" s="33" t="e">
        <f ca="1"/>
        <v>#N/A</v>
      </c>
    </row>
    <row r="736" spans="1:18" x14ac:dyDescent="0.2">
      <c r="A736" s="2">
        <v>735</v>
      </c>
      <c r="B736" s="65">
        <v>45733</v>
      </c>
      <c r="C736" s="70">
        <v>0.65460648148148148</v>
      </c>
      <c r="D736" s="66" t="s">
        <v>98</v>
      </c>
      <c r="G736" s="66" t="s">
        <v>120</v>
      </c>
      <c r="H736" s="66" t="s">
        <v>100</v>
      </c>
      <c r="I736" s="33" t="str">
        <f ca="1"/>
        <v>25,34</v>
      </c>
      <c r="J736" s="2">
        <v>736</v>
      </c>
      <c r="K736" s="2" t="str">
        <v>No Match</v>
      </c>
      <c r="M736" s="33">
        <f ca="1"/>
        <v>25.34</v>
      </c>
      <c r="N736" s="2" t="e">
        <f ca="1"/>
        <v>#N/A</v>
      </c>
      <c r="O736" s="2" t="e">
        <f ca="1"/>
        <v>#N/A</v>
      </c>
      <c r="P736" s="2" t="e">
        <f ca="1"/>
        <v>#N/A</v>
      </c>
      <c r="Q736" s="33" t="e">
        <f ca="1"/>
        <v>#N/A</v>
      </c>
      <c r="R736" s="33" t="e">
        <f ca="1"/>
        <v>#N/A</v>
      </c>
    </row>
    <row r="737" spans="1:18" x14ac:dyDescent="0.2">
      <c r="A737" s="2">
        <v>736</v>
      </c>
      <c r="B737" s="65">
        <v>45733</v>
      </c>
      <c r="C737" s="70">
        <v>0.6548842592592593</v>
      </c>
      <c r="D737" s="66" t="s">
        <v>98</v>
      </c>
      <c r="G737" s="66" t="s">
        <v>168</v>
      </c>
      <c r="H737" s="66" t="s">
        <v>100</v>
      </c>
      <c r="I737" s="33" t="str">
        <f ca="1"/>
        <v>25,59</v>
      </c>
      <c r="J737" s="2">
        <v>737</v>
      </c>
      <c r="K737" s="2" t="str">
        <v>No Match</v>
      </c>
      <c r="M737" s="33">
        <f ca="1"/>
        <v>25.59</v>
      </c>
      <c r="N737" s="2" t="e">
        <f ca="1"/>
        <v>#N/A</v>
      </c>
      <c r="O737" s="2" t="e">
        <f ca="1"/>
        <v>#N/A</v>
      </c>
      <c r="P737" s="2" t="e">
        <f ca="1"/>
        <v>#N/A</v>
      </c>
      <c r="Q737" s="33" t="e">
        <f ca="1"/>
        <v>#N/A</v>
      </c>
      <c r="R737" s="33" t="e">
        <f ca="1"/>
        <v>#N/A</v>
      </c>
    </row>
    <row r="738" spans="1:18" x14ac:dyDescent="0.2">
      <c r="A738" s="2">
        <v>737</v>
      </c>
      <c r="B738" s="65">
        <v>45733</v>
      </c>
      <c r="C738" s="70">
        <v>0.65555555555555556</v>
      </c>
      <c r="D738" s="66" t="s">
        <v>98</v>
      </c>
      <c r="G738" s="66" t="s">
        <v>143</v>
      </c>
      <c r="H738" s="66" t="s">
        <v>100</v>
      </c>
      <c r="I738" s="33" t="str">
        <f ca="1"/>
        <v>25,53</v>
      </c>
      <c r="J738" s="2">
        <v>738</v>
      </c>
      <c r="K738" s="2" t="str">
        <v>No Match</v>
      </c>
      <c r="M738" s="33">
        <f ca="1"/>
        <v>25.53</v>
      </c>
      <c r="N738" s="2" t="e">
        <f ca="1"/>
        <v>#N/A</v>
      </c>
      <c r="O738" s="2" t="e">
        <f ca="1"/>
        <v>#N/A</v>
      </c>
      <c r="P738" s="2" t="e">
        <f ca="1"/>
        <v>#N/A</v>
      </c>
      <c r="Q738" s="33" t="e">
        <f ca="1"/>
        <v>#N/A</v>
      </c>
      <c r="R738" s="33" t="e">
        <f ca="1"/>
        <v>#N/A</v>
      </c>
    </row>
    <row r="739" spans="1:18" x14ac:dyDescent="0.2">
      <c r="A739" s="2">
        <v>738</v>
      </c>
      <c r="B739" s="65">
        <v>45733</v>
      </c>
      <c r="C739" s="70">
        <v>0.65650462962962963</v>
      </c>
      <c r="D739" s="66" t="s">
        <v>98</v>
      </c>
      <c r="G739" s="66" t="s">
        <v>165</v>
      </c>
      <c r="H739" s="66" t="s">
        <v>100</v>
      </c>
      <c r="I739" s="33" t="str">
        <f ca="1"/>
        <v>25,42</v>
      </c>
      <c r="J739" s="2">
        <v>739</v>
      </c>
      <c r="K739" s="2" t="str">
        <v>No Match</v>
      </c>
      <c r="M739" s="33">
        <f ca="1"/>
        <v>25.42</v>
      </c>
      <c r="N739" s="2" t="e">
        <f ca="1"/>
        <v>#N/A</v>
      </c>
      <c r="O739" s="2" t="e">
        <f ca="1"/>
        <v>#N/A</v>
      </c>
      <c r="P739" s="2" t="e">
        <f ca="1"/>
        <v>#N/A</v>
      </c>
      <c r="Q739" s="33" t="e">
        <f ca="1"/>
        <v>#N/A</v>
      </c>
      <c r="R739" s="33" t="e">
        <f ca="1"/>
        <v>#N/A</v>
      </c>
    </row>
    <row r="740" spans="1:18" x14ac:dyDescent="0.2">
      <c r="A740" s="2">
        <v>739</v>
      </c>
      <c r="B740" s="65">
        <v>45733</v>
      </c>
      <c r="C740" s="70">
        <v>0.65746527777777775</v>
      </c>
      <c r="D740" s="66" t="s">
        <v>98</v>
      </c>
      <c r="G740" s="66" t="s">
        <v>120</v>
      </c>
      <c r="H740" s="66" t="s">
        <v>100</v>
      </c>
      <c r="I740" s="33" t="str">
        <f ca="1"/>
        <v>25,34</v>
      </c>
      <c r="J740" s="2">
        <v>740</v>
      </c>
      <c r="K740" s="2" t="str">
        <v>No Match</v>
      </c>
      <c r="M740" s="33">
        <f ca="1"/>
        <v>25.34</v>
      </c>
      <c r="N740" s="2" t="e">
        <f ca="1"/>
        <v>#N/A</v>
      </c>
      <c r="O740" s="2" t="e">
        <f ca="1"/>
        <v>#N/A</v>
      </c>
      <c r="P740" s="2" t="e">
        <f ca="1"/>
        <v>#N/A</v>
      </c>
      <c r="Q740" s="33" t="e">
        <f ca="1"/>
        <v>#N/A</v>
      </c>
      <c r="R740" s="33" t="e">
        <f ca="1"/>
        <v>#N/A</v>
      </c>
    </row>
    <row r="741" spans="1:18" x14ac:dyDescent="0.2">
      <c r="A741" s="2">
        <v>740</v>
      </c>
      <c r="B741" s="65">
        <v>45733</v>
      </c>
      <c r="C741" s="70">
        <v>0.65918981481481487</v>
      </c>
      <c r="D741" s="66" t="s">
        <v>98</v>
      </c>
      <c r="G741" s="66" t="s">
        <v>165</v>
      </c>
      <c r="H741" s="66" t="s">
        <v>100</v>
      </c>
      <c r="I741" s="33" t="str">
        <f ca="1"/>
        <v>25,42</v>
      </c>
      <c r="J741" s="2">
        <v>741</v>
      </c>
      <c r="K741" s="2" t="str">
        <v>No Match</v>
      </c>
      <c r="M741" s="33">
        <f ca="1"/>
        <v>25.42</v>
      </c>
      <c r="N741" s="2">
        <f ca="1"/>
        <v>25</v>
      </c>
      <c r="O741" s="2">
        <f ca="1"/>
        <v>24.625</v>
      </c>
      <c r="P741" s="2">
        <f ca="1"/>
        <v>25.375</v>
      </c>
      <c r="Q741" s="33">
        <f ca="1"/>
        <v>25.334391891891894</v>
      </c>
      <c r="R741" s="33">
        <f ca="1"/>
        <v>25.458999999999996</v>
      </c>
    </row>
    <row r="742" spans="1:18" x14ac:dyDescent="0.2">
      <c r="A742" s="2">
        <v>741</v>
      </c>
      <c r="B742" s="65">
        <v>45733</v>
      </c>
      <c r="C742" s="70">
        <v>0.66089120370370369</v>
      </c>
      <c r="D742" s="66" t="s">
        <v>98</v>
      </c>
      <c r="G742" s="66" t="s">
        <v>164</v>
      </c>
      <c r="H742" s="66" t="s">
        <v>100</v>
      </c>
      <c r="I742" s="33" t="str">
        <f ca="1"/>
        <v>25,46</v>
      </c>
      <c r="J742" s="2">
        <v>742</v>
      </c>
      <c r="K742" s="2" t="str">
        <v>No Match</v>
      </c>
      <c r="M742" s="33">
        <f ca="1"/>
        <v>25.46</v>
      </c>
      <c r="N742" s="2" t="e">
        <f ca="1"/>
        <v>#N/A</v>
      </c>
      <c r="O742" s="2" t="e">
        <f ca="1"/>
        <v>#N/A</v>
      </c>
      <c r="P742" s="2" t="e">
        <f ca="1"/>
        <v>#N/A</v>
      </c>
      <c r="Q742" s="33" t="e">
        <f ca="1"/>
        <v>#N/A</v>
      </c>
      <c r="R742" s="33" t="e">
        <f ca="1"/>
        <v>#N/A</v>
      </c>
    </row>
    <row r="743" spans="1:18" x14ac:dyDescent="0.2">
      <c r="A743" s="2">
        <v>742</v>
      </c>
      <c r="B743" s="65">
        <v>45733</v>
      </c>
      <c r="C743" s="70">
        <v>0.66377314814814814</v>
      </c>
      <c r="D743" s="66" t="s">
        <v>98</v>
      </c>
      <c r="G743" s="66" t="s">
        <v>114</v>
      </c>
      <c r="H743" s="66" t="s">
        <v>100</v>
      </c>
      <c r="I743" s="33" t="str">
        <f ca="1"/>
        <v>25,70</v>
      </c>
      <c r="J743" s="2">
        <v>743</v>
      </c>
      <c r="K743" s="2" t="str">
        <v>No Match</v>
      </c>
      <c r="M743" s="33">
        <f ca="1"/>
        <v>25.7</v>
      </c>
      <c r="N743" s="2" t="e">
        <f ca="1"/>
        <v>#N/A</v>
      </c>
      <c r="O743" s="2" t="e">
        <f ca="1"/>
        <v>#N/A</v>
      </c>
      <c r="P743" s="2" t="e">
        <f ca="1"/>
        <v>#N/A</v>
      </c>
      <c r="Q743" s="33" t="e">
        <f ca="1"/>
        <v>#N/A</v>
      </c>
      <c r="R743" s="33" t="e">
        <f ca="1"/>
        <v>#N/A</v>
      </c>
    </row>
    <row r="744" spans="1:18" x14ac:dyDescent="0.2">
      <c r="A744" s="2">
        <v>743</v>
      </c>
      <c r="B744" s="65">
        <v>45733</v>
      </c>
      <c r="C744" s="70">
        <v>0.68662037037037038</v>
      </c>
      <c r="D744" s="66" t="s">
        <v>98</v>
      </c>
      <c r="G744" s="66" t="s">
        <v>114</v>
      </c>
      <c r="H744" s="66" t="s">
        <v>100</v>
      </c>
      <c r="I744" s="33" t="str">
        <f ca="1"/>
        <v>25,70</v>
      </c>
      <c r="J744" s="2">
        <v>744</v>
      </c>
      <c r="K744" s="2" t="str">
        <v>No Match</v>
      </c>
      <c r="M744" s="33">
        <f ca="1"/>
        <v>25.7</v>
      </c>
      <c r="N744" s="2" t="e">
        <f ca="1"/>
        <v>#N/A</v>
      </c>
      <c r="O744" s="2" t="e">
        <f ca="1"/>
        <v>#N/A</v>
      </c>
      <c r="P744" s="2" t="e">
        <f ca="1"/>
        <v>#N/A</v>
      </c>
      <c r="Q744" s="33" t="e">
        <f ca="1"/>
        <v>#N/A</v>
      </c>
      <c r="R744" s="33" t="e">
        <f ca="1"/>
        <v>#N/A</v>
      </c>
    </row>
    <row r="745" spans="1:18" x14ac:dyDescent="0.2">
      <c r="A745" s="2">
        <v>744</v>
      </c>
      <c r="B745" s="65">
        <v>45733</v>
      </c>
      <c r="C745" s="70">
        <v>0.68741898148148151</v>
      </c>
      <c r="D745" s="66" t="s">
        <v>98</v>
      </c>
      <c r="G745" s="66" t="s">
        <v>198</v>
      </c>
      <c r="H745" s="66" t="s">
        <v>100</v>
      </c>
      <c r="I745" s="33" t="str">
        <f ca="1"/>
        <v>25,45</v>
      </c>
      <c r="J745" s="2">
        <v>745</v>
      </c>
      <c r="K745" s="2" t="str">
        <v>No Match</v>
      </c>
      <c r="M745" s="33">
        <f ca="1"/>
        <v>25.45</v>
      </c>
      <c r="N745" s="2" t="e">
        <f ca="1"/>
        <v>#N/A</v>
      </c>
      <c r="O745" s="2" t="e">
        <f ca="1"/>
        <v>#N/A</v>
      </c>
      <c r="P745" s="2" t="e">
        <f ca="1"/>
        <v>#N/A</v>
      </c>
      <c r="Q745" s="33" t="e">
        <f ca="1"/>
        <v>#N/A</v>
      </c>
      <c r="R745" s="33" t="e">
        <f ca="1"/>
        <v>#N/A</v>
      </c>
    </row>
    <row r="746" spans="1:18" x14ac:dyDescent="0.2">
      <c r="A746" s="2">
        <v>745</v>
      </c>
      <c r="B746" s="65">
        <v>45733</v>
      </c>
      <c r="C746" s="70">
        <v>0.68840277777777781</v>
      </c>
      <c r="D746" s="66" t="s">
        <v>98</v>
      </c>
      <c r="G746" s="66" t="s">
        <v>185</v>
      </c>
      <c r="H746" s="66" t="s">
        <v>100</v>
      </c>
      <c r="I746" s="33" t="str">
        <f ca="1"/>
        <v>25,69</v>
      </c>
      <c r="J746" s="2">
        <v>746</v>
      </c>
      <c r="K746" s="2" t="str">
        <v>No Match</v>
      </c>
      <c r="M746" s="33">
        <f ca="1"/>
        <v>25.69</v>
      </c>
      <c r="N746" s="2" t="e">
        <f ca="1"/>
        <v>#N/A</v>
      </c>
      <c r="O746" s="2" t="e">
        <f ca="1"/>
        <v>#N/A</v>
      </c>
      <c r="P746" s="2" t="e">
        <f ca="1"/>
        <v>#N/A</v>
      </c>
      <c r="Q746" s="33" t="e">
        <f ca="1"/>
        <v>#N/A</v>
      </c>
      <c r="R746" s="33" t="e">
        <f ca="1"/>
        <v>#N/A</v>
      </c>
    </row>
    <row r="747" spans="1:18" x14ac:dyDescent="0.2">
      <c r="A747" s="2">
        <v>746</v>
      </c>
      <c r="B747" s="65">
        <v>45733</v>
      </c>
      <c r="C747" s="70">
        <v>0.68952546296296291</v>
      </c>
      <c r="D747" s="66" t="s">
        <v>98</v>
      </c>
      <c r="G747" s="66" t="s">
        <v>116</v>
      </c>
      <c r="H747" s="66" t="s">
        <v>100</v>
      </c>
      <c r="I747" s="33" t="str">
        <f ca="1"/>
        <v>25,33</v>
      </c>
      <c r="J747" s="2">
        <v>747</v>
      </c>
      <c r="K747" s="2" t="str">
        <v>No Match</v>
      </c>
      <c r="M747" s="33">
        <f ca="1"/>
        <v>25.33</v>
      </c>
      <c r="N747" s="2" t="e">
        <f ca="1"/>
        <v>#N/A</v>
      </c>
      <c r="O747" s="2" t="e">
        <f ca="1"/>
        <v>#N/A</v>
      </c>
      <c r="P747" s="2" t="e">
        <f ca="1"/>
        <v>#N/A</v>
      </c>
      <c r="Q747" s="33" t="e">
        <f ca="1"/>
        <v>#N/A</v>
      </c>
      <c r="R747" s="33" t="e">
        <f ca="1"/>
        <v>#N/A</v>
      </c>
    </row>
    <row r="748" spans="1:18" x14ac:dyDescent="0.2">
      <c r="A748" s="2">
        <v>747</v>
      </c>
      <c r="B748" s="65">
        <v>45733</v>
      </c>
      <c r="C748" s="70">
        <v>0.69040509259259264</v>
      </c>
      <c r="D748" s="66" t="s">
        <v>98</v>
      </c>
      <c r="G748" s="66" t="s">
        <v>179</v>
      </c>
      <c r="H748" s="66" t="s">
        <v>100</v>
      </c>
      <c r="I748" s="33" t="str">
        <f ca="1"/>
        <v>25,55</v>
      </c>
      <c r="J748" s="2">
        <v>748</v>
      </c>
      <c r="K748" s="2" t="str">
        <v>No Match</v>
      </c>
      <c r="M748" s="33">
        <f ca="1"/>
        <v>25.55</v>
      </c>
      <c r="N748" s="2" t="e">
        <f ca="1"/>
        <v>#N/A</v>
      </c>
      <c r="O748" s="2" t="e">
        <f ca="1"/>
        <v>#N/A</v>
      </c>
      <c r="P748" s="2" t="e">
        <f ca="1"/>
        <v>#N/A</v>
      </c>
      <c r="Q748" s="33" t="e">
        <f ca="1"/>
        <v>#N/A</v>
      </c>
      <c r="R748" s="33" t="e">
        <f ca="1"/>
        <v>#N/A</v>
      </c>
    </row>
    <row r="749" spans="1:18" x14ac:dyDescent="0.2">
      <c r="A749" s="2">
        <v>748</v>
      </c>
      <c r="B749" s="65">
        <v>45733</v>
      </c>
      <c r="C749" s="70">
        <v>0.69114583333333335</v>
      </c>
      <c r="D749" s="66" t="s">
        <v>98</v>
      </c>
      <c r="G749" s="66" t="s">
        <v>114</v>
      </c>
      <c r="H749" s="66" t="s">
        <v>100</v>
      </c>
      <c r="I749" s="33" t="str">
        <f ca="1"/>
        <v>25,70</v>
      </c>
      <c r="J749" s="2">
        <v>749</v>
      </c>
      <c r="K749" s="2" t="str">
        <v>No Match</v>
      </c>
      <c r="M749" s="33">
        <f ca="1"/>
        <v>25.7</v>
      </c>
      <c r="N749" s="2" t="e">
        <f ca="1"/>
        <v>#N/A</v>
      </c>
      <c r="O749" s="2" t="e">
        <f ca="1"/>
        <v>#N/A</v>
      </c>
      <c r="P749" s="2" t="e">
        <f ca="1"/>
        <v>#N/A</v>
      </c>
      <c r="Q749" s="33" t="e">
        <f ca="1"/>
        <v>#N/A</v>
      </c>
      <c r="R749" s="33" t="e">
        <f ca="1"/>
        <v>#N/A</v>
      </c>
    </row>
    <row r="750" spans="1:18" x14ac:dyDescent="0.2">
      <c r="A750" s="2">
        <v>749</v>
      </c>
      <c r="B750" s="65">
        <v>45733</v>
      </c>
      <c r="C750" s="70">
        <v>0.6921180555555555</v>
      </c>
      <c r="D750" s="66" t="s">
        <v>98</v>
      </c>
      <c r="G750" s="66" t="s">
        <v>131</v>
      </c>
      <c r="H750" s="66" t="s">
        <v>100</v>
      </c>
      <c r="I750" s="33" t="str">
        <f ca="1"/>
        <v>25,24</v>
      </c>
      <c r="J750" s="2">
        <v>750</v>
      </c>
      <c r="K750" s="2" t="str">
        <v>No Match</v>
      </c>
      <c r="M750" s="33">
        <f ca="1"/>
        <v>25.24</v>
      </c>
      <c r="N750" s="2" t="e">
        <f ca="1"/>
        <v>#N/A</v>
      </c>
      <c r="O750" s="2" t="e">
        <f ca="1"/>
        <v>#N/A</v>
      </c>
      <c r="P750" s="2" t="e">
        <f ca="1"/>
        <v>#N/A</v>
      </c>
      <c r="Q750" s="33" t="e">
        <f ca="1"/>
        <v>#N/A</v>
      </c>
      <c r="R750" s="33" t="e">
        <f ca="1"/>
        <v>#N/A</v>
      </c>
    </row>
    <row r="751" spans="1:18" x14ac:dyDescent="0.2">
      <c r="A751" s="2">
        <v>750</v>
      </c>
      <c r="B751" s="65">
        <v>45733</v>
      </c>
      <c r="C751" s="70">
        <v>0.69572916666666662</v>
      </c>
      <c r="D751" s="66" t="s">
        <v>98</v>
      </c>
      <c r="G751" s="66" t="s">
        <v>119</v>
      </c>
      <c r="H751" s="66" t="s">
        <v>100</v>
      </c>
      <c r="I751" s="33" t="str">
        <f ca="1"/>
        <v>25,56</v>
      </c>
      <c r="J751" s="2">
        <v>751</v>
      </c>
      <c r="K751" s="2" t="str">
        <v>No Match</v>
      </c>
      <c r="M751" s="33">
        <f ca="1"/>
        <v>25.56</v>
      </c>
      <c r="N751" s="2">
        <f ca="1"/>
        <v>25</v>
      </c>
      <c r="O751" s="2">
        <f ca="1"/>
        <v>24.625</v>
      </c>
      <c r="P751" s="2">
        <f ca="1"/>
        <v>25.375</v>
      </c>
      <c r="Q751" s="33">
        <f ca="1"/>
        <v>25.337106666666674</v>
      </c>
      <c r="R751" s="33">
        <f ca="1"/>
        <v>25.538</v>
      </c>
    </row>
    <row r="752" spans="1:18" x14ac:dyDescent="0.2">
      <c r="A752" s="2">
        <v>751</v>
      </c>
      <c r="B752" s="65">
        <v>45733</v>
      </c>
      <c r="C752" s="70">
        <v>0.6975810185185185</v>
      </c>
      <c r="D752" s="66" t="s">
        <v>98</v>
      </c>
      <c r="G752" s="66" t="s">
        <v>155</v>
      </c>
      <c r="H752" s="66" t="s">
        <v>100</v>
      </c>
      <c r="I752" s="33" t="str">
        <f ca="1"/>
        <v>25,49</v>
      </c>
      <c r="J752" s="2">
        <v>752</v>
      </c>
      <c r="K752" s="2" t="str">
        <v>No Match</v>
      </c>
      <c r="M752" s="33">
        <f ca="1"/>
        <v>25.49</v>
      </c>
      <c r="N752" s="2" t="e">
        <f ca="1"/>
        <v>#N/A</v>
      </c>
      <c r="O752" s="2" t="e">
        <f ca="1"/>
        <v>#N/A</v>
      </c>
      <c r="P752" s="2" t="e">
        <f ca="1"/>
        <v>#N/A</v>
      </c>
      <c r="Q752" s="33" t="e">
        <f ca="1"/>
        <v>#N/A</v>
      </c>
      <c r="R752" s="33" t="e">
        <f ca="1"/>
        <v>#N/A</v>
      </c>
    </row>
    <row r="753" spans="1:18" x14ac:dyDescent="0.2">
      <c r="A753" s="2">
        <v>752</v>
      </c>
      <c r="B753" s="65">
        <v>45733</v>
      </c>
      <c r="C753" s="70">
        <v>0.6978240740740741</v>
      </c>
      <c r="D753" s="66" t="s">
        <v>98</v>
      </c>
      <c r="G753" s="66" t="s">
        <v>127</v>
      </c>
      <c r="H753" s="66" t="s">
        <v>100</v>
      </c>
      <c r="I753" s="33" t="str">
        <f ca="1"/>
        <v>25,28</v>
      </c>
      <c r="J753" s="2">
        <v>753</v>
      </c>
      <c r="K753" s="2" t="str">
        <v>No Match</v>
      </c>
      <c r="M753" s="33">
        <f ca="1"/>
        <v>25.28</v>
      </c>
      <c r="N753" s="2" t="e">
        <f ca="1"/>
        <v>#N/A</v>
      </c>
      <c r="O753" s="2" t="e">
        <f ca="1"/>
        <v>#N/A</v>
      </c>
      <c r="P753" s="2" t="e">
        <f ca="1"/>
        <v>#N/A</v>
      </c>
      <c r="Q753" s="33" t="e">
        <f ca="1"/>
        <v>#N/A</v>
      </c>
      <c r="R753" s="33" t="e">
        <f ca="1"/>
        <v>#N/A</v>
      </c>
    </row>
    <row r="754" spans="1:18" x14ac:dyDescent="0.2">
      <c r="A754" s="2">
        <v>753</v>
      </c>
      <c r="B754" s="65">
        <v>45733</v>
      </c>
      <c r="C754" s="70">
        <v>0.69846064814814812</v>
      </c>
      <c r="D754" s="66" t="s">
        <v>98</v>
      </c>
      <c r="G754" s="66" t="s">
        <v>198</v>
      </c>
      <c r="H754" s="66" t="s">
        <v>100</v>
      </c>
      <c r="I754" s="33" t="str">
        <f ca="1"/>
        <v>25,45</v>
      </c>
      <c r="J754" s="2">
        <v>754</v>
      </c>
      <c r="K754" s="2" t="str">
        <v>No Match</v>
      </c>
      <c r="M754" s="33">
        <f ca="1"/>
        <v>25.45</v>
      </c>
      <c r="N754" s="2" t="e">
        <f ca="1"/>
        <v>#N/A</v>
      </c>
      <c r="O754" s="2" t="e">
        <f ca="1"/>
        <v>#N/A</v>
      </c>
      <c r="P754" s="2" t="e">
        <f ca="1"/>
        <v>#N/A</v>
      </c>
      <c r="Q754" s="33" t="e">
        <f ca="1"/>
        <v>#N/A</v>
      </c>
      <c r="R754" s="33" t="e">
        <f ca="1"/>
        <v>#N/A</v>
      </c>
    </row>
    <row r="755" spans="1:18" x14ac:dyDescent="0.2">
      <c r="A755" s="2">
        <v>754</v>
      </c>
      <c r="B755" s="65">
        <v>45733</v>
      </c>
      <c r="C755" s="70">
        <v>0.70052083333333337</v>
      </c>
      <c r="D755" s="66" t="s">
        <v>98</v>
      </c>
      <c r="G755" s="66" t="s">
        <v>139</v>
      </c>
      <c r="H755" s="66" t="s">
        <v>100</v>
      </c>
      <c r="I755" s="33" t="str">
        <f ca="1"/>
        <v>25,35</v>
      </c>
      <c r="J755" s="2">
        <v>755</v>
      </c>
      <c r="K755" s="2" t="str">
        <v>No Match</v>
      </c>
      <c r="M755" s="33">
        <f ca="1"/>
        <v>25.35</v>
      </c>
      <c r="N755" s="2" t="e">
        <f ca="1"/>
        <v>#N/A</v>
      </c>
      <c r="O755" s="2" t="e">
        <f ca="1"/>
        <v>#N/A</v>
      </c>
      <c r="P755" s="2" t="e">
        <f ca="1"/>
        <v>#N/A</v>
      </c>
      <c r="Q755" s="33" t="e">
        <f ca="1"/>
        <v>#N/A</v>
      </c>
      <c r="R755" s="33" t="e">
        <f ca="1"/>
        <v>#N/A</v>
      </c>
    </row>
    <row r="756" spans="1:18" x14ac:dyDescent="0.2">
      <c r="A756" s="2">
        <v>755</v>
      </c>
      <c r="B756" s="65">
        <v>45733</v>
      </c>
      <c r="C756" s="70">
        <v>0.70113425925925921</v>
      </c>
      <c r="D756" s="66" t="s">
        <v>98</v>
      </c>
      <c r="G756" s="66" t="s">
        <v>107</v>
      </c>
      <c r="H756" s="66" t="s">
        <v>100</v>
      </c>
      <c r="I756" s="33" t="str">
        <f ca="1"/>
        <v>25,43</v>
      </c>
      <c r="J756" s="2">
        <v>756</v>
      </c>
      <c r="K756" s="2" t="str">
        <v>No Match</v>
      </c>
      <c r="M756" s="33">
        <f ca="1"/>
        <v>25.43</v>
      </c>
      <c r="N756" s="2" t="e">
        <f ca="1"/>
        <v>#N/A</v>
      </c>
      <c r="O756" s="2" t="e">
        <f ca="1"/>
        <v>#N/A</v>
      </c>
      <c r="P756" s="2" t="e">
        <f ca="1"/>
        <v>#N/A</v>
      </c>
      <c r="Q756" s="33" t="e">
        <f ca="1"/>
        <v>#N/A</v>
      </c>
      <c r="R756" s="33" t="e">
        <f ca="1"/>
        <v>#N/A</v>
      </c>
    </row>
    <row r="757" spans="1:18" x14ac:dyDescent="0.2">
      <c r="A757" s="2">
        <v>756</v>
      </c>
      <c r="B757" s="65">
        <v>45733</v>
      </c>
      <c r="C757" s="70">
        <v>0.70246527777777779</v>
      </c>
      <c r="D757" s="66" t="s">
        <v>98</v>
      </c>
      <c r="G757" s="66" t="s">
        <v>122</v>
      </c>
      <c r="H757" s="66" t="s">
        <v>100</v>
      </c>
      <c r="I757" s="33" t="str">
        <f ca="1"/>
        <v>25,27</v>
      </c>
      <c r="J757" s="2">
        <v>757</v>
      </c>
      <c r="K757" s="2" t="str">
        <v>No Match</v>
      </c>
      <c r="M757" s="33">
        <f ca="1"/>
        <v>25.27</v>
      </c>
      <c r="N757" s="2" t="e">
        <f ca="1"/>
        <v>#N/A</v>
      </c>
      <c r="O757" s="2" t="e">
        <f ca="1"/>
        <v>#N/A</v>
      </c>
      <c r="P757" s="2" t="e">
        <f ca="1"/>
        <v>#N/A</v>
      </c>
      <c r="Q757" s="33" t="e">
        <f ca="1"/>
        <v>#N/A</v>
      </c>
      <c r="R757" s="33" t="e">
        <f ca="1"/>
        <v>#N/A</v>
      </c>
    </row>
    <row r="758" spans="1:18" x14ac:dyDescent="0.2">
      <c r="A758" s="2">
        <v>757</v>
      </c>
      <c r="B758" s="65">
        <v>45733</v>
      </c>
      <c r="C758" s="70">
        <v>0.70391203703703709</v>
      </c>
      <c r="D758" s="66" t="s">
        <v>98</v>
      </c>
      <c r="G758" s="66" t="s">
        <v>145</v>
      </c>
      <c r="H758" s="66" t="s">
        <v>100</v>
      </c>
      <c r="I758" s="33" t="str">
        <f ca="1"/>
        <v>25,30</v>
      </c>
      <c r="J758" s="2">
        <v>758</v>
      </c>
      <c r="K758" s="2" t="str">
        <v>No Match</v>
      </c>
      <c r="M758" s="33">
        <f ca="1"/>
        <v>25.3</v>
      </c>
      <c r="N758" s="2" t="e">
        <f ca="1"/>
        <v>#N/A</v>
      </c>
      <c r="O758" s="2" t="e">
        <f ca="1"/>
        <v>#N/A</v>
      </c>
      <c r="P758" s="2" t="e">
        <f ca="1"/>
        <v>#N/A</v>
      </c>
      <c r="Q758" s="33" t="e">
        <f ca="1"/>
        <v>#N/A</v>
      </c>
      <c r="R758" s="33" t="e">
        <f ca="1"/>
        <v>#N/A</v>
      </c>
    </row>
    <row r="759" spans="1:18" x14ac:dyDescent="0.2">
      <c r="A759" s="2">
        <v>758</v>
      </c>
      <c r="B759" s="65">
        <v>45733</v>
      </c>
      <c r="C759" s="70">
        <v>0.70508101851851857</v>
      </c>
      <c r="D759" s="66" t="s">
        <v>98</v>
      </c>
      <c r="G759" s="66" t="s">
        <v>175</v>
      </c>
      <c r="H759" s="66" t="s">
        <v>100</v>
      </c>
      <c r="I759" s="33" t="str">
        <f ca="1"/>
        <v>25,58</v>
      </c>
      <c r="J759" s="2">
        <v>759</v>
      </c>
      <c r="K759" s="2" t="str">
        <v>No Match</v>
      </c>
      <c r="M759" s="33">
        <f ca="1"/>
        <v>25.58</v>
      </c>
      <c r="N759" s="2" t="e">
        <f ca="1"/>
        <v>#N/A</v>
      </c>
      <c r="O759" s="2" t="e">
        <f ca="1"/>
        <v>#N/A</v>
      </c>
      <c r="P759" s="2" t="e">
        <f ca="1"/>
        <v>#N/A</v>
      </c>
      <c r="Q759" s="33" t="e">
        <f ca="1"/>
        <v>#N/A</v>
      </c>
      <c r="R759" s="33" t="e">
        <f ca="1"/>
        <v>#N/A</v>
      </c>
    </row>
    <row r="760" spans="1:18" x14ac:dyDescent="0.2">
      <c r="A760" s="2">
        <v>759</v>
      </c>
      <c r="B760" s="65">
        <v>45733</v>
      </c>
      <c r="C760" s="70">
        <v>0.7063194444444445</v>
      </c>
      <c r="D760" s="66" t="s">
        <v>98</v>
      </c>
      <c r="G760" s="66" t="s">
        <v>146</v>
      </c>
      <c r="H760" s="66" t="s">
        <v>100</v>
      </c>
      <c r="I760" s="33" t="str">
        <f ca="1"/>
        <v>25,37</v>
      </c>
      <c r="J760" s="2">
        <v>760</v>
      </c>
      <c r="K760" s="2" t="str">
        <v>No Match</v>
      </c>
      <c r="M760" s="33">
        <f ca="1"/>
        <v>25.37</v>
      </c>
      <c r="N760" s="2" t="e">
        <f ca="1"/>
        <v>#N/A</v>
      </c>
      <c r="O760" s="2" t="e">
        <f ca="1"/>
        <v>#N/A</v>
      </c>
      <c r="P760" s="2" t="e">
        <f ca="1"/>
        <v>#N/A</v>
      </c>
      <c r="Q760" s="33" t="e">
        <f ca="1"/>
        <v>#N/A</v>
      </c>
      <c r="R760" s="33" t="e">
        <f ca="1"/>
        <v>#N/A</v>
      </c>
    </row>
    <row r="761" spans="1:18" x14ac:dyDescent="0.2">
      <c r="A761" s="2">
        <v>760</v>
      </c>
      <c r="B761" s="65">
        <v>45733</v>
      </c>
      <c r="C761" s="70">
        <v>0.70951388888888889</v>
      </c>
      <c r="D761" s="66" t="s">
        <v>98</v>
      </c>
      <c r="G761" s="66" t="s">
        <v>163</v>
      </c>
      <c r="H761" s="66" t="s">
        <v>100</v>
      </c>
      <c r="I761" s="33" t="str">
        <f ca="1"/>
        <v>25,47</v>
      </c>
      <c r="J761" s="2">
        <v>761</v>
      </c>
      <c r="K761" s="2" t="str">
        <v>No Match</v>
      </c>
      <c r="M761" s="33">
        <f ca="1"/>
        <v>25.47</v>
      </c>
      <c r="N761" s="2">
        <f ca="1"/>
        <v>25</v>
      </c>
      <c r="O761" s="2">
        <f ca="1"/>
        <v>24.625</v>
      </c>
      <c r="P761" s="2">
        <f ca="1"/>
        <v>25.375</v>
      </c>
      <c r="Q761" s="33">
        <f ca="1"/>
        <v>25.337921052631589</v>
      </c>
      <c r="R761" s="33">
        <f ca="1"/>
        <v>25.399000000000004</v>
      </c>
    </row>
    <row r="762" spans="1:18" x14ac:dyDescent="0.2">
      <c r="A762" s="2">
        <v>761</v>
      </c>
      <c r="B762" s="65">
        <v>45733</v>
      </c>
      <c r="C762" s="70">
        <v>0.70976851851851852</v>
      </c>
      <c r="D762" s="66" t="s">
        <v>98</v>
      </c>
      <c r="G762" s="66" t="s">
        <v>133</v>
      </c>
      <c r="H762" s="66" t="s">
        <v>100</v>
      </c>
      <c r="I762" s="33" t="str">
        <f ca="1"/>
        <v>25,41</v>
      </c>
      <c r="J762" s="2">
        <v>762</v>
      </c>
      <c r="K762" s="2" t="str">
        <v>No Match</v>
      </c>
      <c r="M762" s="33">
        <f ca="1"/>
        <v>25.41</v>
      </c>
      <c r="N762" s="2" t="e">
        <f ca="1"/>
        <v>#N/A</v>
      </c>
      <c r="O762" s="2" t="e">
        <f ca="1"/>
        <v>#N/A</v>
      </c>
      <c r="P762" s="2" t="e">
        <f ca="1"/>
        <v>#N/A</v>
      </c>
      <c r="Q762" s="33" t="e">
        <f ca="1"/>
        <v>#N/A</v>
      </c>
      <c r="R762" s="33" t="e">
        <f ca="1"/>
        <v>#N/A</v>
      </c>
    </row>
    <row r="763" spans="1:18" x14ac:dyDescent="0.2">
      <c r="A763" s="2">
        <v>762</v>
      </c>
      <c r="B763" s="65">
        <v>45733</v>
      </c>
      <c r="C763" s="70">
        <v>0.71046296296296296</v>
      </c>
      <c r="D763" s="66" t="s">
        <v>98</v>
      </c>
      <c r="G763" s="66" t="s">
        <v>190</v>
      </c>
      <c r="H763" s="66" t="s">
        <v>100</v>
      </c>
      <c r="I763" s="33" t="str">
        <f ca="1"/>
        <v>25,19</v>
      </c>
      <c r="J763" s="2">
        <v>763</v>
      </c>
      <c r="K763" s="2" t="str">
        <v>No Match</v>
      </c>
      <c r="M763" s="33">
        <f ca="1"/>
        <v>25.19</v>
      </c>
      <c r="N763" s="2" t="e">
        <f ca="1"/>
        <v>#N/A</v>
      </c>
      <c r="O763" s="2" t="e">
        <f ca="1"/>
        <v>#N/A</v>
      </c>
      <c r="P763" s="2" t="e">
        <f ca="1"/>
        <v>#N/A</v>
      </c>
      <c r="Q763" s="33" t="e">
        <f ca="1"/>
        <v>#N/A</v>
      </c>
      <c r="R763" s="33" t="e">
        <f ca="1"/>
        <v>#N/A</v>
      </c>
    </row>
    <row r="764" spans="1:18" x14ac:dyDescent="0.2">
      <c r="A764" s="2">
        <v>763</v>
      </c>
      <c r="B764" s="65">
        <v>45733</v>
      </c>
      <c r="C764" s="70">
        <v>0.711400462962963</v>
      </c>
      <c r="D764" s="66" t="s">
        <v>98</v>
      </c>
      <c r="G764" s="66" t="s">
        <v>119</v>
      </c>
      <c r="H764" s="66" t="s">
        <v>100</v>
      </c>
      <c r="I764" s="33" t="str">
        <f ca="1"/>
        <v>25,56</v>
      </c>
      <c r="J764" s="2">
        <v>764</v>
      </c>
      <c r="K764" s="2" t="str">
        <v>No Match</v>
      </c>
      <c r="M764" s="33">
        <f ca="1"/>
        <v>25.56</v>
      </c>
      <c r="N764" s="2" t="e">
        <f ca="1"/>
        <v>#N/A</v>
      </c>
      <c r="O764" s="2" t="e">
        <f ca="1"/>
        <v>#N/A</v>
      </c>
      <c r="P764" s="2" t="e">
        <f ca="1"/>
        <v>#N/A</v>
      </c>
      <c r="Q764" s="33" t="e">
        <f ca="1"/>
        <v>#N/A</v>
      </c>
      <c r="R764" s="33" t="e">
        <f ca="1"/>
        <v>#N/A</v>
      </c>
    </row>
    <row r="765" spans="1:18" x14ac:dyDescent="0.2">
      <c r="A765" s="2">
        <v>764</v>
      </c>
      <c r="B765" s="65">
        <v>45733</v>
      </c>
      <c r="C765" s="70">
        <v>0.71261574074074074</v>
      </c>
      <c r="D765" s="66" t="s">
        <v>98</v>
      </c>
      <c r="G765" s="66" t="s">
        <v>133</v>
      </c>
      <c r="H765" s="66" t="s">
        <v>100</v>
      </c>
      <c r="I765" s="33" t="str">
        <f ca="1"/>
        <v>25,41</v>
      </c>
      <c r="J765" s="2">
        <v>765</v>
      </c>
      <c r="K765" s="2" t="str">
        <v>No Match</v>
      </c>
      <c r="M765" s="33">
        <f ca="1"/>
        <v>25.41</v>
      </c>
      <c r="N765" s="2" t="e">
        <f ca="1"/>
        <v>#N/A</v>
      </c>
      <c r="O765" s="2" t="e">
        <f ca="1"/>
        <v>#N/A</v>
      </c>
      <c r="P765" s="2" t="e">
        <f ca="1"/>
        <v>#N/A</v>
      </c>
      <c r="Q765" s="33" t="e">
        <f ca="1"/>
        <v>#N/A</v>
      </c>
      <c r="R765" s="33" t="e">
        <f ca="1"/>
        <v>#N/A</v>
      </c>
    </row>
    <row r="766" spans="1:18" x14ac:dyDescent="0.2">
      <c r="A766" s="2">
        <v>765</v>
      </c>
      <c r="B766" s="65">
        <v>45733</v>
      </c>
      <c r="C766" s="70">
        <v>0.71349537037037036</v>
      </c>
      <c r="D766" s="66" t="s">
        <v>98</v>
      </c>
      <c r="G766" s="66" t="s">
        <v>107</v>
      </c>
      <c r="H766" s="66" t="s">
        <v>100</v>
      </c>
      <c r="I766" s="33" t="str">
        <f ca="1"/>
        <v>25,43</v>
      </c>
      <c r="J766" s="2">
        <v>766</v>
      </c>
      <c r="K766" s="2" t="str">
        <v>No Match</v>
      </c>
      <c r="M766" s="33">
        <f ca="1"/>
        <v>25.43</v>
      </c>
      <c r="N766" s="2" t="e">
        <f ca="1"/>
        <v>#N/A</v>
      </c>
      <c r="O766" s="2" t="e">
        <f ca="1"/>
        <v>#N/A</v>
      </c>
      <c r="P766" s="2" t="e">
        <f ca="1"/>
        <v>#N/A</v>
      </c>
      <c r="Q766" s="33" t="e">
        <f ca="1"/>
        <v>#N/A</v>
      </c>
      <c r="R766" s="33" t="e">
        <f ca="1"/>
        <v>#N/A</v>
      </c>
    </row>
    <row r="767" spans="1:18" x14ac:dyDescent="0.2">
      <c r="A767" s="2">
        <v>766</v>
      </c>
      <c r="B767" s="65">
        <v>45733</v>
      </c>
      <c r="C767" s="70">
        <v>0.71471064814814811</v>
      </c>
      <c r="D767" s="66" t="s">
        <v>98</v>
      </c>
      <c r="G767" s="66" t="s">
        <v>220</v>
      </c>
      <c r="H767" s="66" t="s">
        <v>100</v>
      </c>
      <c r="I767" s="33" t="str">
        <f ca="1"/>
        <v>25,54</v>
      </c>
      <c r="J767" s="2">
        <v>767</v>
      </c>
      <c r="K767" s="2" t="str">
        <v>No Match</v>
      </c>
      <c r="M767" s="33">
        <f ca="1"/>
        <v>25.54</v>
      </c>
      <c r="N767" s="2" t="e">
        <f ca="1"/>
        <v>#N/A</v>
      </c>
      <c r="O767" s="2" t="e">
        <f ca="1"/>
        <v>#N/A</v>
      </c>
      <c r="P767" s="2" t="e">
        <f ca="1"/>
        <v>#N/A</v>
      </c>
      <c r="Q767" s="33" t="e">
        <f ca="1"/>
        <v>#N/A</v>
      </c>
      <c r="R767" s="33" t="e">
        <f ca="1"/>
        <v>#N/A</v>
      </c>
    </row>
    <row r="768" spans="1:18" x14ac:dyDescent="0.2">
      <c r="A768" s="2">
        <v>767</v>
      </c>
      <c r="B768" s="65">
        <v>45733</v>
      </c>
      <c r="C768" s="70">
        <v>0.71569444444444441</v>
      </c>
      <c r="D768" s="66" t="s">
        <v>98</v>
      </c>
      <c r="G768" s="66" t="s">
        <v>133</v>
      </c>
      <c r="H768" s="66" t="s">
        <v>100</v>
      </c>
      <c r="I768" s="33" t="str">
        <f ca="1"/>
        <v>25,41</v>
      </c>
      <c r="J768" s="2">
        <v>768</v>
      </c>
      <c r="K768" s="2" t="str">
        <v>No Match</v>
      </c>
      <c r="M768" s="33">
        <f ca="1"/>
        <v>25.41</v>
      </c>
      <c r="N768" s="2" t="e">
        <f ca="1"/>
        <v>#N/A</v>
      </c>
      <c r="O768" s="2" t="e">
        <f ca="1"/>
        <v>#N/A</v>
      </c>
      <c r="P768" s="2" t="e">
        <f ca="1"/>
        <v>#N/A</v>
      </c>
      <c r="Q768" s="33" t="e">
        <f ca="1"/>
        <v>#N/A</v>
      </c>
      <c r="R768" s="33" t="e">
        <f ca="1"/>
        <v>#N/A</v>
      </c>
    </row>
    <row r="769" spans="1:18" x14ac:dyDescent="0.2">
      <c r="A769" s="2">
        <v>768</v>
      </c>
      <c r="B769" s="65">
        <v>45733</v>
      </c>
      <c r="C769" s="70">
        <v>0.71787037037037038</v>
      </c>
      <c r="D769" s="66" t="s">
        <v>98</v>
      </c>
      <c r="G769" s="66" t="s">
        <v>143</v>
      </c>
      <c r="H769" s="66" t="s">
        <v>100</v>
      </c>
      <c r="I769" s="33" t="str">
        <f ca="1"/>
        <v>25,53</v>
      </c>
      <c r="J769" s="2">
        <v>769</v>
      </c>
      <c r="K769" s="2" t="str">
        <v>No Match</v>
      </c>
      <c r="M769" s="33">
        <f ca="1"/>
        <v>25.53</v>
      </c>
      <c r="N769" s="2" t="e">
        <f ca="1"/>
        <v>#N/A</v>
      </c>
      <c r="O769" s="2" t="e">
        <f ca="1"/>
        <v>#N/A</v>
      </c>
      <c r="P769" s="2" t="e">
        <f ca="1"/>
        <v>#N/A</v>
      </c>
      <c r="Q769" s="33" t="e">
        <f ca="1"/>
        <v>#N/A</v>
      </c>
      <c r="R769" s="33" t="e">
        <f ca="1"/>
        <v>#N/A</v>
      </c>
    </row>
    <row r="770" spans="1:18" x14ac:dyDescent="0.2">
      <c r="A770" s="2">
        <v>769</v>
      </c>
      <c r="B770" s="65">
        <v>45733</v>
      </c>
      <c r="C770" s="70">
        <v>0.71990740740740744</v>
      </c>
      <c r="D770" s="66" t="s">
        <v>98</v>
      </c>
      <c r="G770" s="66" t="s">
        <v>165</v>
      </c>
      <c r="H770" s="66" t="s">
        <v>100</v>
      </c>
      <c r="I770" s="33" t="str">
        <f ca="1"/>
        <v>25,42</v>
      </c>
      <c r="J770" s="2">
        <v>770</v>
      </c>
      <c r="K770" s="2" t="str">
        <v>No Match</v>
      </c>
      <c r="M770" s="33">
        <f ca="1"/>
        <v>25.42</v>
      </c>
      <c r="N770" s="2" t="e">
        <f ca="1"/>
        <v>#N/A</v>
      </c>
      <c r="O770" s="2" t="e">
        <f ca="1"/>
        <v>#N/A</v>
      </c>
      <c r="P770" s="2" t="e">
        <f ca="1"/>
        <v>#N/A</v>
      </c>
      <c r="Q770" s="33" t="e">
        <f ca="1"/>
        <v>#N/A</v>
      </c>
      <c r="R770" s="33" t="e">
        <f ca="1"/>
        <v>#N/A</v>
      </c>
    </row>
    <row r="771" spans="1:18" x14ac:dyDescent="0.2">
      <c r="A771" s="2">
        <v>770</v>
      </c>
      <c r="B771" s="65">
        <v>45733</v>
      </c>
      <c r="C771" s="70">
        <v>0.721099537037037</v>
      </c>
      <c r="D771" s="66" t="s">
        <v>98</v>
      </c>
      <c r="G771" s="66" t="s">
        <v>170</v>
      </c>
      <c r="H771" s="66" t="s">
        <v>100</v>
      </c>
      <c r="I771" s="33" t="str">
        <f ca="1"/>
        <v>25,52</v>
      </c>
      <c r="J771" s="2">
        <v>771</v>
      </c>
      <c r="K771" s="2" t="str">
        <v>No Match</v>
      </c>
      <c r="M771" s="33">
        <f ca="1"/>
        <v>25.52</v>
      </c>
      <c r="N771" s="2">
        <f ca="1"/>
        <v>25</v>
      </c>
      <c r="O771" s="2">
        <f ca="1"/>
        <v>24.625</v>
      </c>
      <c r="P771" s="2">
        <f ca="1"/>
        <v>25.375</v>
      </c>
      <c r="Q771" s="33">
        <f ca="1"/>
        <v>25.339272727272736</v>
      </c>
      <c r="R771" s="33">
        <f ca="1"/>
        <v>25.442</v>
      </c>
    </row>
    <row r="772" spans="1:18" x14ac:dyDescent="0.2">
      <c r="A772" s="2">
        <v>771</v>
      </c>
      <c r="B772" s="65">
        <v>45733</v>
      </c>
      <c r="C772" s="70">
        <v>0.72253472222222226</v>
      </c>
      <c r="D772" s="66" t="s">
        <v>98</v>
      </c>
      <c r="G772" s="66" t="s">
        <v>174</v>
      </c>
      <c r="H772" s="66" t="s">
        <v>100</v>
      </c>
      <c r="I772" s="33" t="str">
        <f ca="1"/>
        <v>25,65</v>
      </c>
      <c r="J772" s="2">
        <v>772</v>
      </c>
      <c r="K772" s="2" t="str">
        <v>No Match</v>
      </c>
      <c r="M772" s="33">
        <f ca="1"/>
        <v>25.65</v>
      </c>
      <c r="N772" s="2" t="e">
        <f ca="1"/>
        <v>#N/A</v>
      </c>
      <c r="O772" s="2" t="e">
        <f ca="1"/>
        <v>#N/A</v>
      </c>
      <c r="P772" s="2" t="e">
        <f ca="1"/>
        <v>#N/A</v>
      </c>
      <c r="Q772" s="33" t="e">
        <f ca="1"/>
        <v>#N/A</v>
      </c>
      <c r="R772" s="33" t="e">
        <f ca="1"/>
        <v>#N/A</v>
      </c>
    </row>
    <row r="773" spans="1:18" x14ac:dyDescent="0.2">
      <c r="A773" s="2">
        <v>772</v>
      </c>
      <c r="B773" s="65">
        <v>45733</v>
      </c>
      <c r="C773" s="70">
        <v>0.7245949074074074</v>
      </c>
      <c r="D773" s="66" t="s">
        <v>98</v>
      </c>
      <c r="G773" s="66" t="s">
        <v>226</v>
      </c>
      <c r="H773" s="66" t="s">
        <v>100</v>
      </c>
      <c r="I773" s="33" t="str">
        <f ca="1"/>
        <v>25,68</v>
      </c>
      <c r="J773" s="2">
        <v>773</v>
      </c>
      <c r="K773" s="2" t="str">
        <v>No Match</v>
      </c>
      <c r="M773" s="33">
        <f ca="1"/>
        <v>25.68</v>
      </c>
      <c r="N773" s="2" t="e">
        <f ca="1"/>
        <v>#N/A</v>
      </c>
      <c r="O773" s="2" t="e">
        <f ca="1"/>
        <v>#N/A</v>
      </c>
      <c r="P773" s="2" t="e">
        <f ca="1"/>
        <v>#N/A</v>
      </c>
      <c r="Q773" s="33" t="e">
        <f ca="1"/>
        <v>#N/A</v>
      </c>
      <c r="R773" s="33" t="e">
        <f ca="1"/>
        <v>#N/A</v>
      </c>
    </row>
    <row r="774" spans="1:18" x14ac:dyDescent="0.2">
      <c r="A774" s="2">
        <v>773</v>
      </c>
      <c r="B774" s="65">
        <v>45733</v>
      </c>
      <c r="C774" s="70">
        <v>0.72539351851851852</v>
      </c>
      <c r="D774" s="66" t="s">
        <v>98</v>
      </c>
      <c r="G774" s="66" t="s">
        <v>170</v>
      </c>
      <c r="H774" s="66" t="s">
        <v>100</v>
      </c>
      <c r="I774" s="33" t="str">
        <f ca="1"/>
        <v>25,52</v>
      </c>
      <c r="J774" s="2">
        <v>774</v>
      </c>
      <c r="K774" s="2" t="str">
        <v>No Match</v>
      </c>
      <c r="M774" s="33">
        <f ca="1"/>
        <v>25.52</v>
      </c>
      <c r="N774" s="2" t="e">
        <f ca="1"/>
        <v>#N/A</v>
      </c>
      <c r="O774" s="2" t="e">
        <f ca="1"/>
        <v>#N/A</v>
      </c>
      <c r="P774" s="2" t="e">
        <f ca="1"/>
        <v>#N/A</v>
      </c>
      <c r="Q774" s="33" t="e">
        <f ca="1"/>
        <v>#N/A</v>
      </c>
      <c r="R774" s="33" t="e">
        <f ca="1"/>
        <v>#N/A</v>
      </c>
    </row>
    <row r="775" spans="1:18" x14ac:dyDescent="0.2">
      <c r="A775" s="2">
        <v>774</v>
      </c>
      <c r="B775" s="65">
        <v>45733</v>
      </c>
      <c r="C775" s="70">
        <v>0.72759259259259257</v>
      </c>
      <c r="D775" s="66" t="s">
        <v>98</v>
      </c>
      <c r="G775" s="66" t="s">
        <v>141</v>
      </c>
      <c r="H775" s="66" t="s">
        <v>100</v>
      </c>
      <c r="I775" s="33" t="str">
        <f ca="1"/>
        <v>25,50</v>
      </c>
      <c r="J775" s="2">
        <v>775</v>
      </c>
      <c r="K775" s="2" t="str">
        <v>No Match</v>
      </c>
      <c r="M775" s="33">
        <f ca="1"/>
        <v>25.5</v>
      </c>
      <c r="N775" s="2" t="e">
        <f ca="1"/>
        <v>#N/A</v>
      </c>
      <c r="O775" s="2" t="e">
        <f ca="1"/>
        <v>#N/A</v>
      </c>
      <c r="P775" s="2" t="e">
        <f ca="1"/>
        <v>#N/A</v>
      </c>
      <c r="Q775" s="33" t="e">
        <f ca="1"/>
        <v>#N/A</v>
      </c>
      <c r="R775" s="33" t="e">
        <f ca="1"/>
        <v>#N/A</v>
      </c>
    </row>
    <row r="776" spans="1:18" x14ac:dyDescent="0.2">
      <c r="A776" s="2">
        <v>775</v>
      </c>
      <c r="B776" s="65">
        <v>45733</v>
      </c>
      <c r="C776" s="70">
        <v>0.72834490740740743</v>
      </c>
      <c r="D776" s="66" t="s">
        <v>98</v>
      </c>
      <c r="G776" s="66" t="s">
        <v>133</v>
      </c>
      <c r="H776" s="66" t="s">
        <v>100</v>
      </c>
      <c r="I776" s="33" t="str">
        <f ca="1"/>
        <v>25,41</v>
      </c>
      <c r="J776" s="2">
        <v>776</v>
      </c>
      <c r="K776" s="2" t="str">
        <v>No Match</v>
      </c>
      <c r="M776" s="33">
        <f ca="1"/>
        <v>25.41</v>
      </c>
      <c r="N776" s="2" t="e">
        <f ca="1"/>
        <v>#N/A</v>
      </c>
      <c r="O776" s="2" t="e">
        <f ca="1"/>
        <v>#N/A</v>
      </c>
      <c r="P776" s="2" t="e">
        <f ca="1"/>
        <v>#N/A</v>
      </c>
      <c r="Q776" s="33" t="e">
        <f ca="1"/>
        <v>#N/A</v>
      </c>
      <c r="R776" s="33" t="e">
        <f ca="1"/>
        <v>#N/A</v>
      </c>
    </row>
    <row r="777" spans="1:18" x14ac:dyDescent="0.2">
      <c r="A777" s="2">
        <v>776</v>
      </c>
      <c r="B777" s="65">
        <v>45733</v>
      </c>
      <c r="C777" s="70">
        <v>0.72895833333333337</v>
      </c>
      <c r="D777" s="66" t="s">
        <v>98</v>
      </c>
      <c r="G777" s="66" t="s">
        <v>168</v>
      </c>
      <c r="H777" s="66" t="s">
        <v>100</v>
      </c>
      <c r="I777" s="33" t="str">
        <f ca="1"/>
        <v>25,59</v>
      </c>
      <c r="J777" s="2">
        <v>777</v>
      </c>
      <c r="K777" s="2" t="str">
        <v>No Match</v>
      </c>
      <c r="M777" s="33">
        <f ca="1"/>
        <v>25.59</v>
      </c>
      <c r="N777" s="2" t="e">
        <f ca="1"/>
        <v>#N/A</v>
      </c>
      <c r="O777" s="2" t="e">
        <f ca="1"/>
        <v>#N/A</v>
      </c>
      <c r="P777" s="2" t="e">
        <f ca="1"/>
        <v>#N/A</v>
      </c>
      <c r="Q777" s="33" t="e">
        <f ca="1"/>
        <v>#N/A</v>
      </c>
      <c r="R777" s="33" t="e">
        <f ca="1"/>
        <v>#N/A</v>
      </c>
    </row>
    <row r="778" spans="1:18" x14ac:dyDescent="0.2">
      <c r="A778" s="2">
        <v>777</v>
      </c>
      <c r="B778" s="65">
        <v>45733</v>
      </c>
      <c r="C778" s="70">
        <v>0.73482638888888885</v>
      </c>
      <c r="D778" s="66" t="s">
        <v>98</v>
      </c>
      <c r="G778" s="66" t="s">
        <v>213</v>
      </c>
      <c r="H778" s="66" t="s">
        <v>100</v>
      </c>
      <c r="I778" s="33" t="str">
        <f ca="1"/>
        <v>25,85</v>
      </c>
      <c r="J778" s="2">
        <v>778</v>
      </c>
      <c r="K778" s="2" t="str">
        <v>No Match</v>
      </c>
      <c r="M778" s="33">
        <f ca="1"/>
        <v>25.85</v>
      </c>
      <c r="N778" s="2" t="e">
        <f ca="1"/>
        <v>#N/A</v>
      </c>
      <c r="O778" s="2" t="e">
        <f ca="1"/>
        <v>#N/A</v>
      </c>
      <c r="P778" s="2" t="e">
        <f ca="1"/>
        <v>#N/A</v>
      </c>
      <c r="Q778" s="33" t="e">
        <f ca="1"/>
        <v>#N/A</v>
      </c>
      <c r="R778" s="33" t="e">
        <f ca="1"/>
        <v>#N/A</v>
      </c>
    </row>
    <row r="779" spans="1:18" x14ac:dyDescent="0.2">
      <c r="A779" s="2">
        <v>778</v>
      </c>
      <c r="B779" s="65">
        <v>45733</v>
      </c>
      <c r="C779" s="70">
        <v>0.73569444444444443</v>
      </c>
      <c r="D779" s="66" t="s">
        <v>98</v>
      </c>
      <c r="G779" s="66" t="s">
        <v>153</v>
      </c>
      <c r="H779" s="66" t="s">
        <v>100</v>
      </c>
      <c r="I779" s="33" t="str">
        <f ca="1"/>
        <v>25,71</v>
      </c>
      <c r="J779" s="2">
        <v>779</v>
      </c>
      <c r="K779" s="2" t="str">
        <v>No Match</v>
      </c>
      <c r="M779" s="33">
        <f ca="1"/>
        <v>25.71</v>
      </c>
      <c r="N779" s="2" t="e">
        <f ca="1"/>
        <v>#N/A</v>
      </c>
      <c r="O779" s="2" t="e">
        <f ca="1"/>
        <v>#N/A</v>
      </c>
      <c r="P779" s="2" t="e">
        <f ca="1"/>
        <v>#N/A</v>
      </c>
      <c r="Q779" s="33" t="e">
        <f ca="1"/>
        <v>#N/A</v>
      </c>
      <c r="R779" s="33" t="e">
        <f ca="1"/>
        <v>#N/A</v>
      </c>
    </row>
    <row r="780" spans="1:18" x14ac:dyDescent="0.2">
      <c r="A780" s="2">
        <v>779</v>
      </c>
      <c r="B780" s="65">
        <v>45733</v>
      </c>
      <c r="C780" s="70">
        <v>0.73614583333333339</v>
      </c>
      <c r="D780" s="66" t="s">
        <v>98</v>
      </c>
      <c r="G780" s="66" t="s">
        <v>166</v>
      </c>
      <c r="H780" s="66" t="s">
        <v>100</v>
      </c>
      <c r="I780" s="33" t="str">
        <f ca="1"/>
        <v>25,66</v>
      </c>
      <c r="J780" s="2">
        <v>780</v>
      </c>
      <c r="K780" s="2" t="str">
        <v>No Match</v>
      </c>
      <c r="M780" s="33">
        <f ca="1"/>
        <v>25.66</v>
      </c>
      <c r="N780" s="2" t="e">
        <f ca="1"/>
        <v>#N/A</v>
      </c>
      <c r="O780" s="2" t="e">
        <f ca="1"/>
        <v>#N/A</v>
      </c>
      <c r="P780" s="2" t="e">
        <f ca="1"/>
        <v>#N/A</v>
      </c>
      <c r="Q780" s="33" t="e">
        <f ca="1"/>
        <v>#N/A</v>
      </c>
      <c r="R780" s="33" t="e">
        <f ca="1"/>
        <v>#N/A</v>
      </c>
    </row>
    <row r="781" spans="1:18" x14ac:dyDescent="0.2">
      <c r="A781" s="2">
        <v>780</v>
      </c>
      <c r="B781" s="65">
        <v>45733</v>
      </c>
      <c r="C781" s="70">
        <v>0.7374074074074074</v>
      </c>
      <c r="D781" s="66" t="s">
        <v>98</v>
      </c>
      <c r="G781" s="66" t="s">
        <v>174</v>
      </c>
      <c r="H781" s="66" t="s">
        <v>100</v>
      </c>
      <c r="I781" s="33" t="str">
        <f ca="1"/>
        <v>25,65</v>
      </c>
      <c r="J781" s="2">
        <v>781</v>
      </c>
      <c r="K781" s="2" t="str">
        <v>No Match</v>
      </c>
      <c r="M781" s="33">
        <f ca="1"/>
        <v>25.65</v>
      </c>
      <c r="N781" s="2">
        <f ca="1"/>
        <v>25</v>
      </c>
      <c r="O781" s="2">
        <f ca="1"/>
        <v>24.625</v>
      </c>
      <c r="P781" s="2">
        <f ca="1"/>
        <v>25.375</v>
      </c>
      <c r="Q781" s="33">
        <f ca="1"/>
        <v>25.342897435897445</v>
      </c>
      <c r="R781" s="33">
        <f ca="1"/>
        <v>25.621999999999996</v>
      </c>
    </row>
    <row r="782" spans="1:18" x14ac:dyDescent="0.2">
      <c r="A782" s="2">
        <v>781</v>
      </c>
      <c r="B782" s="65">
        <v>45733</v>
      </c>
      <c r="C782" s="70">
        <v>0.7377893518518519</v>
      </c>
      <c r="D782" s="66" t="s">
        <v>98</v>
      </c>
      <c r="G782" s="66" t="s">
        <v>153</v>
      </c>
      <c r="H782" s="66" t="s">
        <v>100</v>
      </c>
      <c r="I782" s="33" t="str">
        <f ca="1"/>
        <v>25,71</v>
      </c>
      <c r="J782" s="2">
        <v>782</v>
      </c>
      <c r="K782" s="2" t="str">
        <v>No Match</v>
      </c>
      <c r="M782" s="33">
        <f ca="1"/>
        <v>25.71</v>
      </c>
      <c r="N782" s="2" t="e">
        <f ca="1"/>
        <v>#N/A</v>
      </c>
      <c r="O782" s="2" t="e">
        <f ca="1"/>
        <v>#N/A</v>
      </c>
      <c r="P782" s="2" t="e">
        <f ca="1"/>
        <v>#N/A</v>
      </c>
      <c r="Q782" s="33" t="e">
        <f ca="1"/>
        <v>#N/A</v>
      </c>
      <c r="R782" s="33" t="e">
        <f ca="1"/>
        <v>#N/A</v>
      </c>
    </row>
    <row r="783" spans="1:18" x14ac:dyDescent="0.2">
      <c r="A783" s="2">
        <v>782</v>
      </c>
      <c r="B783" s="65">
        <v>45733</v>
      </c>
      <c r="C783" s="70">
        <v>0.73849537037037039</v>
      </c>
      <c r="D783" s="66" t="s">
        <v>98</v>
      </c>
      <c r="G783" s="66" t="s">
        <v>119</v>
      </c>
      <c r="H783" s="66" t="s">
        <v>100</v>
      </c>
      <c r="I783" s="33" t="str">
        <f ca="1"/>
        <v>25,56</v>
      </c>
      <c r="J783" s="2">
        <v>783</v>
      </c>
      <c r="K783" s="2" t="str">
        <v>No Match</v>
      </c>
      <c r="M783" s="33">
        <f ca="1"/>
        <v>25.56</v>
      </c>
      <c r="N783" s="2" t="e">
        <f ca="1"/>
        <v>#N/A</v>
      </c>
      <c r="O783" s="2" t="e">
        <f ca="1"/>
        <v>#N/A</v>
      </c>
      <c r="P783" s="2" t="e">
        <f ca="1"/>
        <v>#N/A</v>
      </c>
      <c r="Q783" s="33" t="e">
        <f ca="1"/>
        <v>#N/A</v>
      </c>
      <c r="R783" s="33" t="e">
        <f ca="1"/>
        <v>#N/A</v>
      </c>
    </row>
    <row r="784" spans="1:18" x14ac:dyDescent="0.2">
      <c r="A784" s="2">
        <v>783</v>
      </c>
      <c r="B784" s="65">
        <v>45733</v>
      </c>
      <c r="C784" s="70">
        <v>0.73927083333333332</v>
      </c>
      <c r="D784" s="66" t="s">
        <v>98</v>
      </c>
      <c r="G784" s="66" t="s">
        <v>101</v>
      </c>
      <c r="H784" s="66" t="s">
        <v>100</v>
      </c>
      <c r="I784" s="33" t="str">
        <f ca="1"/>
        <v>25,64</v>
      </c>
      <c r="J784" s="2">
        <v>784</v>
      </c>
      <c r="K784" s="2" t="str">
        <v>No Match</v>
      </c>
      <c r="M784" s="33">
        <f ca="1"/>
        <v>25.64</v>
      </c>
      <c r="N784" s="2" t="e">
        <f ca="1"/>
        <v>#N/A</v>
      </c>
      <c r="O784" s="2" t="e">
        <f ca="1"/>
        <v>#N/A</v>
      </c>
      <c r="P784" s="2" t="e">
        <f ca="1"/>
        <v>#N/A</v>
      </c>
      <c r="Q784" s="33" t="e">
        <f ca="1"/>
        <v>#N/A</v>
      </c>
      <c r="R784" s="33" t="e">
        <f ca="1"/>
        <v>#N/A</v>
      </c>
    </row>
    <row r="785" spans="1:18" x14ac:dyDescent="0.2">
      <c r="A785" s="2">
        <v>784</v>
      </c>
      <c r="B785" s="65">
        <v>45733</v>
      </c>
      <c r="C785" s="70">
        <v>0.74055555555555552</v>
      </c>
      <c r="D785" s="66" t="s">
        <v>98</v>
      </c>
      <c r="G785" s="66" t="s">
        <v>167</v>
      </c>
      <c r="H785" s="66" t="s">
        <v>100</v>
      </c>
      <c r="I785" s="33" t="str">
        <f ca="1"/>
        <v>25,62</v>
      </c>
      <c r="J785" s="2">
        <v>785</v>
      </c>
      <c r="K785" s="2" t="str">
        <v>No Match</v>
      </c>
      <c r="M785" s="33">
        <f ca="1"/>
        <v>25.62</v>
      </c>
      <c r="N785" s="2" t="e">
        <f ca="1"/>
        <v>#N/A</v>
      </c>
      <c r="O785" s="2" t="e">
        <f ca="1"/>
        <v>#N/A</v>
      </c>
      <c r="P785" s="2" t="e">
        <f ca="1"/>
        <v>#N/A</v>
      </c>
      <c r="Q785" s="33" t="e">
        <f ca="1"/>
        <v>#N/A</v>
      </c>
      <c r="R785" s="33" t="e">
        <f ca="1"/>
        <v>#N/A</v>
      </c>
    </row>
    <row r="786" spans="1:18" x14ac:dyDescent="0.2">
      <c r="A786" s="2">
        <v>785</v>
      </c>
      <c r="B786" s="65">
        <v>45733</v>
      </c>
      <c r="C786" s="70">
        <v>0.74226851851851849</v>
      </c>
      <c r="D786" s="66" t="s">
        <v>98</v>
      </c>
      <c r="G786" s="66" t="s">
        <v>181</v>
      </c>
      <c r="H786" s="66" t="s">
        <v>100</v>
      </c>
      <c r="I786" s="33" t="str">
        <f ca="1"/>
        <v>25,76</v>
      </c>
      <c r="J786" s="2">
        <v>786</v>
      </c>
      <c r="K786" s="2" t="str">
        <v>No Match</v>
      </c>
      <c r="M786" s="33">
        <f ca="1"/>
        <v>25.76</v>
      </c>
      <c r="N786" s="2" t="e">
        <f ca="1"/>
        <v>#N/A</v>
      </c>
      <c r="O786" s="2" t="e">
        <f ca="1"/>
        <v>#N/A</v>
      </c>
      <c r="P786" s="2" t="e">
        <f ca="1"/>
        <v>#N/A</v>
      </c>
      <c r="Q786" s="33" t="e">
        <f ca="1"/>
        <v>#N/A</v>
      </c>
      <c r="R786" s="33" t="e">
        <f ca="1"/>
        <v>#N/A</v>
      </c>
    </row>
    <row r="787" spans="1:18" x14ac:dyDescent="0.2">
      <c r="A787" s="2">
        <v>786</v>
      </c>
      <c r="B787" s="65">
        <v>45733</v>
      </c>
      <c r="C787" s="70">
        <v>0.74408564814814815</v>
      </c>
      <c r="D787" s="66" t="s">
        <v>98</v>
      </c>
      <c r="G787" s="66" t="s">
        <v>168</v>
      </c>
      <c r="H787" s="66" t="s">
        <v>100</v>
      </c>
      <c r="I787" s="33" t="str">
        <f ca="1"/>
        <v>25,59</v>
      </c>
      <c r="J787" s="2">
        <v>787</v>
      </c>
      <c r="K787" s="2" t="str">
        <v>No Match</v>
      </c>
      <c r="M787" s="33">
        <f ca="1"/>
        <v>25.59</v>
      </c>
      <c r="N787" s="2" t="e">
        <f ca="1"/>
        <v>#N/A</v>
      </c>
      <c r="O787" s="2" t="e">
        <f ca="1"/>
        <v>#N/A</v>
      </c>
      <c r="P787" s="2" t="e">
        <f ca="1"/>
        <v>#N/A</v>
      </c>
      <c r="Q787" s="33" t="e">
        <f ca="1"/>
        <v>#N/A</v>
      </c>
      <c r="R787" s="33" t="e">
        <f ca="1"/>
        <v>#N/A</v>
      </c>
    </row>
    <row r="788" spans="1:18" x14ac:dyDescent="0.2">
      <c r="A788" s="2">
        <v>787</v>
      </c>
      <c r="B788" s="65">
        <v>45733</v>
      </c>
      <c r="C788" s="70">
        <v>0.74587962962962961</v>
      </c>
      <c r="D788" s="66" t="s">
        <v>98</v>
      </c>
      <c r="G788" s="66" t="s">
        <v>101</v>
      </c>
      <c r="H788" s="66" t="s">
        <v>100</v>
      </c>
      <c r="I788" s="33" t="str">
        <f ca="1"/>
        <v>25,64</v>
      </c>
      <c r="J788" s="2">
        <v>788</v>
      </c>
      <c r="K788" s="2" t="str">
        <v>No Match</v>
      </c>
      <c r="M788" s="33">
        <f ca="1"/>
        <v>25.64</v>
      </c>
      <c r="N788" s="2" t="e">
        <f ca="1"/>
        <v>#N/A</v>
      </c>
      <c r="O788" s="2" t="e">
        <f ca="1"/>
        <v>#N/A</v>
      </c>
      <c r="P788" s="2" t="e">
        <f ca="1"/>
        <v>#N/A</v>
      </c>
      <c r="Q788" s="33" t="e">
        <f ca="1"/>
        <v>#N/A</v>
      </c>
      <c r="R788" s="33" t="e">
        <f ca="1"/>
        <v>#N/A</v>
      </c>
    </row>
    <row r="789" spans="1:18" x14ac:dyDescent="0.2">
      <c r="A789" s="2">
        <v>788</v>
      </c>
      <c r="B789" s="65">
        <v>45733</v>
      </c>
      <c r="C789" s="70">
        <v>0.74665509259259255</v>
      </c>
      <c r="D789" s="66" t="s">
        <v>98</v>
      </c>
      <c r="G789" s="66" t="s">
        <v>103</v>
      </c>
      <c r="H789" s="66" t="s">
        <v>100</v>
      </c>
      <c r="I789" s="33" t="str">
        <f ca="1"/>
        <v>24,97</v>
      </c>
      <c r="J789" s="2">
        <v>789</v>
      </c>
      <c r="K789" s="2" t="str">
        <v>No Match</v>
      </c>
      <c r="M789" s="33">
        <f ca="1"/>
        <v>24.97</v>
      </c>
      <c r="N789" s="2" t="e">
        <f ca="1"/>
        <v>#N/A</v>
      </c>
      <c r="O789" s="2" t="e">
        <f ca="1"/>
        <v>#N/A</v>
      </c>
      <c r="P789" s="2" t="e">
        <f ca="1"/>
        <v>#N/A</v>
      </c>
      <c r="Q789" s="33" t="e">
        <f ca="1"/>
        <v>#N/A</v>
      </c>
      <c r="R789" s="33" t="e">
        <f ca="1"/>
        <v>#N/A</v>
      </c>
    </row>
    <row r="790" spans="1:18" x14ac:dyDescent="0.2">
      <c r="A790" s="2">
        <v>789</v>
      </c>
      <c r="B790" s="65">
        <v>45733</v>
      </c>
      <c r="C790" s="70">
        <v>0.74793981481481486</v>
      </c>
      <c r="D790" s="66" t="s">
        <v>98</v>
      </c>
      <c r="G790" s="66" t="s">
        <v>147</v>
      </c>
      <c r="H790" s="66" t="s">
        <v>100</v>
      </c>
      <c r="I790" s="33" t="str">
        <f ca="1"/>
        <v>25,00</v>
      </c>
      <c r="J790" s="2">
        <v>790</v>
      </c>
      <c r="K790" s="2" t="str">
        <v>No Match</v>
      </c>
      <c r="M790" s="33">
        <f ca="1"/>
        <v>25</v>
      </c>
      <c r="N790" s="2" t="e">
        <f ca="1"/>
        <v>#N/A</v>
      </c>
      <c r="O790" s="2" t="e">
        <f ca="1"/>
        <v>#N/A</v>
      </c>
      <c r="P790" s="2" t="e">
        <f ca="1"/>
        <v>#N/A</v>
      </c>
      <c r="Q790" s="33" t="e">
        <f ca="1"/>
        <v>#N/A</v>
      </c>
      <c r="R790" s="33" t="e">
        <f ca="1"/>
        <v>#N/A</v>
      </c>
    </row>
    <row r="791" spans="1:18" x14ac:dyDescent="0.2">
      <c r="A791" s="2">
        <v>790</v>
      </c>
      <c r="B791" s="65">
        <v>45733</v>
      </c>
      <c r="C791" s="70">
        <v>0.74954861111111115</v>
      </c>
      <c r="D791" s="66" t="s">
        <v>98</v>
      </c>
      <c r="G791" s="66" t="s">
        <v>99</v>
      </c>
      <c r="H791" s="66" t="s">
        <v>100</v>
      </c>
      <c r="I791" s="33" t="str">
        <f ca="1"/>
        <v>25,16</v>
      </c>
      <c r="J791" s="2">
        <v>791</v>
      </c>
      <c r="K791" s="2" t="str">
        <v>No Match</v>
      </c>
      <c r="M791" s="33">
        <f ca="1"/>
        <v>25.16</v>
      </c>
      <c r="N791" s="2">
        <f ca="1"/>
        <v>25</v>
      </c>
      <c r="O791" s="2">
        <f ca="1"/>
        <v>24.625</v>
      </c>
      <c r="P791" s="2">
        <f ca="1"/>
        <v>25.375</v>
      </c>
      <c r="Q791" s="33">
        <f ca="1"/>
        <v>25.344443037974688</v>
      </c>
      <c r="R791" s="33">
        <f ca="1"/>
        <v>25.464999999999996</v>
      </c>
    </row>
    <row r="792" spans="1:18" x14ac:dyDescent="0.2">
      <c r="A792" s="2">
        <v>791</v>
      </c>
      <c r="B792" s="65">
        <v>45733</v>
      </c>
      <c r="C792" s="70">
        <v>0.75092592592592589</v>
      </c>
      <c r="D792" s="66" t="s">
        <v>98</v>
      </c>
      <c r="G792" s="66" t="s">
        <v>129</v>
      </c>
      <c r="H792" s="66" t="s">
        <v>100</v>
      </c>
      <c r="I792" s="33" t="str">
        <f ca="1"/>
        <v>25,08</v>
      </c>
      <c r="J792" s="2">
        <v>792</v>
      </c>
      <c r="K792" s="2" t="str">
        <v>No Match</v>
      </c>
      <c r="M792" s="33">
        <f ca="1"/>
        <v>25.08</v>
      </c>
      <c r="N792" s="2" t="e">
        <f ca="1"/>
        <v>#N/A</v>
      </c>
      <c r="O792" s="2" t="e">
        <f ca="1"/>
        <v>#N/A</v>
      </c>
      <c r="P792" s="2" t="e">
        <f ca="1"/>
        <v>#N/A</v>
      </c>
      <c r="Q792" s="33" t="e">
        <f ca="1"/>
        <v>#N/A</v>
      </c>
      <c r="R792" s="33" t="e">
        <f ca="1"/>
        <v>#N/A</v>
      </c>
    </row>
    <row r="793" spans="1:18" x14ac:dyDescent="0.2">
      <c r="A793" s="2">
        <v>792</v>
      </c>
      <c r="B793" s="65">
        <v>45733</v>
      </c>
      <c r="C793" s="70">
        <v>0.75266203703703705</v>
      </c>
      <c r="D793" s="66" t="s">
        <v>98</v>
      </c>
      <c r="G793" s="66" t="s">
        <v>145</v>
      </c>
      <c r="H793" s="66" t="s">
        <v>100</v>
      </c>
      <c r="I793" s="33" t="str">
        <f ca="1"/>
        <v>25,30</v>
      </c>
      <c r="J793" s="2">
        <v>793</v>
      </c>
      <c r="K793" s="2" t="str">
        <v>No Match</v>
      </c>
      <c r="M793" s="33">
        <f ca="1"/>
        <v>25.3</v>
      </c>
      <c r="N793" s="2" t="e">
        <f ca="1"/>
        <v>#N/A</v>
      </c>
      <c r="O793" s="2" t="e">
        <f ca="1"/>
        <v>#N/A</v>
      </c>
      <c r="P793" s="2" t="e">
        <f ca="1"/>
        <v>#N/A</v>
      </c>
      <c r="Q793" s="33" t="e">
        <f ca="1"/>
        <v>#N/A</v>
      </c>
      <c r="R793" s="33" t="e">
        <f ca="1"/>
        <v>#N/A</v>
      </c>
    </row>
    <row r="794" spans="1:18" x14ac:dyDescent="0.2">
      <c r="A794" s="2">
        <v>793</v>
      </c>
      <c r="B794" s="65">
        <v>45733</v>
      </c>
      <c r="C794" s="70">
        <v>0.75357638888888889</v>
      </c>
      <c r="D794" s="66" t="s">
        <v>98</v>
      </c>
      <c r="G794" s="66" t="s">
        <v>112</v>
      </c>
      <c r="H794" s="66" t="s">
        <v>100</v>
      </c>
      <c r="I794" s="33" t="str">
        <f ca="1"/>
        <v>25,36</v>
      </c>
      <c r="J794" s="2">
        <v>794</v>
      </c>
      <c r="K794" s="2" t="str">
        <v>No Match</v>
      </c>
      <c r="M794" s="33">
        <f ca="1"/>
        <v>25.36</v>
      </c>
      <c r="N794" s="2" t="e">
        <f ca="1"/>
        <v>#N/A</v>
      </c>
      <c r="O794" s="2" t="e">
        <f ca="1"/>
        <v>#N/A</v>
      </c>
      <c r="P794" s="2" t="e">
        <f ca="1"/>
        <v>#N/A</v>
      </c>
      <c r="Q794" s="33" t="e">
        <f ca="1"/>
        <v>#N/A</v>
      </c>
      <c r="R794" s="33" t="e">
        <f ca="1"/>
        <v>#N/A</v>
      </c>
    </row>
    <row r="795" spans="1:18" x14ac:dyDescent="0.2">
      <c r="A795" s="2">
        <v>794</v>
      </c>
      <c r="B795" s="65">
        <v>45733</v>
      </c>
      <c r="C795" s="70">
        <v>0.75571759259259264</v>
      </c>
      <c r="D795" s="66" t="s">
        <v>98</v>
      </c>
      <c r="G795" s="66" t="s">
        <v>120</v>
      </c>
      <c r="H795" s="66" t="s">
        <v>100</v>
      </c>
      <c r="I795" s="33" t="str">
        <f ca="1"/>
        <v>25,34</v>
      </c>
      <c r="J795" s="2">
        <v>795</v>
      </c>
      <c r="K795" s="2" t="str">
        <v>No Match</v>
      </c>
      <c r="M795" s="33">
        <f ca="1"/>
        <v>25.34</v>
      </c>
      <c r="N795" s="2" t="e">
        <f ca="1"/>
        <v>#N/A</v>
      </c>
      <c r="O795" s="2" t="e">
        <f ca="1"/>
        <v>#N/A</v>
      </c>
      <c r="P795" s="2" t="e">
        <f ca="1"/>
        <v>#N/A</v>
      </c>
      <c r="Q795" s="33" t="e">
        <f ca="1"/>
        <v>#N/A</v>
      </c>
      <c r="R795" s="33" t="e">
        <f ca="1"/>
        <v>#N/A</v>
      </c>
    </row>
    <row r="796" spans="1:18" x14ac:dyDescent="0.2">
      <c r="A796" s="2">
        <v>795</v>
      </c>
      <c r="B796" s="65">
        <v>45733</v>
      </c>
      <c r="C796" s="70">
        <v>0.7575925925925926</v>
      </c>
      <c r="D796" s="66" t="s">
        <v>98</v>
      </c>
      <c r="G796" s="66" t="s">
        <v>139</v>
      </c>
      <c r="H796" s="66" t="s">
        <v>100</v>
      </c>
      <c r="I796" s="33" t="str">
        <f ca="1"/>
        <v>25,35</v>
      </c>
      <c r="J796" s="2">
        <v>796</v>
      </c>
      <c r="K796" s="2" t="str">
        <v>No Match</v>
      </c>
      <c r="M796" s="33">
        <f ca="1"/>
        <v>25.35</v>
      </c>
      <c r="N796" s="2" t="e">
        <f ca="1"/>
        <v>#N/A</v>
      </c>
      <c r="O796" s="2" t="e">
        <f ca="1"/>
        <v>#N/A</v>
      </c>
      <c r="P796" s="2" t="e">
        <f ca="1"/>
        <v>#N/A</v>
      </c>
      <c r="Q796" s="33" t="e">
        <f ca="1"/>
        <v>#N/A</v>
      </c>
      <c r="R796" s="33" t="e">
        <f ca="1"/>
        <v>#N/A</v>
      </c>
    </row>
    <row r="797" spans="1:18" x14ac:dyDescent="0.2">
      <c r="A797" s="2">
        <v>796</v>
      </c>
      <c r="B797" s="65">
        <v>45733</v>
      </c>
      <c r="C797" s="70">
        <v>0.75812500000000005</v>
      </c>
      <c r="D797" s="66" t="s">
        <v>98</v>
      </c>
      <c r="G797" s="66" t="s">
        <v>138</v>
      </c>
      <c r="H797" s="66" t="s">
        <v>100</v>
      </c>
      <c r="I797" s="33" t="str">
        <f ca="1"/>
        <v>25,32</v>
      </c>
      <c r="J797" s="2">
        <v>797</v>
      </c>
      <c r="K797" s="2" t="str">
        <v>No Match</v>
      </c>
      <c r="M797" s="33">
        <f ca="1"/>
        <v>25.32</v>
      </c>
      <c r="N797" s="2" t="e">
        <f ca="1"/>
        <v>#N/A</v>
      </c>
      <c r="O797" s="2" t="e">
        <f ca="1"/>
        <v>#N/A</v>
      </c>
      <c r="P797" s="2" t="e">
        <f ca="1"/>
        <v>#N/A</v>
      </c>
      <c r="Q797" s="33" t="e">
        <f ca="1"/>
        <v>#N/A</v>
      </c>
      <c r="R797" s="33" t="e">
        <f ca="1"/>
        <v>#N/A</v>
      </c>
    </row>
    <row r="798" spans="1:18" x14ac:dyDescent="0.2">
      <c r="A798" s="2">
        <v>797</v>
      </c>
      <c r="B798" s="65">
        <v>45733</v>
      </c>
      <c r="C798" s="70">
        <v>0.75916666666666666</v>
      </c>
      <c r="D798" s="66" t="s">
        <v>98</v>
      </c>
      <c r="G798" s="66" t="s">
        <v>202</v>
      </c>
      <c r="H798" s="66" t="s">
        <v>100</v>
      </c>
      <c r="I798" s="33" t="str">
        <f ca="1"/>
        <v>25,31</v>
      </c>
      <c r="J798" s="2">
        <v>798</v>
      </c>
      <c r="K798" s="2" t="str">
        <v>No Match</v>
      </c>
      <c r="M798" s="33">
        <f ca="1"/>
        <v>25.31</v>
      </c>
      <c r="N798" s="2" t="e">
        <f ca="1"/>
        <v>#N/A</v>
      </c>
      <c r="O798" s="2" t="e">
        <f ca="1"/>
        <v>#N/A</v>
      </c>
      <c r="P798" s="2" t="e">
        <f ca="1"/>
        <v>#N/A</v>
      </c>
      <c r="Q798" s="33" t="e">
        <f ca="1"/>
        <v>#N/A</v>
      </c>
      <c r="R798" s="33" t="e">
        <f ca="1"/>
        <v>#N/A</v>
      </c>
    </row>
    <row r="799" spans="1:18" x14ac:dyDescent="0.2">
      <c r="A799" s="2">
        <v>798</v>
      </c>
      <c r="B799" s="65">
        <v>45733</v>
      </c>
      <c r="C799" s="70">
        <v>0.76127314814814817</v>
      </c>
      <c r="D799" s="66" t="s">
        <v>98</v>
      </c>
      <c r="G799" s="66" t="s">
        <v>137</v>
      </c>
      <c r="H799" s="66" t="s">
        <v>100</v>
      </c>
      <c r="I799" s="33" t="str">
        <f ca="1"/>
        <v>25,25</v>
      </c>
      <c r="J799" s="2">
        <v>799</v>
      </c>
      <c r="K799" s="2" t="str">
        <v>No Match</v>
      </c>
      <c r="M799" s="33">
        <f ca="1"/>
        <v>25.25</v>
      </c>
      <c r="N799" s="2" t="e">
        <f ca="1"/>
        <v>#N/A</v>
      </c>
      <c r="O799" s="2" t="e">
        <f ca="1"/>
        <v>#N/A</v>
      </c>
      <c r="P799" s="2" t="e">
        <f ca="1"/>
        <v>#N/A</v>
      </c>
      <c r="Q799" s="33" t="e">
        <f ca="1"/>
        <v>#N/A</v>
      </c>
      <c r="R799" s="33" t="e">
        <f ca="1"/>
        <v>#N/A</v>
      </c>
    </row>
    <row r="800" spans="1:18" x14ac:dyDescent="0.2">
      <c r="A800" s="2">
        <v>799</v>
      </c>
      <c r="B800" s="65">
        <v>45733</v>
      </c>
      <c r="C800" s="70">
        <v>0.76246527777777773</v>
      </c>
      <c r="D800" s="66" t="s">
        <v>98</v>
      </c>
      <c r="G800" s="66" t="s">
        <v>145</v>
      </c>
      <c r="H800" s="66" t="s">
        <v>100</v>
      </c>
      <c r="I800" s="33" t="str">
        <f ca="1"/>
        <v>25,30</v>
      </c>
      <c r="J800" s="2">
        <v>800</v>
      </c>
      <c r="K800" s="2" t="str">
        <v>No Match</v>
      </c>
      <c r="M800" s="33">
        <f ca="1"/>
        <v>25.3</v>
      </c>
      <c r="N800" s="2" t="e">
        <f ca="1"/>
        <v>#N/A</v>
      </c>
      <c r="O800" s="2" t="e">
        <f ca="1"/>
        <v>#N/A</v>
      </c>
      <c r="P800" s="2" t="e">
        <f ca="1"/>
        <v>#N/A</v>
      </c>
      <c r="Q800" s="33" t="e">
        <f ca="1"/>
        <v>#N/A</v>
      </c>
      <c r="R800" s="33" t="e">
        <f ca="1"/>
        <v>#N/A</v>
      </c>
    </row>
    <row r="801" spans="1:18" x14ac:dyDescent="0.2">
      <c r="A801" s="2">
        <v>800</v>
      </c>
      <c r="B801" s="65">
        <v>45733</v>
      </c>
      <c r="C801" s="70">
        <v>0.76355324074074071</v>
      </c>
      <c r="D801" s="66" t="s">
        <v>98</v>
      </c>
      <c r="G801" s="66" t="s">
        <v>135</v>
      </c>
      <c r="H801" s="66" t="s">
        <v>100</v>
      </c>
      <c r="I801" s="33" t="str">
        <f ca="1"/>
        <v>25,15</v>
      </c>
      <c r="J801" s="2">
        <v>801</v>
      </c>
      <c r="K801" s="2" t="str">
        <v>No Match</v>
      </c>
      <c r="M801" s="33">
        <f ca="1"/>
        <v>25.15</v>
      </c>
      <c r="N801" s="2">
        <f ca="1"/>
        <v>25</v>
      </c>
      <c r="O801" s="2">
        <f ca="1"/>
        <v>24.625</v>
      </c>
      <c r="P801" s="2">
        <f ca="1"/>
        <v>25.375</v>
      </c>
      <c r="Q801" s="33">
        <f ca="1"/>
        <v>25.343587500000009</v>
      </c>
      <c r="R801" s="33">
        <f ca="1"/>
        <v>25.276000000000003</v>
      </c>
    </row>
    <row r="802" spans="1:18" x14ac:dyDescent="0.2">
      <c r="A802" s="2">
        <v>801</v>
      </c>
      <c r="B802" s="65">
        <v>45733</v>
      </c>
      <c r="C802" s="70">
        <v>0.76428240740740738</v>
      </c>
      <c r="D802" s="66" t="s">
        <v>98</v>
      </c>
      <c r="G802" s="66" t="s">
        <v>138</v>
      </c>
      <c r="H802" s="66" t="s">
        <v>100</v>
      </c>
      <c r="I802" s="33" t="str">
        <f ca="1"/>
        <v>25,32</v>
      </c>
      <c r="J802" s="2">
        <v>802</v>
      </c>
      <c r="K802" s="2" t="str">
        <v>No Match</v>
      </c>
      <c r="M802" s="33">
        <f ca="1"/>
        <v>25.32</v>
      </c>
      <c r="N802" s="2" t="e">
        <f ca="1"/>
        <v>#N/A</v>
      </c>
      <c r="O802" s="2" t="e">
        <f ca="1"/>
        <v>#N/A</v>
      </c>
      <c r="P802" s="2" t="e">
        <f ca="1"/>
        <v>#N/A</v>
      </c>
      <c r="Q802" s="33" t="e">
        <f ca="1"/>
        <v>#N/A</v>
      </c>
      <c r="R802" s="33" t="e">
        <f ca="1"/>
        <v>#N/A</v>
      </c>
    </row>
    <row r="803" spans="1:18" x14ac:dyDescent="0.2">
      <c r="A803" s="2">
        <v>802</v>
      </c>
      <c r="B803" s="65">
        <v>45733</v>
      </c>
      <c r="C803" s="70">
        <v>0.76847222222222222</v>
      </c>
      <c r="D803" s="66" t="s">
        <v>98</v>
      </c>
      <c r="G803" s="66" t="s">
        <v>160</v>
      </c>
      <c r="H803" s="66" t="s">
        <v>100</v>
      </c>
      <c r="I803" s="33" t="str">
        <f ca="1"/>
        <v>25,14</v>
      </c>
      <c r="J803" s="2">
        <v>803</v>
      </c>
      <c r="K803" s="2" t="str">
        <v>No Match</v>
      </c>
      <c r="M803" s="33">
        <f ca="1"/>
        <v>25.14</v>
      </c>
      <c r="N803" s="2" t="e">
        <f ca="1"/>
        <v>#N/A</v>
      </c>
      <c r="O803" s="2" t="e">
        <f ca="1"/>
        <v>#N/A</v>
      </c>
      <c r="P803" s="2" t="e">
        <f ca="1"/>
        <v>#N/A</v>
      </c>
      <c r="Q803" s="33" t="e">
        <f ca="1"/>
        <v>#N/A</v>
      </c>
      <c r="R803" s="33" t="e">
        <f ca="1"/>
        <v>#N/A</v>
      </c>
    </row>
    <row r="804" spans="1:18" x14ac:dyDescent="0.2">
      <c r="A804" s="2">
        <v>803</v>
      </c>
      <c r="B804" s="65">
        <v>45733</v>
      </c>
      <c r="C804" s="70">
        <v>0.76859953703703698</v>
      </c>
      <c r="D804" s="66" t="s">
        <v>98</v>
      </c>
      <c r="G804" s="66" t="s">
        <v>208</v>
      </c>
      <c r="H804" s="66" t="s">
        <v>100</v>
      </c>
      <c r="I804" s="33" t="str">
        <f ca="1"/>
        <v>25,17</v>
      </c>
      <c r="J804" s="2">
        <v>804</v>
      </c>
      <c r="K804" s="2" t="str">
        <v>No Match</v>
      </c>
      <c r="M804" s="33">
        <f ca="1"/>
        <v>25.17</v>
      </c>
      <c r="N804" s="2" t="e">
        <f ca="1"/>
        <v>#N/A</v>
      </c>
      <c r="O804" s="2" t="e">
        <f ca="1"/>
        <v>#N/A</v>
      </c>
      <c r="P804" s="2" t="e">
        <f ca="1"/>
        <v>#N/A</v>
      </c>
      <c r="Q804" s="33" t="e">
        <f ca="1"/>
        <v>#N/A</v>
      </c>
      <c r="R804" s="33" t="e">
        <f ca="1"/>
        <v>#N/A</v>
      </c>
    </row>
    <row r="805" spans="1:18" x14ac:dyDescent="0.2">
      <c r="A805" s="2">
        <v>804</v>
      </c>
      <c r="B805" s="65">
        <v>45733</v>
      </c>
      <c r="C805" s="70">
        <v>0.76924768518518516</v>
      </c>
      <c r="D805" s="66" t="s">
        <v>98</v>
      </c>
      <c r="G805" s="66" t="s">
        <v>120</v>
      </c>
      <c r="H805" s="66" t="s">
        <v>100</v>
      </c>
      <c r="I805" s="33" t="str">
        <f ca="1"/>
        <v>25,34</v>
      </c>
      <c r="J805" s="2">
        <v>805</v>
      </c>
      <c r="K805" s="2" t="str">
        <v>No Match</v>
      </c>
      <c r="M805" s="33">
        <f ca="1"/>
        <v>25.34</v>
      </c>
      <c r="N805" s="2" t="e">
        <f ca="1"/>
        <v>#N/A</v>
      </c>
      <c r="O805" s="2" t="e">
        <f ca="1"/>
        <v>#N/A</v>
      </c>
      <c r="P805" s="2" t="e">
        <f ca="1"/>
        <v>#N/A</v>
      </c>
      <c r="Q805" s="33" t="e">
        <f ca="1"/>
        <v>#N/A</v>
      </c>
      <c r="R805" s="33" t="e">
        <f ca="1"/>
        <v>#N/A</v>
      </c>
    </row>
    <row r="806" spans="1:18" x14ac:dyDescent="0.2">
      <c r="A806" s="2">
        <v>805</v>
      </c>
      <c r="B806" s="65">
        <v>45733</v>
      </c>
      <c r="C806" s="70">
        <v>0.77016203703703701</v>
      </c>
      <c r="D806" s="66" t="s">
        <v>98</v>
      </c>
      <c r="G806" s="66" t="s">
        <v>190</v>
      </c>
      <c r="H806" s="66" t="s">
        <v>100</v>
      </c>
      <c r="I806" s="33" t="str">
        <f ca="1"/>
        <v>25,19</v>
      </c>
      <c r="J806" s="2">
        <v>806</v>
      </c>
      <c r="K806" s="2" t="str">
        <v>No Match</v>
      </c>
      <c r="M806" s="33">
        <f ca="1"/>
        <v>25.19</v>
      </c>
      <c r="N806" s="2" t="e">
        <f ca="1"/>
        <v>#N/A</v>
      </c>
      <c r="O806" s="2" t="e">
        <f ca="1"/>
        <v>#N/A</v>
      </c>
      <c r="P806" s="2" t="e">
        <f ca="1"/>
        <v>#N/A</v>
      </c>
      <c r="Q806" s="33" t="e">
        <f ca="1"/>
        <v>#N/A</v>
      </c>
      <c r="R806" s="33" t="e">
        <f ca="1"/>
        <v>#N/A</v>
      </c>
    </row>
    <row r="807" spans="1:18" x14ac:dyDescent="0.2">
      <c r="A807" s="2">
        <v>806</v>
      </c>
      <c r="B807" s="65">
        <v>45733</v>
      </c>
      <c r="C807" s="70">
        <v>0.7707060185185185</v>
      </c>
      <c r="D807" s="66" t="s">
        <v>98</v>
      </c>
      <c r="G807" s="66" t="s">
        <v>125</v>
      </c>
      <c r="H807" s="66" t="s">
        <v>100</v>
      </c>
      <c r="I807" s="33" t="str">
        <f ca="1"/>
        <v>25,20</v>
      </c>
      <c r="J807" s="2">
        <v>807</v>
      </c>
      <c r="K807" s="2" t="str">
        <v>No Match</v>
      </c>
      <c r="M807" s="33">
        <f ca="1"/>
        <v>25.2</v>
      </c>
      <c r="N807" s="2" t="e">
        <f ca="1"/>
        <v>#N/A</v>
      </c>
      <c r="O807" s="2" t="e">
        <f ca="1"/>
        <v>#N/A</v>
      </c>
      <c r="P807" s="2" t="e">
        <f ca="1"/>
        <v>#N/A</v>
      </c>
      <c r="Q807" s="33" t="e">
        <f ca="1"/>
        <v>#N/A</v>
      </c>
      <c r="R807" s="33" t="e">
        <f ca="1"/>
        <v>#N/A</v>
      </c>
    </row>
    <row r="808" spans="1:18" x14ac:dyDescent="0.2">
      <c r="A808" s="2">
        <v>807</v>
      </c>
      <c r="B808" s="65">
        <v>45733</v>
      </c>
      <c r="C808" s="70">
        <v>0.77187499999999998</v>
      </c>
      <c r="D808" s="66" t="s">
        <v>98</v>
      </c>
      <c r="G808" s="66" t="s">
        <v>208</v>
      </c>
      <c r="H808" s="66" t="s">
        <v>100</v>
      </c>
      <c r="I808" s="33" t="str">
        <f ca="1"/>
        <v>25,17</v>
      </c>
      <c r="J808" s="2">
        <v>808</v>
      </c>
      <c r="K808" s="2" t="str">
        <v>No Match</v>
      </c>
      <c r="M808" s="33">
        <f ca="1"/>
        <v>25.17</v>
      </c>
      <c r="N808" s="2" t="e">
        <f ca="1"/>
        <v>#N/A</v>
      </c>
      <c r="O808" s="2" t="e">
        <f ca="1"/>
        <v>#N/A</v>
      </c>
      <c r="P808" s="2" t="e">
        <f ca="1"/>
        <v>#N/A</v>
      </c>
      <c r="Q808" s="33" t="e">
        <f ca="1"/>
        <v>#N/A</v>
      </c>
      <c r="R808" s="33" t="e">
        <f ca="1"/>
        <v>#N/A</v>
      </c>
    </row>
    <row r="809" spans="1:18" x14ac:dyDescent="0.2">
      <c r="A809" s="2">
        <v>808</v>
      </c>
      <c r="B809" s="65">
        <v>45733</v>
      </c>
      <c r="C809" s="70">
        <v>0.77241898148148147</v>
      </c>
      <c r="D809" s="66" t="s">
        <v>98</v>
      </c>
      <c r="G809" s="66" t="s">
        <v>204</v>
      </c>
      <c r="H809" s="66" t="s">
        <v>100</v>
      </c>
      <c r="I809" s="33" t="str">
        <f ca="1"/>
        <v>25,01</v>
      </c>
      <c r="J809" s="2">
        <v>809</v>
      </c>
      <c r="K809" s="2" t="str">
        <v>No Match</v>
      </c>
      <c r="M809" s="33">
        <f ca="1"/>
        <v>25.01</v>
      </c>
      <c r="N809" s="2" t="e">
        <f ca="1"/>
        <v>#N/A</v>
      </c>
      <c r="O809" s="2" t="e">
        <f ca="1"/>
        <v>#N/A</v>
      </c>
      <c r="P809" s="2" t="e">
        <f ca="1"/>
        <v>#N/A</v>
      </c>
      <c r="Q809" s="33" t="e">
        <f ca="1"/>
        <v>#N/A</v>
      </c>
      <c r="R809" s="33" t="e">
        <f ca="1"/>
        <v>#N/A</v>
      </c>
    </row>
    <row r="810" spans="1:18" x14ac:dyDescent="0.2">
      <c r="A810" s="2">
        <v>809</v>
      </c>
      <c r="B810" s="65">
        <v>45733</v>
      </c>
      <c r="C810" s="70">
        <v>0.77429398148148143</v>
      </c>
      <c r="D810" s="66" t="s">
        <v>98</v>
      </c>
      <c r="G810" s="66" t="s">
        <v>125</v>
      </c>
      <c r="H810" s="66" t="s">
        <v>100</v>
      </c>
      <c r="I810" s="33" t="str">
        <f ca="1"/>
        <v>25,20</v>
      </c>
      <c r="J810" s="2">
        <v>810</v>
      </c>
      <c r="K810" s="2" t="str">
        <v>No Match</v>
      </c>
      <c r="M810" s="33">
        <f ca="1"/>
        <v>25.2</v>
      </c>
      <c r="N810" s="2" t="e">
        <f ca="1"/>
        <v>#N/A</v>
      </c>
      <c r="O810" s="2" t="e">
        <f ca="1"/>
        <v>#N/A</v>
      </c>
      <c r="P810" s="2" t="e">
        <f ca="1"/>
        <v>#N/A</v>
      </c>
      <c r="Q810" s="33" t="e">
        <f ca="1"/>
        <v>#N/A</v>
      </c>
      <c r="R810" s="33" t="e">
        <f ca="1"/>
        <v>#N/A</v>
      </c>
    </row>
    <row r="811" spans="1:18" x14ac:dyDescent="0.2">
      <c r="A811" s="2">
        <v>810</v>
      </c>
      <c r="B811" s="65">
        <v>45733</v>
      </c>
      <c r="C811" s="70">
        <v>0.77675925925925926</v>
      </c>
      <c r="D811" s="66" t="s">
        <v>98</v>
      </c>
      <c r="G811" s="66" t="s">
        <v>140</v>
      </c>
      <c r="H811" s="66" t="s">
        <v>100</v>
      </c>
      <c r="I811" s="33" t="str">
        <f ca="1"/>
        <v>25,10</v>
      </c>
      <c r="J811" s="2">
        <v>811</v>
      </c>
      <c r="K811" s="2" t="str">
        <v>No Match</v>
      </c>
      <c r="M811" s="33">
        <f ca="1"/>
        <v>25.1</v>
      </c>
      <c r="N811" s="2">
        <f ca="1"/>
        <v>25</v>
      </c>
      <c r="O811" s="2">
        <f ca="1"/>
        <v>24.625</v>
      </c>
      <c r="P811" s="2">
        <f ca="1"/>
        <v>25.375</v>
      </c>
      <c r="Q811" s="33">
        <f ca="1"/>
        <v>25.341617283950615</v>
      </c>
      <c r="R811" s="33">
        <f ca="1"/>
        <v>25.183999999999994</v>
      </c>
    </row>
    <row r="812" spans="1:18" x14ac:dyDescent="0.2">
      <c r="A812" s="2">
        <v>811</v>
      </c>
      <c r="B812" s="65">
        <v>45733</v>
      </c>
      <c r="C812" s="70">
        <v>0.79745370370370372</v>
      </c>
      <c r="D812" s="66" t="s">
        <v>98</v>
      </c>
      <c r="G812" s="66" t="s">
        <v>123</v>
      </c>
      <c r="H812" s="66" t="s">
        <v>100</v>
      </c>
      <c r="I812" s="33" t="str">
        <f ca="1"/>
        <v>25,13</v>
      </c>
      <c r="J812" s="2">
        <v>812</v>
      </c>
      <c r="K812" s="2" t="str">
        <v>No Match</v>
      </c>
      <c r="M812" s="33">
        <f ca="1"/>
        <v>25.13</v>
      </c>
      <c r="N812" s="2" t="e">
        <f ca="1"/>
        <v>#N/A</v>
      </c>
      <c r="O812" s="2" t="e">
        <f ca="1"/>
        <v>#N/A</v>
      </c>
      <c r="P812" s="2" t="e">
        <f ca="1"/>
        <v>#N/A</v>
      </c>
      <c r="Q812" s="33" t="e">
        <f ca="1"/>
        <v>#N/A</v>
      </c>
      <c r="R812" s="33" t="e">
        <f ca="1"/>
        <v>#N/A</v>
      </c>
    </row>
    <row r="813" spans="1:18" x14ac:dyDescent="0.2">
      <c r="A813" s="2">
        <v>812</v>
      </c>
      <c r="B813" s="65">
        <v>45733</v>
      </c>
      <c r="C813" s="70">
        <v>0.80040509259259263</v>
      </c>
      <c r="D813" s="66" t="s">
        <v>98</v>
      </c>
      <c r="G813" s="66" t="s">
        <v>134</v>
      </c>
      <c r="H813" s="66" t="s">
        <v>100</v>
      </c>
      <c r="I813" s="33" t="str">
        <f ca="1"/>
        <v>24,94</v>
      </c>
      <c r="J813" s="2">
        <v>813</v>
      </c>
      <c r="K813" s="2" t="str">
        <v>No Match</v>
      </c>
      <c r="M813" s="33">
        <f ca="1"/>
        <v>24.94</v>
      </c>
      <c r="N813" s="2" t="e">
        <f ca="1"/>
        <v>#N/A</v>
      </c>
      <c r="O813" s="2" t="e">
        <f ca="1"/>
        <v>#N/A</v>
      </c>
      <c r="P813" s="2" t="e">
        <f ca="1"/>
        <v>#N/A</v>
      </c>
      <c r="Q813" s="33" t="e">
        <f ca="1"/>
        <v>#N/A</v>
      </c>
      <c r="R813" s="33" t="e">
        <f ca="1"/>
        <v>#N/A</v>
      </c>
    </row>
    <row r="814" spans="1:18" x14ac:dyDescent="0.2">
      <c r="A814" s="2">
        <v>813</v>
      </c>
      <c r="B814" s="65">
        <v>45733</v>
      </c>
      <c r="C814" s="70">
        <v>0.80057870370370365</v>
      </c>
      <c r="D814" s="66" t="s">
        <v>98</v>
      </c>
      <c r="G814" s="66" t="s">
        <v>187</v>
      </c>
      <c r="H814" s="66" t="s">
        <v>100</v>
      </c>
      <c r="I814" s="33" t="str">
        <f ca="1"/>
        <v>24,82</v>
      </c>
      <c r="J814" s="2">
        <v>814</v>
      </c>
      <c r="K814" s="2" t="str">
        <v>No Match</v>
      </c>
      <c r="M814" s="33">
        <f ca="1"/>
        <v>24.82</v>
      </c>
      <c r="N814" s="2" t="e">
        <f ca="1"/>
        <v>#N/A</v>
      </c>
      <c r="O814" s="2" t="e">
        <f ca="1"/>
        <v>#N/A</v>
      </c>
      <c r="P814" s="2" t="e">
        <f ca="1"/>
        <v>#N/A</v>
      </c>
      <c r="Q814" s="33" t="e">
        <f ca="1"/>
        <v>#N/A</v>
      </c>
      <c r="R814" s="33" t="e">
        <f ca="1"/>
        <v>#N/A</v>
      </c>
    </row>
    <row r="815" spans="1:18" x14ac:dyDescent="0.2">
      <c r="A815" s="2">
        <v>814</v>
      </c>
      <c r="B815" s="65">
        <v>45733</v>
      </c>
      <c r="C815" s="70">
        <v>0.80224537037037036</v>
      </c>
      <c r="D815" s="66" t="s">
        <v>98</v>
      </c>
      <c r="G815" s="66" t="s">
        <v>121</v>
      </c>
      <c r="H815" s="66" t="s">
        <v>100</v>
      </c>
      <c r="I815" s="33" t="str">
        <f ca="1"/>
        <v>24,99</v>
      </c>
      <c r="J815" s="2">
        <v>815</v>
      </c>
      <c r="K815" s="2" t="str">
        <v>No Match</v>
      </c>
      <c r="M815" s="33">
        <f ca="1"/>
        <v>24.99</v>
      </c>
      <c r="N815" s="2" t="e">
        <f ca="1"/>
        <v>#N/A</v>
      </c>
      <c r="O815" s="2" t="e">
        <f ca="1"/>
        <v>#N/A</v>
      </c>
      <c r="P815" s="2" t="e">
        <f ca="1"/>
        <v>#N/A</v>
      </c>
      <c r="Q815" s="33" t="e">
        <f ca="1"/>
        <v>#N/A</v>
      </c>
      <c r="R815" s="33" t="e">
        <f ca="1"/>
        <v>#N/A</v>
      </c>
    </row>
    <row r="816" spans="1:18" x14ac:dyDescent="0.2">
      <c r="A816" s="2">
        <v>815</v>
      </c>
      <c r="B816" s="65">
        <v>45733</v>
      </c>
      <c r="C816" s="70">
        <v>0.80364583333333328</v>
      </c>
      <c r="D816" s="66" t="s">
        <v>98</v>
      </c>
      <c r="G816" s="66" t="s">
        <v>193</v>
      </c>
      <c r="H816" s="66" t="s">
        <v>100</v>
      </c>
      <c r="I816" s="33" t="str">
        <f ca="1"/>
        <v>25,81</v>
      </c>
      <c r="J816" s="2">
        <v>816</v>
      </c>
      <c r="K816" s="2" t="str">
        <v>No Match</v>
      </c>
      <c r="M816" s="33">
        <f ca="1"/>
        <v>25.81</v>
      </c>
      <c r="N816" s="2" t="e">
        <f ca="1"/>
        <v>#N/A</v>
      </c>
      <c r="O816" s="2" t="e">
        <f ca="1"/>
        <v>#N/A</v>
      </c>
      <c r="P816" s="2" t="e">
        <f ca="1"/>
        <v>#N/A</v>
      </c>
      <c r="Q816" s="33" t="e">
        <f ca="1"/>
        <v>#N/A</v>
      </c>
      <c r="R816" s="33" t="e">
        <f ca="1"/>
        <v>#N/A</v>
      </c>
    </row>
    <row r="817" spans="1:18" x14ac:dyDescent="0.2">
      <c r="A817" s="2">
        <v>816</v>
      </c>
      <c r="B817" s="65">
        <v>45733</v>
      </c>
      <c r="C817" s="70">
        <v>0.80398148148148152</v>
      </c>
      <c r="D817" s="66" t="s">
        <v>98</v>
      </c>
      <c r="G817" s="66" t="s">
        <v>101</v>
      </c>
      <c r="H817" s="66" t="s">
        <v>100</v>
      </c>
      <c r="I817" s="33" t="str">
        <f ca="1"/>
        <v>25,64</v>
      </c>
      <c r="J817" s="2">
        <v>817</v>
      </c>
      <c r="K817" s="2" t="str">
        <v>No Match</v>
      </c>
      <c r="M817" s="33">
        <f ca="1"/>
        <v>25.64</v>
      </c>
      <c r="N817" s="2" t="e">
        <f ca="1"/>
        <v>#N/A</v>
      </c>
      <c r="O817" s="2" t="e">
        <f ca="1"/>
        <v>#N/A</v>
      </c>
      <c r="P817" s="2" t="e">
        <f ca="1"/>
        <v>#N/A</v>
      </c>
      <c r="Q817" s="33" t="e">
        <f ca="1"/>
        <v>#N/A</v>
      </c>
      <c r="R817" s="33" t="e">
        <f ca="1"/>
        <v>#N/A</v>
      </c>
    </row>
    <row r="818" spans="1:18" x14ac:dyDescent="0.2">
      <c r="A818" s="2">
        <v>817</v>
      </c>
      <c r="B818" s="65">
        <v>45733</v>
      </c>
      <c r="C818" s="70">
        <v>0.80430555555555561</v>
      </c>
      <c r="D818" s="66" t="s">
        <v>98</v>
      </c>
      <c r="G818" s="66" t="s">
        <v>168</v>
      </c>
      <c r="H818" s="66" t="s">
        <v>100</v>
      </c>
      <c r="I818" s="33" t="str">
        <f ca="1"/>
        <v>25,59</v>
      </c>
      <c r="J818" s="2">
        <v>818</v>
      </c>
      <c r="K818" s="2" t="str">
        <v>No Match</v>
      </c>
      <c r="M818" s="33">
        <f ca="1"/>
        <v>25.59</v>
      </c>
      <c r="N818" s="2" t="e">
        <f ca="1"/>
        <v>#N/A</v>
      </c>
      <c r="O818" s="2" t="e">
        <f ca="1"/>
        <v>#N/A</v>
      </c>
      <c r="P818" s="2" t="e">
        <f ca="1"/>
        <v>#N/A</v>
      </c>
      <c r="Q818" s="33" t="e">
        <f ca="1"/>
        <v>#N/A</v>
      </c>
      <c r="R818" s="33" t="e">
        <f ca="1"/>
        <v>#N/A</v>
      </c>
    </row>
    <row r="819" spans="1:18" x14ac:dyDescent="0.2">
      <c r="A819" s="2">
        <v>818</v>
      </c>
      <c r="B819" s="65">
        <v>45733</v>
      </c>
      <c r="C819" s="70">
        <v>0.80460648148148151</v>
      </c>
      <c r="D819" s="66" t="s">
        <v>98</v>
      </c>
      <c r="G819" s="66" t="s">
        <v>222</v>
      </c>
      <c r="H819" s="66" t="s">
        <v>100</v>
      </c>
      <c r="I819" s="33" t="str">
        <f ca="1"/>
        <v>25,82</v>
      </c>
      <c r="J819" s="2">
        <v>819</v>
      </c>
      <c r="K819" s="2" t="str">
        <v>No Match</v>
      </c>
      <c r="M819" s="33">
        <f ca="1"/>
        <v>25.82</v>
      </c>
      <c r="N819" s="2" t="e">
        <f ca="1"/>
        <v>#N/A</v>
      </c>
      <c r="O819" s="2" t="e">
        <f ca="1"/>
        <v>#N/A</v>
      </c>
      <c r="P819" s="2" t="e">
        <f ca="1"/>
        <v>#N/A</v>
      </c>
      <c r="Q819" s="33" t="e">
        <f ca="1"/>
        <v>#N/A</v>
      </c>
      <c r="R819" s="33" t="e">
        <f ca="1"/>
        <v>#N/A</v>
      </c>
    </row>
    <row r="820" spans="1:18" x14ac:dyDescent="0.2">
      <c r="A820" s="2">
        <v>819</v>
      </c>
      <c r="B820" s="65">
        <v>45733</v>
      </c>
      <c r="C820" s="70">
        <v>0.80555555555555558</v>
      </c>
      <c r="D820" s="66" t="s">
        <v>98</v>
      </c>
      <c r="G820" s="66" t="s">
        <v>223</v>
      </c>
      <c r="H820" s="66" t="s">
        <v>100</v>
      </c>
      <c r="I820" s="33" t="str">
        <f ca="1"/>
        <v>25,73</v>
      </c>
      <c r="J820" s="2">
        <v>820</v>
      </c>
      <c r="K820" s="2" t="str">
        <v>No Match</v>
      </c>
      <c r="M820" s="33">
        <f ca="1"/>
        <v>25.73</v>
      </c>
      <c r="N820" s="2" t="e">
        <f ca="1"/>
        <v>#N/A</v>
      </c>
      <c r="O820" s="2" t="e">
        <f ca="1"/>
        <v>#N/A</v>
      </c>
      <c r="P820" s="2" t="e">
        <f ca="1"/>
        <v>#N/A</v>
      </c>
      <c r="Q820" s="33" t="e">
        <f ca="1"/>
        <v>#N/A</v>
      </c>
      <c r="R820" s="33" t="e">
        <f ca="1"/>
        <v>#N/A</v>
      </c>
    </row>
    <row r="821" spans="1:18" x14ac:dyDescent="0.2">
      <c r="A821" s="2">
        <v>820</v>
      </c>
      <c r="B821" s="65">
        <v>45733</v>
      </c>
      <c r="C821" s="70">
        <v>0.8066550925925926</v>
      </c>
      <c r="D821" s="66" t="s">
        <v>98</v>
      </c>
      <c r="G821" s="66" t="s">
        <v>179</v>
      </c>
      <c r="H821" s="66" t="s">
        <v>100</v>
      </c>
      <c r="I821" s="33" t="str">
        <f ca="1"/>
        <v>25,55</v>
      </c>
      <c r="J821" s="2">
        <v>821</v>
      </c>
      <c r="K821" s="2" t="str">
        <v>No Match</v>
      </c>
      <c r="M821" s="33">
        <f ca="1"/>
        <v>25.55</v>
      </c>
      <c r="N821" s="2">
        <f ca="1"/>
        <v>25</v>
      </c>
      <c r="O821" s="2">
        <f ca="1"/>
        <v>24.625</v>
      </c>
      <c r="P821" s="2">
        <f ca="1"/>
        <v>25.375</v>
      </c>
      <c r="Q821" s="33">
        <f ca="1"/>
        <v>25.342353658536585</v>
      </c>
      <c r="R821" s="33">
        <f ca="1"/>
        <v>25.401999999999997</v>
      </c>
    </row>
    <row r="822" spans="1:18" x14ac:dyDescent="0.2">
      <c r="A822" s="2">
        <v>821</v>
      </c>
      <c r="B822" s="65">
        <v>45733</v>
      </c>
      <c r="C822" s="70">
        <v>0.81008101851851855</v>
      </c>
      <c r="D822" s="66" t="s">
        <v>98</v>
      </c>
      <c r="G822" s="66" t="s">
        <v>190</v>
      </c>
      <c r="H822" s="66" t="s">
        <v>100</v>
      </c>
      <c r="I822" s="33" t="str">
        <f ca="1"/>
        <v>25,19</v>
      </c>
      <c r="J822" s="2">
        <v>822</v>
      </c>
      <c r="K822" s="2" t="str">
        <v>No Match</v>
      </c>
      <c r="M822" s="33">
        <f ca="1"/>
        <v>25.19</v>
      </c>
      <c r="N822" s="2" t="e">
        <f ca="1"/>
        <v>#N/A</v>
      </c>
      <c r="O822" s="2" t="e">
        <f ca="1"/>
        <v>#N/A</v>
      </c>
      <c r="P822" s="2" t="e">
        <f ca="1"/>
        <v>#N/A</v>
      </c>
      <c r="Q822" s="33" t="e">
        <f ca="1"/>
        <v>#N/A</v>
      </c>
      <c r="R822" s="33" t="e">
        <f ca="1"/>
        <v>#N/A</v>
      </c>
    </row>
    <row r="823" spans="1:18" x14ac:dyDescent="0.2">
      <c r="A823" s="2">
        <v>822</v>
      </c>
      <c r="B823" s="65">
        <v>45733</v>
      </c>
      <c r="C823" s="70">
        <v>0.81052083333333336</v>
      </c>
      <c r="D823" s="66" t="s">
        <v>98</v>
      </c>
      <c r="G823" s="66" t="s">
        <v>173</v>
      </c>
      <c r="H823" s="66" t="s">
        <v>100</v>
      </c>
      <c r="I823" s="33" t="str">
        <f ca="1"/>
        <v>24,87</v>
      </c>
      <c r="J823" s="2">
        <v>823</v>
      </c>
      <c r="K823" s="2" t="str">
        <v>No Match</v>
      </c>
      <c r="M823" s="33">
        <f ca="1"/>
        <v>24.87</v>
      </c>
      <c r="N823" s="2" t="e">
        <f ca="1"/>
        <v>#N/A</v>
      </c>
      <c r="O823" s="2" t="e">
        <f ca="1"/>
        <v>#N/A</v>
      </c>
      <c r="P823" s="2" t="e">
        <f ca="1"/>
        <v>#N/A</v>
      </c>
      <c r="Q823" s="33" t="e">
        <f ca="1"/>
        <v>#N/A</v>
      </c>
      <c r="R823" s="33" t="e">
        <f ca="1"/>
        <v>#N/A</v>
      </c>
    </row>
    <row r="824" spans="1:18" x14ac:dyDescent="0.2">
      <c r="A824" s="2">
        <v>823</v>
      </c>
      <c r="B824" s="65">
        <v>45733</v>
      </c>
      <c r="C824" s="70">
        <v>0.81222222222222218</v>
      </c>
      <c r="D824" s="66" t="s">
        <v>98</v>
      </c>
      <c r="G824" s="66" t="s">
        <v>110</v>
      </c>
      <c r="H824" s="66" t="s">
        <v>100</v>
      </c>
      <c r="I824" s="33" t="str">
        <f ca="1"/>
        <v>25,12</v>
      </c>
      <c r="J824" s="2">
        <v>824</v>
      </c>
      <c r="K824" s="2" t="str">
        <v>No Match</v>
      </c>
      <c r="M824" s="33">
        <f ca="1"/>
        <v>25.12</v>
      </c>
      <c r="N824" s="2" t="e">
        <f ca="1"/>
        <v>#N/A</v>
      </c>
      <c r="O824" s="2" t="e">
        <f ca="1"/>
        <v>#N/A</v>
      </c>
      <c r="P824" s="2" t="e">
        <f ca="1"/>
        <v>#N/A</v>
      </c>
      <c r="Q824" s="33" t="e">
        <f ca="1"/>
        <v>#N/A</v>
      </c>
      <c r="R824" s="33" t="e">
        <f ca="1"/>
        <v>#N/A</v>
      </c>
    </row>
    <row r="825" spans="1:18" x14ac:dyDescent="0.2">
      <c r="A825" s="2">
        <v>824</v>
      </c>
      <c r="B825" s="65">
        <v>45733</v>
      </c>
      <c r="C825" s="70">
        <v>0.81263888888888891</v>
      </c>
      <c r="D825" s="66" t="s">
        <v>98</v>
      </c>
      <c r="G825" s="66" t="s">
        <v>139</v>
      </c>
      <c r="H825" s="66" t="s">
        <v>100</v>
      </c>
      <c r="I825" s="33" t="str">
        <f ca="1"/>
        <v>25,35</v>
      </c>
      <c r="J825" s="2">
        <v>825</v>
      </c>
      <c r="K825" s="2" t="str">
        <v>No Match</v>
      </c>
      <c r="M825" s="33">
        <f ca="1"/>
        <v>25.35</v>
      </c>
      <c r="N825" s="2" t="e">
        <f ca="1"/>
        <v>#N/A</v>
      </c>
      <c r="O825" s="2" t="e">
        <f ca="1"/>
        <v>#N/A</v>
      </c>
      <c r="P825" s="2" t="e">
        <f ca="1"/>
        <v>#N/A</v>
      </c>
      <c r="Q825" s="33" t="e">
        <f ca="1"/>
        <v>#N/A</v>
      </c>
      <c r="R825" s="33" t="e">
        <f ca="1"/>
        <v>#N/A</v>
      </c>
    </row>
    <row r="826" spans="1:18" x14ac:dyDescent="0.2">
      <c r="A826" s="2">
        <v>825</v>
      </c>
      <c r="B826" s="65">
        <v>45733</v>
      </c>
      <c r="C826" s="70">
        <v>0.81314814814814818</v>
      </c>
      <c r="D826" s="66" t="s">
        <v>98</v>
      </c>
      <c r="G826" s="66" t="s">
        <v>122</v>
      </c>
      <c r="H826" s="66" t="s">
        <v>100</v>
      </c>
      <c r="I826" s="33" t="str">
        <f ca="1"/>
        <v>25,27</v>
      </c>
      <c r="J826" s="2">
        <v>826</v>
      </c>
      <c r="K826" s="2" t="str">
        <v>No Match</v>
      </c>
      <c r="M826" s="33">
        <f ca="1"/>
        <v>25.27</v>
      </c>
      <c r="N826" s="2" t="e">
        <f ca="1"/>
        <v>#N/A</v>
      </c>
      <c r="O826" s="2" t="e">
        <f ca="1"/>
        <v>#N/A</v>
      </c>
      <c r="P826" s="2" t="e">
        <f ca="1"/>
        <v>#N/A</v>
      </c>
      <c r="Q826" s="33" t="e">
        <f ca="1"/>
        <v>#N/A</v>
      </c>
      <c r="R826" s="33" t="e">
        <f ca="1"/>
        <v>#N/A</v>
      </c>
    </row>
    <row r="827" spans="1:18" x14ac:dyDescent="0.2">
      <c r="A827" s="2">
        <v>826</v>
      </c>
      <c r="B827" s="65">
        <v>45733</v>
      </c>
      <c r="C827" s="70">
        <v>0.8137268518518519</v>
      </c>
      <c r="D827" s="66" t="s">
        <v>98</v>
      </c>
      <c r="G827" s="66" t="s">
        <v>122</v>
      </c>
      <c r="H827" s="66" t="s">
        <v>100</v>
      </c>
      <c r="I827" s="33" t="str">
        <f ca="1"/>
        <v>25,27</v>
      </c>
      <c r="J827" s="2">
        <v>827</v>
      </c>
      <c r="K827" s="2" t="str">
        <v>No Match</v>
      </c>
      <c r="M827" s="33">
        <f ca="1"/>
        <v>25.27</v>
      </c>
      <c r="N827" s="2" t="e">
        <f ca="1"/>
        <v>#N/A</v>
      </c>
      <c r="O827" s="2" t="e">
        <f ca="1"/>
        <v>#N/A</v>
      </c>
      <c r="P827" s="2" t="e">
        <f ca="1"/>
        <v>#N/A</v>
      </c>
      <c r="Q827" s="33" t="e">
        <f ca="1"/>
        <v>#N/A</v>
      </c>
      <c r="R827" s="33" t="e">
        <f ca="1"/>
        <v>#N/A</v>
      </c>
    </row>
    <row r="828" spans="1:18" x14ac:dyDescent="0.2">
      <c r="A828" s="2">
        <v>827</v>
      </c>
      <c r="B828" s="65">
        <v>45733</v>
      </c>
      <c r="C828" s="70">
        <v>0.81465277777777778</v>
      </c>
      <c r="D828" s="66" t="s">
        <v>98</v>
      </c>
      <c r="G828" s="66" t="s">
        <v>146</v>
      </c>
      <c r="H828" s="66" t="s">
        <v>100</v>
      </c>
      <c r="I828" s="33" t="str">
        <f ca="1"/>
        <v>25,37</v>
      </c>
      <c r="J828" s="2">
        <v>828</v>
      </c>
      <c r="K828" s="2" t="str">
        <v>No Match</v>
      </c>
      <c r="M828" s="33">
        <f ca="1"/>
        <v>25.37</v>
      </c>
      <c r="N828" s="2" t="e">
        <f ca="1"/>
        <v>#N/A</v>
      </c>
      <c r="O828" s="2" t="e">
        <f ca="1"/>
        <v>#N/A</v>
      </c>
      <c r="P828" s="2" t="e">
        <f ca="1"/>
        <v>#N/A</v>
      </c>
      <c r="Q828" s="33" t="e">
        <f ca="1"/>
        <v>#N/A</v>
      </c>
      <c r="R828" s="33" t="e">
        <f ca="1"/>
        <v>#N/A</v>
      </c>
    </row>
    <row r="829" spans="1:18" x14ac:dyDescent="0.2">
      <c r="A829" s="2">
        <v>828</v>
      </c>
      <c r="B829" s="65">
        <v>45733</v>
      </c>
      <c r="C829" s="70">
        <v>0.81586805555555553</v>
      </c>
      <c r="D829" s="66" t="s">
        <v>98</v>
      </c>
      <c r="G829" s="66" t="s">
        <v>161</v>
      </c>
      <c r="H829" s="66" t="s">
        <v>100</v>
      </c>
      <c r="I829" s="33" t="str">
        <f ca="1"/>
        <v>25,38</v>
      </c>
      <c r="J829" s="2">
        <v>829</v>
      </c>
      <c r="K829" s="2" t="str">
        <v>No Match</v>
      </c>
      <c r="M829" s="33">
        <f ca="1"/>
        <v>25.38</v>
      </c>
      <c r="N829" s="2" t="e">
        <f ca="1"/>
        <v>#N/A</v>
      </c>
      <c r="O829" s="2" t="e">
        <f ca="1"/>
        <v>#N/A</v>
      </c>
      <c r="P829" s="2" t="e">
        <f ca="1"/>
        <v>#N/A</v>
      </c>
      <c r="Q829" s="33" t="e">
        <f ca="1"/>
        <v>#N/A</v>
      </c>
      <c r="R829" s="33" t="e">
        <f ca="1"/>
        <v>#N/A</v>
      </c>
    </row>
    <row r="830" spans="1:18" x14ac:dyDescent="0.2">
      <c r="A830" s="2">
        <v>829</v>
      </c>
      <c r="B830" s="65">
        <v>45733</v>
      </c>
      <c r="C830" s="70">
        <v>0.8168171296296296</v>
      </c>
      <c r="D830" s="66" t="s">
        <v>98</v>
      </c>
      <c r="G830" s="66" t="s">
        <v>111</v>
      </c>
      <c r="H830" s="66" t="s">
        <v>100</v>
      </c>
      <c r="I830" s="33" t="str">
        <f ca="1"/>
        <v>25,44</v>
      </c>
      <c r="J830" s="2">
        <v>830</v>
      </c>
      <c r="K830" s="2" t="str">
        <v>No Match</v>
      </c>
      <c r="M830" s="33">
        <f ca="1"/>
        <v>25.44</v>
      </c>
      <c r="N830" s="2" t="e">
        <f ca="1"/>
        <v>#N/A</v>
      </c>
      <c r="O830" s="2" t="e">
        <f ca="1"/>
        <v>#N/A</v>
      </c>
      <c r="P830" s="2" t="e">
        <f ca="1"/>
        <v>#N/A</v>
      </c>
      <c r="Q830" s="33" t="e">
        <f ca="1"/>
        <v>#N/A</v>
      </c>
      <c r="R830" s="33" t="e">
        <f ca="1"/>
        <v>#N/A</v>
      </c>
    </row>
    <row r="831" spans="1:18" x14ac:dyDescent="0.2">
      <c r="A831" s="2">
        <v>830</v>
      </c>
      <c r="B831" s="65">
        <v>45733</v>
      </c>
      <c r="C831" s="70">
        <v>0.81844907407407408</v>
      </c>
      <c r="D831" s="66" t="s">
        <v>98</v>
      </c>
      <c r="G831" s="66" t="s">
        <v>117</v>
      </c>
      <c r="H831" s="66" t="s">
        <v>100</v>
      </c>
      <c r="I831" s="33" t="str">
        <f ca="1"/>
        <v>25,61</v>
      </c>
      <c r="J831" s="2">
        <v>831</v>
      </c>
      <c r="K831" s="2" t="str">
        <v>No Match</v>
      </c>
      <c r="M831" s="33">
        <f ca="1"/>
        <v>25.61</v>
      </c>
      <c r="N831" s="2">
        <f ca="1"/>
        <v>25</v>
      </c>
      <c r="O831" s="2">
        <f ca="1"/>
        <v>24.625</v>
      </c>
      <c r="P831" s="2">
        <f ca="1"/>
        <v>25.375</v>
      </c>
      <c r="Q831" s="33">
        <f ca="1"/>
        <v>25.341686746987946</v>
      </c>
      <c r="R831" s="33">
        <f ca="1"/>
        <v>25.286999999999999</v>
      </c>
    </row>
    <row r="832" spans="1:18" x14ac:dyDescent="0.2">
      <c r="A832" s="2">
        <v>831</v>
      </c>
      <c r="B832" s="65">
        <v>45733</v>
      </c>
      <c r="C832" s="70">
        <v>0.81994212962962965</v>
      </c>
      <c r="D832" s="66" t="s">
        <v>98</v>
      </c>
      <c r="G832" s="66" t="s">
        <v>179</v>
      </c>
      <c r="H832" s="66" t="s">
        <v>100</v>
      </c>
      <c r="I832" s="33" t="str">
        <f ca="1"/>
        <v>25,55</v>
      </c>
      <c r="J832" s="2">
        <v>832</v>
      </c>
      <c r="K832" s="2" t="str">
        <v>No Match</v>
      </c>
      <c r="M832" s="33">
        <f ca="1"/>
        <v>25.55</v>
      </c>
      <c r="N832" s="2" t="e">
        <f ca="1"/>
        <v>#N/A</v>
      </c>
      <c r="O832" s="2" t="e">
        <f ca="1"/>
        <v>#N/A</v>
      </c>
      <c r="P832" s="2" t="e">
        <f ca="1"/>
        <v>#N/A</v>
      </c>
      <c r="Q832" s="33" t="e">
        <f ca="1"/>
        <v>#N/A</v>
      </c>
      <c r="R832" s="33" t="e">
        <f ca="1"/>
        <v>#N/A</v>
      </c>
    </row>
    <row r="833" spans="1:18" x14ac:dyDescent="0.2">
      <c r="A833" s="2">
        <v>832</v>
      </c>
      <c r="B833" s="65">
        <v>45733</v>
      </c>
      <c r="C833" s="70">
        <v>0.82087962962962968</v>
      </c>
      <c r="D833" s="66" t="s">
        <v>98</v>
      </c>
      <c r="G833" s="66" t="s">
        <v>116</v>
      </c>
      <c r="H833" s="66" t="s">
        <v>100</v>
      </c>
      <c r="I833" s="33" t="str">
        <f ca="1"/>
        <v>25,33</v>
      </c>
      <c r="J833" s="2">
        <v>833</v>
      </c>
      <c r="K833" s="2" t="str">
        <v>No Match</v>
      </c>
      <c r="M833" s="33">
        <f ca="1"/>
        <v>25.33</v>
      </c>
      <c r="N833" s="2" t="e">
        <f ca="1"/>
        <v>#N/A</v>
      </c>
      <c r="O833" s="2" t="e">
        <f ca="1"/>
        <v>#N/A</v>
      </c>
      <c r="P833" s="2" t="e">
        <f ca="1"/>
        <v>#N/A</v>
      </c>
      <c r="Q833" s="33" t="e">
        <f ca="1"/>
        <v>#N/A</v>
      </c>
      <c r="R833" s="33" t="e">
        <f ca="1"/>
        <v>#N/A</v>
      </c>
    </row>
    <row r="834" spans="1:18" x14ac:dyDescent="0.2">
      <c r="A834" s="2">
        <v>833</v>
      </c>
      <c r="B834" s="65">
        <v>45733</v>
      </c>
      <c r="C834" s="70">
        <v>0.8223611111111111</v>
      </c>
      <c r="D834" s="66" t="s">
        <v>98</v>
      </c>
      <c r="G834" s="66" t="s">
        <v>163</v>
      </c>
      <c r="H834" s="66" t="s">
        <v>100</v>
      </c>
      <c r="I834" s="33" t="str">
        <f ca="1"/>
        <v>25,47</v>
      </c>
      <c r="J834" s="2">
        <v>834</v>
      </c>
      <c r="K834" s="2" t="str">
        <v>No Match</v>
      </c>
      <c r="M834" s="33">
        <f ca="1"/>
        <v>25.47</v>
      </c>
      <c r="N834" s="2" t="e">
        <f ca="1"/>
        <v>#N/A</v>
      </c>
      <c r="O834" s="2" t="e">
        <f ca="1"/>
        <v>#N/A</v>
      </c>
      <c r="P834" s="2" t="e">
        <f ca="1"/>
        <v>#N/A</v>
      </c>
      <c r="Q834" s="33" t="e">
        <f ca="1"/>
        <v>#N/A</v>
      </c>
      <c r="R834" s="33" t="e">
        <f ca="1"/>
        <v>#N/A</v>
      </c>
    </row>
    <row r="835" spans="1:18" x14ac:dyDescent="0.2">
      <c r="A835" s="2">
        <v>834</v>
      </c>
      <c r="B835" s="65">
        <v>45733</v>
      </c>
      <c r="C835" s="70">
        <v>0.82437499999999997</v>
      </c>
      <c r="D835" s="66" t="s">
        <v>98</v>
      </c>
      <c r="G835" s="66" t="s">
        <v>176</v>
      </c>
      <c r="H835" s="66" t="s">
        <v>100</v>
      </c>
      <c r="I835" s="33" t="str">
        <f ca="1"/>
        <v>25,18</v>
      </c>
      <c r="J835" s="2">
        <v>835</v>
      </c>
      <c r="K835" s="2" t="str">
        <v>No Match</v>
      </c>
      <c r="M835" s="33">
        <f ca="1"/>
        <v>25.18</v>
      </c>
      <c r="N835" s="2" t="e">
        <f ca="1"/>
        <v>#N/A</v>
      </c>
      <c r="O835" s="2" t="e">
        <f ca="1"/>
        <v>#N/A</v>
      </c>
      <c r="P835" s="2" t="e">
        <f ca="1"/>
        <v>#N/A</v>
      </c>
      <c r="Q835" s="33" t="e">
        <f ca="1"/>
        <v>#N/A</v>
      </c>
      <c r="R835" s="33" t="e">
        <f ca="1"/>
        <v>#N/A</v>
      </c>
    </row>
    <row r="836" spans="1:18" x14ac:dyDescent="0.2">
      <c r="A836" s="2">
        <v>835</v>
      </c>
      <c r="B836" s="65">
        <v>45733</v>
      </c>
      <c r="C836" s="70">
        <v>0.82517361111111109</v>
      </c>
      <c r="D836" s="66" t="s">
        <v>98</v>
      </c>
      <c r="G836" s="66" t="s">
        <v>179</v>
      </c>
      <c r="H836" s="66" t="s">
        <v>100</v>
      </c>
      <c r="I836" s="33" t="str">
        <f ca="1"/>
        <v>25,55</v>
      </c>
      <c r="J836" s="2">
        <v>836</v>
      </c>
      <c r="K836" s="2" t="str">
        <v>No Match</v>
      </c>
      <c r="M836" s="33">
        <f ca="1"/>
        <v>25.55</v>
      </c>
      <c r="N836" s="2" t="e">
        <f ca="1"/>
        <v>#N/A</v>
      </c>
      <c r="O836" s="2" t="e">
        <f ca="1"/>
        <v>#N/A</v>
      </c>
      <c r="P836" s="2" t="e">
        <f ca="1"/>
        <v>#N/A</v>
      </c>
      <c r="Q836" s="33" t="e">
        <f ca="1"/>
        <v>#N/A</v>
      </c>
      <c r="R836" s="33" t="e">
        <f ca="1"/>
        <v>#N/A</v>
      </c>
    </row>
    <row r="837" spans="1:18" x14ac:dyDescent="0.2">
      <c r="A837" s="2">
        <v>836</v>
      </c>
      <c r="B837" s="65">
        <v>45733</v>
      </c>
      <c r="C837" s="70">
        <v>0.84075231481481483</v>
      </c>
      <c r="D837" s="66" t="s">
        <v>98</v>
      </c>
      <c r="G837" s="66" t="s">
        <v>178</v>
      </c>
      <c r="H837" s="66" t="s">
        <v>100</v>
      </c>
      <c r="I837" s="33" t="str">
        <f ca="1"/>
        <v>24,84</v>
      </c>
      <c r="J837" s="2">
        <v>837</v>
      </c>
      <c r="K837" s="2" t="str">
        <v>No Match</v>
      </c>
      <c r="M837" s="33">
        <f ca="1"/>
        <v>24.84</v>
      </c>
      <c r="N837" s="2" t="e">
        <f ca="1"/>
        <v>#N/A</v>
      </c>
      <c r="O837" s="2" t="e">
        <f ca="1"/>
        <v>#N/A</v>
      </c>
      <c r="P837" s="2" t="e">
        <f ca="1"/>
        <v>#N/A</v>
      </c>
      <c r="Q837" s="33" t="e">
        <f ca="1"/>
        <v>#N/A</v>
      </c>
      <c r="R837" s="33" t="e">
        <f ca="1"/>
        <v>#N/A</v>
      </c>
    </row>
    <row r="838" spans="1:18" x14ac:dyDescent="0.2">
      <c r="A838" s="2">
        <v>837</v>
      </c>
      <c r="B838" s="65">
        <v>45733</v>
      </c>
      <c r="C838" s="70">
        <v>0.84100694444444446</v>
      </c>
      <c r="D838" s="66" t="s">
        <v>98</v>
      </c>
      <c r="G838" s="66" t="s">
        <v>147</v>
      </c>
      <c r="H838" s="66" t="s">
        <v>100</v>
      </c>
      <c r="I838" s="33" t="str">
        <f ca="1"/>
        <v>25,00</v>
      </c>
      <c r="J838" s="2">
        <v>838</v>
      </c>
      <c r="K838" s="2" t="str">
        <v>No Match</v>
      </c>
      <c r="M838" s="33">
        <f ca="1"/>
        <v>25</v>
      </c>
      <c r="N838" s="2" t="e">
        <f ca="1"/>
        <v>#N/A</v>
      </c>
      <c r="O838" s="2" t="e">
        <f ca="1"/>
        <v>#N/A</v>
      </c>
      <c r="P838" s="2" t="e">
        <f ca="1"/>
        <v>#N/A</v>
      </c>
      <c r="Q838" s="33" t="e">
        <f ca="1"/>
        <v>#N/A</v>
      </c>
      <c r="R838" s="33" t="e">
        <f ca="1"/>
        <v>#N/A</v>
      </c>
    </row>
    <row r="839" spans="1:18" x14ac:dyDescent="0.2">
      <c r="A839" s="2">
        <v>838</v>
      </c>
      <c r="B839" s="65">
        <v>45733</v>
      </c>
      <c r="C839" s="70">
        <v>0.84127314814814813</v>
      </c>
      <c r="D839" s="66" t="s">
        <v>98</v>
      </c>
      <c r="G839" s="66" t="s">
        <v>157</v>
      </c>
      <c r="H839" s="66" t="s">
        <v>100</v>
      </c>
      <c r="I839" s="33" t="str">
        <f ca="1"/>
        <v>25,72</v>
      </c>
      <c r="J839" s="2">
        <v>839</v>
      </c>
      <c r="K839" s="2" t="str">
        <v>No Match</v>
      </c>
      <c r="M839" s="33">
        <f ca="1"/>
        <v>25.72</v>
      </c>
      <c r="N839" s="2" t="e">
        <f ca="1"/>
        <v>#N/A</v>
      </c>
      <c r="O839" s="2" t="e">
        <f ca="1"/>
        <v>#N/A</v>
      </c>
      <c r="P839" s="2" t="e">
        <f ca="1"/>
        <v>#N/A</v>
      </c>
      <c r="Q839" s="33" t="e">
        <f ca="1"/>
        <v>#N/A</v>
      </c>
      <c r="R839" s="33" t="e">
        <f ca="1"/>
        <v>#N/A</v>
      </c>
    </row>
    <row r="840" spans="1:18" x14ac:dyDescent="0.2">
      <c r="A840" s="2">
        <v>839</v>
      </c>
      <c r="B840" s="65">
        <v>45733</v>
      </c>
      <c r="C840" s="70">
        <v>0.84158564814814818</v>
      </c>
      <c r="D840" s="66" t="s">
        <v>98</v>
      </c>
      <c r="G840" s="66" t="s">
        <v>195</v>
      </c>
      <c r="H840" s="66" t="s">
        <v>100</v>
      </c>
      <c r="I840" s="33" t="str">
        <f ca="1"/>
        <v>25,60</v>
      </c>
      <c r="J840" s="2">
        <v>840</v>
      </c>
      <c r="K840" s="2" t="str">
        <v>No Match</v>
      </c>
      <c r="M840" s="33">
        <f ca="1"/>
        <v>25.6</v>
      </c>
      <c r="N840" s="2" t="e">
        <f ca="1"/>
        <v>#N/A</v>
      </c>
      <c r="O840" s="2" t="e">
        <f ca="1"/>
        <v>#N/A</v>
      </c>
      <c r="P840" s="2" t="e">
        <f ca="1"/>
        <v>#N/A</v>
      </c>
      <c r="Q840" s="33" t="e">
        <f ca="1"/>
        <v>#N/A</v>
      </c>
      <c r="R840" s="33" t="e">
        <f ca="1"/>
        <v>#N/A</v>
      </c>
    </row>
    <row r="841" spans="1:18" x14ac:dyDescent="0.2">
      <c r="A841" s="2">
        <v>840</v>
      </c>
      <c r="B841" s="65">
        <v>45733</v>
      </c>
      <c r="C841" s="70">
        <v>0.84180555555555558</v>
      </c>
      <c r="D841" s="66" t="s">
        <v>98</v>
      </c>
      <c r="G841" s="66" t="s">
        <v>132</v>
      </c>
      <c r="H841" s="66" t="s">
        <v>100</v>
      </c>
      <c r="I841" s="33" t="str">
        <f ca="1"/>
        <v>25,57</v>
      </c>
      <c r="J841" s="2">
        <v>841</v>
      </c>
      <c r="K841" s="2" t="str">
        <v>No Match</v>
      </c>
      <c r="M841" s="33">
        <f ca="1"/>
        <v>25.57</v>
      </c>
      <c r="N841" s="2">
        <f ca="1"/>
        <v>25</v>
      </c>
      <c r="O841" s="2">
        <f ca="1"/>
        <v>24.625</v>
      </c>
      <c r="P841" s="2">
        <f ca="1"/>
        <v>25.375</v>
      </c>
      <c r="Q841" s="33">
        <f ca="1"/>
        <v>25.342154761904759</v>
      </c>
      <c r="R841" s="33">
        <f ca="1"/>
        <v>25.380999999999997</v>
      </c>
    </row>
    <row r="842" spans="1:18" x14ac:dyDescent="0.2">
      <c r="A842" s="2">
        <v>841</v>
      </c>
      <c r="B842" s="65">
        <v>45733</v>
      </c>
      <c r="C842" s="70">
        <v>0.84221064814814817</v>
      </c>
      <c r="D842" s="66" t="s">
        <v>98</v>
      </c>
      <c r="G842" s="66" t="s">
        <v>219</v>
      </c>
      <c r="H842" s="66" t="s">
        <v>100</v>
      </c>
      <c r="I842" s="33" t="str">
        <f ca="1"/>
        <v>25,89</v>
      </c>
      <c r="J842" s="2">
        <v>842</v>
      </c>
      <c r="K842" s="2" t="str">
        <v>No Match</v>
      </c>
      <c r="M842" s="33">
        <f ca="1"/>
        <v>25.89</v>
      </c>
      <c r="N842" s="2" t="e">
        <f ca="1"/>
        <v>#N/A</v>
      </c>
      <c r="O842" s="2" t="e">
        <f ca="1"/>
        <v>#N/A</v>
      </c>
      <c r="P842" s="2" t="e">
        <f ca="1"/>
        <v>#N/A</v>
      </c>
      <c r="Q842" s="33" t="e">
        <f ca="1"/>
        <v>#N/A</v>
      </c>
      <c r="R842" s="33" t="e">
        <f ca="1"/>
        <v>#N/A</v>
      </c>
    </row>
    <row r="843" spans="1:18" x14ac:dyDescent="0.2">
      <c r="A843" s="2">
        <v>842</v>
      </c>
      <c r="B843" s="65">
        <v>45733</v>
      </c>
      <c r="C843" s="70">
        <v>0.84297453703703706</v>
      </c>
      <c r="D843" s="66" t="s">
        <v>98</v>
      </c>
      <c r="G843" s="66" t="s">
        <v>217</v>
      </c>
      <c r="H843" s="66" t="s">
        <v>100</v>
      </c>
      <c r="I843" s="33" t="str">
        <f ca="1"/>
        <v>25,74</v>
      </c>
      <c r="J843" s="2">
        <v>843</v>
      </c>
      <c r="K843" s="2" t="str">
        <v>No Match</v>
      </c>
      <c r="M843" s="33">
        <f ca="1"/>
        <v>25.74</v>
      </c>
      <c r="N843" s="2" t="e">
        <f ca="1"/>
        <v>#N/A</v>
      </c>
      <c r="O843" s="2" t="e">
        <f ca="1"/>
        <v>#N/A</v>
      </c>
      <c r="P843" s="2" t="e">
        <f ca="1"/>
        <v>#N/A</v>
      </c>
      <c r="Q843" s="33" t="e">
        <f ca="1"/>
        <v>#N/A</v>
      </c>
      <c r="R843" s="33" t="e">
        <f ca="1"/>
        <v>#N/A</v>
      </c>
    </row>
    <row r="844" spans="1:18" x14ac:dyDescent="0.2">
      <c r="A844" s="2">
        <v>843</v>
      </c>
      <c r="B844" s="65">
        <v>45733</v>
      </c>
      <c r="C844" s="70">
        <v>0.84357638888888886</v>
      </c>
      <c r="D844" s="66" t="s">
        <v>98</v>
      </c>
      <c r="G844" s="66" t="s">
        <v>124</v>
      </c>
      <c r="H844" s="66" t="s">
        <v>100</v>
      </c>
      <c r="I844" s="33" t="str">
        <f ca="1"/>
        <v>25,09</v>
      </c>
      <c r="J844" s="2">
        <v>844</v>
      </c>
      <c r="K844" s="2" t="str">
        <v>No Match</v>
      </c>
      <c r="M844" s="33">
        <f ca="1"/>
        <v>25.09</v>
      </c>
      <c r="N844" s="2" t="e">
        <f ca="1"/>
        <v>#N/A</v>
      </c>
      <c r="O844" s="2" t="e">
        <f ca="1"/>
        <v>#N/A</v>
      </c>
      <c r="P844" s="2" t="e">
        <f ca="1"/>
        <v>#N/A</v>
      </c>
      <c r="Q844" s="33" t="e">
        <f ca="1"/>
        <v>#N/A</v>
      </c>
      <c r="R844" s="33" t="e">
        <f ca="1"/>
        <v>#N/A</v>
      </c>
    </row>
    <row r="845" spans="1:18" x14ac:dyDescent="0.2">
      <c r="A845" s="2">
        <v>844</v>
      </c>
      <c r="B845" s="65">
        <v>45733</v>
      </c>
      <c r="C845" s="70">
        <v>0.84501157407407412</v>
      </c>
      <c r="D845" s="66" t="s">
        <v>98</v>
      </c>
      <c r="G845" s="66" t="s">
        <v>203</v>
      </c>
      <c r="H845" s="66" t="s">
        <v>100</v>
      </c>
      <c r="I845" s="33" t="str">
        <f ca="1"/>
        <v>24,86</v>
      </c>
      <c r="J845" s="2">
        <v>845</v>
      </c>
      <c r="K845" s="2" t="str">
        <v>No Match</v>
      </c>
      <c r="M845" s="33">
        <f ca="1"/>
        <v>24.86</v>
      </c>
      <c r="N845" s="2" t="e">
        <f ca="1"/>
        <v>#N/A</v>
      </c>
      <c r="O845" s="2" t="e">
        <f ca="1"/>
        <v>#N/A</v>
      </c>
      <c r="P845" s="2" t="e">
        <f ca="1"/>
        <v>#N/A</v>
      </c>
      <c r="Q845" s="33" t="e">
        <f ca="1"/>
        <v>#N/A</v>
      </c>
      <c r="R845" s="33" t="e">
        <f ca="1"/>
        <v>#N/A</v>
      </c>
    </row>
    <row r="846" spans="1:18" x14ac:dyDescent="0.2">
      <c r="A846" s="2">
        <v>845</v>
      </c>
      <c r="B846" s="65">
        <v>45733</v>
      </c>
      <c r="C846" s="70">
        <v>0.84581018518518514</v>
      </c>
      <c r="D846" s="66" t="s">
        <v>98</v>
      </c>
      <c r="G846" s="66" t="s">
        <v>134</v>
      </c>
      <c r="H846" s="66" t="s">
        <v>100</v>
      </c>
      <c r="I846" s="33" t="str">
        <f ca="1"/>
        <v>24,94</v>
      </c>
      <c r="J846" s="2">
        <v>846</v>
      </c>
      <c r="K846" s="2" t="str">
        <v>No Match</v>
      </c>
      <c r="M846" s="33">
        <f ca="1"/>
        <v>24.94</v>
      </c>
      <c r="N846" s="2" t="e">
        <f ca="1"/>
        <v>#N/A</v>
      </c>
      <c r="O846" s="2" t="e">
        <f ca="1"/>
        <v>#N/A</v>
      </c>
      <c r="P846" s="2" t="e">
        <f ca="1"/>
        <v>#N/A</v>
      </c>
      <c r="Q846" s="33" t="e">
        <f ca="1"/>
        <v>#N/A</v>
      </c>
      <c r="R846" s="33" t="e">
        <f ca="1"/>
        <v>#N/A</v>
      </c>
    </row>
    <row r="847" spans="1:18" x14ac:dyDescent="0.2">
      <c r="A847" s="2">
        <v>846</v>
      </c>
      <c r="B847" s="65">
        <v>45733</v>
      </c>
      <c r="C847" s="70">
        <v>0.84709490740740745</v>
      </c>
      <c r="D847" s="66" t="s">
        <v>98</v>
      </c>
      <c r="G847" s="66" t="s">
        <v>153</v>
      </c>
      <c r="H847" s="66" t="s">
        <v>100</v>
      </c>
      <c r="I847" s="33" t="str">
        <f ca="1"/>
        <v>25,71</v>
      </c>
      <c r="J847" s="2">
        <v>847</v>
      </c>
      <c r="K847" s="2" t="str">
        <v>No Match</v>
      </c>
      <c r="M847" s="33">
        <f ca="1"/>
        <v>25.71</v>
      </c>
      <c r="N847" s="2" t="e">
        <f ca="1"/>
        <v>#N/A</v>
      </c>
      <c r="O847" s="2" t="e">
        <f ca="1"/>
        <v>#N/A</v>
      </c>
      <c r="P847" s="2" t="e">
        <f ca="1"/>
        <v>#N/A</v>
      </c>
      <c r="Q847" s="33" t="e">
        <f ca="1"/>
        <v>#N/A</v>
      </c>
      <c r="R847" s="33" t="e">
        <f ca="1"/>
        <v>#N/A</v>
      </c>
    </row>
    <row r="848" spans="1:18" x14ac:dyDescent="0.2">
      <c r="A848" s="2">
        <v>847</v>
      </c>
      <c r="B848" s="65">
        <v>45733</v>
      </c>
      <c r="C848" s="70">
        <v>0.84850694444444441</v>
      </c>
      <c r="D848" s="66" t="s">
        <v>98</v>
      </c>
      <c r="G848" s="66" t="s">
        <v>170</v>
      </c>
      <c r="H848" s="66" t="s">
        <v>100</v>
      </c>
      <c r="I848" s="33" t="str">
        <f ca="1"/>
        <v>25,52</v>
      </c>
      <c r="J848" s="2">
        <v>848</v>
      </c>
      <c r="K848" s="2" t="str">
        <v>No Match</v>
      </c>
      <c r="M848" s="33">
        <f ca="1"/>
        <v>25.52</v>
      </c>
      <c r="N848" s="2" t="e">
        <f ca="1"/>
        <v>#N/A</v>
      </c>
      <c r="O848" s="2" t="e">
        <f ca="1"/>
        <v>#N/A</v>
      </c>
      <c r="P848" s="2" t="e">
        <f ca="1"/>
        <v>#N/A</v>
      </c>
      <c r="Q848" s="33" t="e">
        <f ca="1"/>
        <v>#N/A</v>
      </c>
      <c r="R848" s="33" t="e">
        <f ca="1"/>
        <v>#N/A</v>
      </c>
    </row>
    <row r="849" spans="1:18" x14ac:dyDescent="0.2">
      <c r="A849" s="2">
        <v>848</v>
      </c>
      <c r="B849" s="65">
        <v>45733</v>
      </c>
      <c r="C849" s="70">
        <v>0.84968750000000004</v>
      </c>
      <c r="D849" s="66" t="s">
        <v>98</v>
      </c>
      <c r="G849" s="66" t="s">
        <v>249</v>
      </c>
      <c r="H849" s="66" t="s">
        <v>100</v>
      </c>
      <c r="I849" s="33" t="str">
        <f ca="1"/>
        <v>25,87</v>
      </c>
      <c r="J849" s="2">
        <v>849</v>
      </c>
      <c r="K849" s="2" t="str">
        <v>No Match</v>
      </c>
      <c r="M849" s="33">
        <f ca="1"/>
        <v>25.87</v>
      </c>
      <c r="N849" s="2" t="e">
        <f ca="1"/>
        <v>#N/A</v>
      </c>
      <c r="O849" s="2" t="e">
        <f ca="1"/>
        <v>#N/A</v>
      </c>
      <c r="P849" s="2" t="e">
        <f ca="1"/>
        <v>#N/A</v>
      </c>
      <c r="Q849" s="33" t="e">
        <f ca="1"/>
        <v>#N/A</v>
      </c>
      <c r="R849" s="33" t="e">
        <f ca="1"/>
        <v>#N/A</v>
      </c>
    </row>
    <row r="850" spans="1:18" x14ac:dyDescent="0.2">
      <c r="A850" s="2">
        <v>849</v>
      </c>
      <c r="B850" s="65">
        <v>45733</v>
      </c>
      <c r="C850" s="70">
        <v>0.85261574074074076</v>
      </c>
      <c r="D850" s="66" t="s">
        <v>98</v>
      </c>
      <c r="G850" s="66" t="s">
        <v>126</v>
      </c>
      <c r="H850" s="66" t="s">
        <v>100</v>
      </c>
      <c r="I850" s="33" t="str">
        <f ca="1"/>
        <v>25,84</v>
      </c>
      <c r="J850" s="2">
        <v>850</v>
      </c>
      <c r="K850" s="2" t="str">
        <v>No Match</v>
      </c>
      <c r="M850" s="33">
        <f ca="1"/>
        <v>25.84</v>
      </c>
      <c r="N850" s="2" t="e">
        <f ca="1"/>
        <v>#N/A</v>
      </c>
      <c r="O850" s="2" t="e">
        <f ca="1"/>
        <v>#N/A</v>
      </c>
      <c r="P850" s="2" t="e">
        <f ca="1"/>
        <v>#N/A</v>
      </c>
      <c r="Q850" s="33" t="e">
        <f ca="1"/>
        <v>#N/A</v>
      </c>
      <c r="R850" s="33" t="e">
        <f ca="1"/>
        <v>#N/A</v>
      </c>
    </row>
    <row r="851" spans="1:18" x14ac:dyDescent="0.2">
      <c r="A851" s="2">
        <v>850</v>
      </c>
      <c r="B851" s="65">
        <v>45733</v>
      </c>
      <c r="C851" s="70">
        <v>0.85351851851851857</v>
      </c>
      <c r="D851" s="66" t="s">
        <v>98</v>
      </c>
      <c r="G851" s="66" t="s">
        <v>215</v>
      </c>
      <c r="H851" s="66" t="s">
        <v>100</v>
      </c>
      <c r="I851" s="33" t="str">
        <f ca="1"/>
        <v>25,92</v>
      </c>
      <c r="J851" s="2">
        <v>851</v>
      </c>
      <c r="K851" s="2" t="str">
        <v>No Match</v>
      </c>
      <c r="M851" s="33">
        <f ca="1"/>
        <v>25.92</v>
      </c>
      <c r="N851" s="2">
        <f ca="1"/>
        <v>25</v>
      </c>
      <c r="O851" s="2">
        <f ca="1"/>
        <v>24.625</v>
      </c>
      <c r="P851" s="2">
        <f ca="1"/>
        <v>25.375</v>
      </c>
      <c r="Q851" s="33">
        <f ca="1"/>
        <v>25.344458823529404</v>
      </c>
      <c r="R851" s="33">
        <f ca="1"/>
        <v>25.538</v>
      </c>
    </row>
    <row r="852" spans="1:18" x14ac:dyDescent="0.2">
      <c r="A852" s="2">
        <v>851</v>
      </c>
      <c r="B852" s="65">
        <v>45734</v>
      </c>
      <c r="C852" s="70">
        <v>0.22652777777777777</v>
      </c>
      <c r="D852" s="66" t="s">
        <v>98</v>
      </c>
      <c r="G852" s="66" t="s">
        <v>147</v>
      </c>
      <c r="H852" s="66" t="s">
        <v>100</v>
      </c>
      <c r="I852" s="33" t="str">
        <f ca="1"/>
        <v>25,00</v>
      </c>
      <c r="J852" s="2">
        <v>852</v>
      </c>
      <c r="K852" s="2" t="str">
        <v>No Match</v>
      </c>
      <c r="M852" s="33">
        <f ca="1"/>
        <v>25</v>
      </c>
      <c r="N852" s="2" t="e">
        <f ca="1"/>
        <v>#N/A</v>
      </c>
      <c r="O852" s="2" t="e">
        <f ca="1"/>
        <v>#N/A</v>
      </c>
      <c r="P852" s="2" t="e">
        <f ca="1"/>
        <v>#N/A</v>
      </c>
      <c r="Q852" s="33" t="e">
        <f ca="1"/>
        <v>#N/A</v>
      </c>
      <c r="R852" s="33" t="e">
        <f ca="1"/>
        <v>#N/A</v>
      </c>
    </row>
    <row r="853" spans="1:18" x14ac:dyDescent="0.2">
      <c r="A853" s="2">
        <v>852</v>
      </c>
      <c r="B853" s="65">
        <v>45734</v>
      </c>
      <c r="C853" s="70">
        <v>0.22657407407407407</v>
      </c>
      <c r="D853" s="66" t="s">
        <v>98</v>
      </c>
      <c r="G853" s="66" t="s">
        <v>113</v>
      </c>
      <c r="H853" s="66" t="s">
        <v>100</v>
      </c>
      <c r="I853" s="33" t="str">
        <f ca="1"/>
        <v>24,98</v>
      </c>
      <c r="J853" s="2">
        <v>853</v>
      </c>
      <c r="K853" s="2" t="str">
        <v>No Match</v>
      </c>
      <c r="M853" s="33">
        <f ca="1"/>
        <v>24.98</v>
      </c>
      <c r="N853" s="2" t="e">
        <f ca="1"/>
        <v>#N/A</v>
      </c>
      <c r="O853" s="2" t="e">
        <f ca="1"/>
        <v>#N/A</v>
      </c>
      <c r="P853" s="2" t="e">
        <f ca="1"/>
        <v>#N/A</v>
      </c>
      <c r="Q853" s="33" t="e">
        <f ca="1"/>
        <v>#N/A</v>
      </c>
      <c r="R853" s="33" t="e">
        <f ca="1"/>
        <v>#N/A</v>
      </c>
    </row>
    <row r="854" spans="1:18" x14ac:dyDescent="0.2">
      <c r="A854" s="2">
        <v>853</v>
      </c>
      <c r="B854" s="65">
        <v>45734</v>
      </c>
      <c r="C854" s="70">
        <v>0.22663194444444446</v>
      </c>
      <c r="D854" s="66" t="s">
        <v>98</v>
      </c>
      <c r="G854" s="66" t="s">
        <v>176</v>
      </c>
      <c r="H854" s="66" t="s">
        <v>100</v>
      </c>
      <c r="I854" s="33" t="str">
        <f ca="1"/>
        <v>25,18</v>
      </c>
      <c r="J854" s="2">
        <v>854</v>
      </c>
      <c r="K854" s="2" t="str">
        <v>No Match</v>
      </c>
      <c r="M854" s="33">
        <f ca="1"/>
        <v>25.18</v>
      </c>
      <c r="N854" s="2" t="e">
        <f ca="1"/>
        <v>#N/A</v>
      </c>
      <c r="O854" s="2" t="e">
        <f ca="1"/>
        <v>#N/A</v>
      </c>
      <c r="P854" s="2" t="e">
        <f ca="1"/>
        <v>#N/A</v>
      </c>
      <c r="Q854" s="33" t="e">
        <f ca="1"/>
        <v>#N/A</v>
      </c>
      <c r="R854" s="33" t="e">
        <f ca="1"/>
        <v>#N/A</v>
      </c>
    </row>
    <row r="855" spans="1:18" x14ac:dyDescent="0.2">
      <c r="A855" s="2">
        <v>854</v>
      </c>
      <c r="B855" s="65">
        <v>45734</v>
      </c>
      <c r="C855" s="70">
        <v>0.22668981481481482</v>
      </c>
      <c r="D855" s="66" t="s">
        <v>98</v>
      </c>
      <c r="G855" s="66" t="s">
        <v>136</v>
      </c>
      <c r="H855" s="66" t="s">
        <v>100</v>
      </c>
      <c r="I855" s="33" t="str">
        <f ca="1"/>
        <v>25,22</v>
      </c>
      <c r="J855" s="2">
        <v>855</v>
      </c>
      <c r="K855" s="2" t="str">
        <v>No Match</v>
      </c>
      <c r="M855" s="33">
        <f ca="1"/>
        <v>25.22</v>
      </c>
      <c r="N855" s="2" t="e">
        <f ca="1"/>
        <v>#N/A</v>
      </c>
      <c r="O855" s="2" t="e">
        <f ca="1"/>
        <v>#N/A</v>
      </c>
      <c r="P855" s="2" t="e">
        <f ca="1"/>
        <v>#N/A</v>
      </c>
      <c r="Q855" s="33" t="e">
        <f ca="1"/>
        <v>#N/A</v>
      </c>
      <c r="R855" s="33" t="e">
        <f ca="1"/>
        <v>#N/A</v>
      </c>
    </row>
    <row r="856" spans="1:18" x14ac:dyDescent="0.2">
      <c r="A856" s="2">
        <v>855</v>
      </c>
      <c r="B856" s="65">
        <v>45734</v>
      </c>
      <c r="C856" s="70">
        <v>0.22674768518518518</v>
      </c>
      <c r="D856" s="66" t="s">
        <v>98</v>
      </c>
      <c r="G856" s="66" t="s">
        <v>113</v>
      </c>
      <c r="H856" s="66" t="s">
        <v>100</v>
      </c>
      <c r="I856" s="33" t="str">
        <f ca="1"/>
        <v>24,98</v>
      </c>
      <c r="J856" s="2">
        <v>856</v>
      </c>
      <c r="K856" s="2" t="str">
        <v>No Match</v>
      </c>
      <c r="M856" s="33">
        <f ca="1"/>
        <v>24.98</v>
      </c>
      <c r="N856" s="2" t="e">
        <f ca="1"/>
        <v>#N/A</v>
      </c>
      <c r="O856" s="2" t="e">
        <f ca="1"/>
        <v>#N/A</v>
      </c>
      <c r="P856" s="2" t="e">
        <f ca="1"/>
        <v>#N/A</v>
      </c>
      <c r="Q856" s="33" t="e">
        <f ca="1"/>
        <v>#N/A</v>
      </c>
      <c r="R856" s="33" t="e">
        <f ca="1"/>
        <v>#N/A</v>
      </c>
    </row>
    <row r="857" spans="1:18" x14ac:dyDescent="0.2">
      <c r="A857" s="2">
        <v>856</v>
      </c>
      <c r="B857" s="65">
        <v>45734</v>
      </c>
      <c r="C857" s="70">
        <v>0.22680555555555557</v>
      </c>
      <c r="D857" s="66" t="s">
        <v>98</v>
      </c>
      <c r="G857" s="66" t="s">
        <v>124</v>
      </c>
      <c r="H857" s="66" t="s">
        <v>100</v>
      </c>
      <c r="I857" s="33" t="str">
        <f ca="1"/>
        <v>25,09</v>
      </c>
      <c r="J857" s="2">
        <v>857</v>
      </c>
      <c r="K857" s="2" t="str">
        <v>No Match</v>
      </c>
      <c r="M857" s="33">
        <f ca="1"/>
        <v>25.09</v>
      </c>
      <c r="N857" s="2" t="e">
        <f ca="1"/>
        <v>#N/A</v>
      </c>
      <c r="O857" s="2" t="e">
        <f ca="1"/>
        <v>#N/A</v>
      </c>
      <c r="P857" s="2" t="e">
        <f ca="1"/>
        <v>#N/A</v>
      </c>
      <c r="Q857" s="33" t="e">
        <f ca="1"/>
        <v>#N/A</v>
      </c>
      <c r="R857" s="33" t="e">
        <f ca="1"/>
        <v>#N/A</v>
      </c>
    </row>
    <row r="858" spans="1:18" x14ac:dyDescent="0.2">
      <c r="A858" s="2">
        <v>857</v>
      </c>
      <c r="B858" s="65">
        <v>45734</v>
      </c>
      <c r="C858" s="70">
        <v>0.22685185185185186</v>
      </c>
      <c r="D858" s="66" t="s">
        <v>98</v>
      </c>
      <c r="G858" s="66" t="s">
        <v>176</v>
      </c>
      <c r="H858" s="66" t="s">
        <v>100</v>
      </c>
      <c r="I858" s="33" t="str">
        <f ca="1"/>
        <v>25,18</v>
      </c>
      <c r="J858" s="2">
        <v>858</v>
      </c>
      <c r="K858" s="2" t="str">
        <v>No Match</v>
      </c>
      <c r="M858" s="33">
        <f ca="1"/>
        <v>25.18</v>
      </c>
      <c r="N858" s="2" t="e">
        <f ca="1"/>
        <v>#N/A</v>
      </c>
      <c r="O858" s="2" t="e">
        <f ca="1"/>
        <v>#N/A</v>
      </c>
      <c r="P858" s="2" t="e">
        <f ca="1"/>
        <v>#N/A</v>
      </c>
      <c r="Q858" s="33" t="e">
        <f ca="1"/>
        <v>#N/A</v>
      </c>
      <c r="R858" s="33" t="e">
        <f ca="1"/>
        <v>#N/A</v>
      </c>
    </row>
    <row r="859" spans="1:18" x14ac:dyDescent="0.2">
      <c r="A859" s="2">
        <v>858</v>
      </c>
      <c r="B859" s="65">
        <v>45734</v>
      </c>
      <c r="C859" s="70">
        <v>0.22690972222222222</v>
      </c>
      <c r="D859" s="66" t="s">
        <v>98</v>
      </c>
      <c r="G859" s="66" t="s">
        <v>140</v>
      </c>
      <c r="H859" s="66" t="s">
        <v>100</v>
      </c>
      <c r="I859" s="33" t="str">
        <f ca="1"/>
        <v>25,10</v>
      </c>
      <c r="J859" s="2">
        <v>859</v>
      </c>
      <c r="K859" s="2" t="str">
        <v>No Match</v>
      </c>
      <c r="M859" s="33">
        <f ca="1"/>
        <v>25.1</v>
      </c>
      <c r="N859" s="2" t="e">
        <f ca="1"/>
        <v>#N/A</v>
      </c>
      <c r="O859" s="2" t="e">
        <f ca="1"/>
        <v>#N/A</v>
      </c>
      <c r="P859" s="2" t="e">
        <f ca="1"/>
        <v>#N/A</v>
      </c>
      <c r="Q859" s="33" t="e">
        <f ca="1"/>
        <v>#N/A</v>
      </c>
      <c r="R859" s="33" t="e">
        <f ca="1"/>
        <v>#N/A</v>
      </c>
    </row>
    <row r="860" spans="1:18" x14ac:dyDescent="0.2">
      <c r="A860" s="2">
        <v>859</v>
      </c>
      <c r="B860" s="65">
        <v>45734</v>
      </c>
      <c r="C860" s="70">
        <v>0.22695601851851852</v>
      </c>
      <c r="D860" s="66" t="s">
        <v>98</v>
      </c>
      <c r="G860" s="66" t="s">
        <v>113</v>
      </c>
      <c r="H860" s="66" t="s">
        <v>100</v>
      </c>
      <c r="I860" s="33" t="str">
        <f ca="1"/>
        <v>24,98</v>
      </c>
      <c r="J860" s="2">
        <v>860</v>
      </c>
      <c r="K860" s="2" t="str">
        <v>No Match</v>
      </c>
      <c r="M860" s="33">
        <f ca="1"/>
        <v>24.98</v>
      </c>
      <c r="N860" s="2" t="e">
        <f ca="1"/>
        <v>#N/A</v>
      </c>
      <c r="O860" s="2" t="e">
        <f ca="1"/>
        <v>#N/A</v>
      </c>
      <c r="P860" s="2" t="e">
        <f ca="1"/>
        <v>#N/A</v>
      </c>
      <c r="Q860" s="33" t="e">
        <f ca="1"/>
        <v>#N/A</v>
      </c>
      <c r="R860" s="33" t="e">
        <f ca="1"/>
        <v>#N/A</v>
      </c>
    </row>
    <row r="861" spans="1:18" x14ac:dyDescent="0.2">
      <c r="A861" s="2">
        <v>860</v>
      </c>
      <c r="B861" s="65">
        <v>45734</v>
      </c>
      <c r="C861" s="70">
        <v>0.22702546296296297</v>
      </c>
      <c r="D861" s="66" t="s">
        <v>98</v>
      </c>
      <c r="G861" s="66" t="s">
        <v>125</v>
      </c>
      <c r="H861" s="66" t="s">
        <v>100</v>
      </c>
      <c r="I861" s="33" t="str">
        <f ca="1"/>
        <v>25,20</v>
      </c>
      <c r="J861" s="2">
        <v>861</v>
      </c>
      <c r="K861" s="2" t="str">
        <v>No Match</v>
      </c>
      <c r="M861" s="33">
        <f ca="1"/>
        <v>25.2</v>
      </c>
      <c r="N861" s="2">
        <f ca="1"/>
        <v>25</v>
      </c>
      <c r="O861" s="2">
        <f ca="1"/>
        <v>24.625</v>
      </c>
      <c r="P861" s="2">
        <f ca="1"/>
        <v>25.375</v>
      </c>
      <c r="Q861" s="33">
        <f ca="1"/>
        <v>25.341511627906968</v>
      </c>
      <c r="R861" s="33">
        <f ca="1"/>
        <v>25.090999999999998</v>
      </c>
    </row>
    <row r="862" spans="1:18" x14ac:dyDescent="0.2">
      <c r="A862" s="2">
        <v>861</v>
      </c>
      <c r="B862" s="65">
        <v>45734</v>
      </c>
      <c r="C862" s="70">
        <v>0.23054398148148147</v>
      </c>
      <c r="D862" s="66" t="s">
        <v>98</v>
      </c>
      <c r="G862" s="66" t="s">
        <v>176</v>
      </c>
      <c r="H862" s="66" t="s">
        <v>100</v>
      </c>
      <c r="I862" s="33" t="str">
        <f ca="1"/>
        <v>25,18</v>
      </c>
      <c r="J862" s="2">
        <v>862</v>
      </c>
      <c r="K862" s="2" t="str">
        <v>No Match</v>
      </c>
      <c r="M862" s="33">
        <f ca="1"/>
        <v>25.18</v>
      </c>
      <c r="N862" s="2" t="e">
        <f ca="1"/>
        <v>#N/A</v>
      </c>
      <c r="O862" s="2" t="e">
        <f ca="1"/>
        <v>#N/A</v>
      </c>
      <c r="P862" s="2" t="e">
        <f ca="1"/>
        <v>#N/A</v>
      </c>
      <c r="Q862" s="33" t="e">
        <f ca="1"/>
        <v>#N/A</v>
      </c>
      <c r="R862" s="33" t="e">
        <f ca="1"/>
        <v>#N/A</v>
      </c>
    </row>
    <row r="863" spans="1:18" x14ac:dyDescent="0.2">
      <c r="A863" s="2">
        <v>862</v>
      </c>
      <c r="B863" s="65">
        <v>45734</v>
      </c>
      <c r="C863" s="70">
        <v>0.23208333333333334</v>
      </c>
      <c r="D863" s="66" t="s">
        <v>98</v>
      </c>
      <c r="G863" s="66" t="s">
        <v>204</v>
      </c>
      <c r="H863" s="66" t="s">
        <v>100</v>
      </c>
      <c r="I863" s="33" t="str">
        <f ca="1"/>
        <v>25,01</v>
      </c>
      <c r="J863" s="2">
        <v>863</v>
      </c>
      <c r="K863" s="2" t="str">
        <v>No Match</v>
      </c>
      <c r="M863" s="33">
        <f ca="1"/>
        <v>25.01</v>
      </c>
      <c r="N863" s="2" t="e">
        <f ca="1"/>
        <v>#N/A</v>
      </c>
      <c r="O863" s="2" t="e">
        <f ca="1"/>
        <v>#N/A</v>
      </c>
      <c r="P863" s="2" t="e">
        <f ca="1"/>
        <v>#N/A</v>
      </c>
      <c r="Q863" s="33" t="e">
        <f ca="1"/>
        <v>#N/A</v>
      </c>
      <c r="R863" s="33" t="e">
        <f ca="1"/>
        <v>#N/A</v>
      </c>
    </row>
    <row r="864" spans="1:18" x14ac:dyDescent="0.2">
      <c r="A864" s="2">
        <v>863</v>
      </c>
      <c r="B864" s="65">
        <v>45734</v>
      </c>
      <c r="C864" s="70">
        <v>0.2338773148148148</v>
      </c>
      <c r="D864" s="66" t="s">
        <v>98</v>
      </c>
      <c r="G864" s="66" t="s">
        <v>142</v>
      </c>
      <c r="H864" s="66" t="s">
        <v>100</v>
      </c>
      <c r="I864" s="33" t="str">
        <f ca="1"/>
        <v>25,03</v>
      </c>
      <c r="J864" s="2">
        <v>864</v>
      </c>
      <c r="K864" s="2" t="str">
        <v>No Match</v>
      </c>
      <c r="M864" s="33">
        <f ca="1"/>
        <v>25.03</v>
      </c>
      <c r="N864" s="2" t="e">
        <f ca="1"/>
        <v>#N/A</v>
      </c>
      <c r="O864" s="2" t="e">
        <f ca="1"/>
        <v>#N/A</v>
      </c>
      <c r="P864" s="2" t="e">
        <f ca="1"/>
        <v>#N/A</v>
      </c>
      <c r="Q864" s="33" t="e">
        <f ca="1"/>
        <v>#N/A</v>
      </c>
      <c r="R864" s="33" t="e">
        <f ca="1"/>
        <v>#N/A</v>
      </c>
    </row>
    <row r="865" spans="1:18" x14ac:dyDescent="0.2">
      <c r="A865" s="2">
        <v>864</v>
      </c>
      <c r="B865" s="65">
        <v>45734</v>
      </c>
      <c r="C865" s="70">
        <v>0.23613425925925927</v>
      </c>
      <c r="D865" s="66" t="s">
        <v>98</v>
      </c>
      <c r="G865" s="66" t="s">
        <v>125</v>
      </c>
      <c r="H865" s="66" t="s">
        <v>100</v>
      </c>
      <c r="I865" s="33" t="str">
        <f ca="1"/>
        <v>25,20</v>
      </c>
      <c r="J865" s="2">
        <v>865</v>
      </c>
      <c r="K865" s="2" t="str">
        <v>No Match</v>
      </c>
      <c r="M865" s="33">
        <f ca="1"/>
        <v>25.2</v>
      </c>
      <c r="N865" s="2" t="e">
        <f ca="1"/>
        <v>#N/A</v>
      </c>
      <c r="O865" s="2" t="e">
        <f ca="1"/>
        <v>#N/A</v>
      </c>
      <c r="P865" s="2" t="e">
        <f ca="1"/>
        <v>#N/A</v>
      </c>
      <c r="Q865" s="33" t="e">
        <f ca="1"/>
        <v>#N/A</v>
      </c>
      <c r="R865" s="33" t="e">
        <f ca="1"/>
        <v>#N/A</v>
      </c>
    </row>
    <row r="866" spans="1:18" x14ac:dyDescent="0.2">
      <c r="A866" s="2">
        <v>865</v>
      </c>
      <c r="B866" s="65">
        <v>45734</v>
      </c>
      <c r="C866" s="70">
        <v>0.23769675925925926</v>
      </c>
      <c r="D866" s="66" t="s">
        <v>98</v>
      </c>
      <c r="G866" s="66" t="s">
        <v>169</v>
      </c>
      <c r="H866" s="66" t="s">
        <v>100</v>
      </c>
      <c r="I866" s="33" t="str">
        <f ca="1"/>
        <v>25,11</v>
      </c>
      <c r="J866" s="2">
        <v>866</v>
      </c>
      <c r="K866" s="2" t="str">
        <v>No Match</v>
      </c>
      <c r="M866" s="33">
        <f ca="1"/>
        <v>25.11</v>
      </c>
      <c r="N866" s="2" t="e">
        <f ca="1"/>
        <v>#N/A</v>
      </c>
      <c r="O866" s="2" t="e">
        <f ca="1"/>
        <v>#N/A</v>
      </c>
      <c r="P866" s="2" t="e">
        <f ca="1"/>
        <v>#N/A</v>
      </c>
      <c r="Q866" s="33" t="e">
        <f ca="1"/>
        <v>#N/A</v>
      </c>
      <c r="R866" s="33" t="e">
        <f ca="1"/>
        <v>#N/A</v>
      </c>
    </row>
    <row r="867" spans="1:18" x14ac:dyDescent="0.2">
      <c r="A867" s="2">
        <v>866</v>
      </c>
      <c r="B867" s="65">
        <v>45734</v>
      </c>
      <c r="C867" s="70">
        <v>0.23884259259259261</v>
      </c>
      <c r="D867" s="66" t="s">
        <v>98</v>
      </c>
      <c r="G867" s="66" t="s">
        <v>121</v>
      </c>
      <c r="H867" s="66" t="s">
        <v>100</v>
      </c>
      <c r="I867" s="33" t="str">
        <f ca="1"/>
        <v>24,99</v>
      </c>
      <c r="J867" s="2">
        <v>867</v>
      </c>
      <c r="K867" s="2" t="str">
        <v>No Match</v>
      </c>
      <c r="M867" s="33">
        <f ca="1"/>
        <v>24.99</v>
      </c>
      <c r="N867" s="2" t="e">
        <f ca="1"/>
        <v>#N/A</v>
      </c>
      <c r="O867" s="2" t="e">
        <f ca="1"/>
        <v>#N/A</v>
      </c>
      <c r="P867" s="2" t="e">
        <f ca="1"/>
        <v>#N/A</v>
      </c>
      <c r="Q867" s="33" t="e">
        <f ca="1"/>
        <v>#N/A</v>
      </c>
      <c r="R867" s="33" t="e">
        <f ca="1"/>
        <v>#N/A</v>
      </c>
    </row>
    <row r="868" spans="1:18" x14ac:dyDescent="0.2">
      <c r="A868" s="2">
        <v>867</v>
      </c>
      <c r="B868" s="65">
        <v>45734</v>
      </c>
      <c r="C868" s="70">
        <v>0.24273148148148149</v>
      </c>
      <c r="D868" s="66" t="s">
        <v>98</v>
      </c>
      <c r="G868" s="66" t="s">
        <v>220</v>
      </c>
      <c r="H868" s="66" t="s">
        <v>100</v>
      </c>
      <c r="I868" s="33" t="str">
        <f ca="1"/>
        <v>25,54</v>
      </c>
      <c r="J868" s="2">
        <v>868</v>
      </c>
      <c r="K868" s="2" t="str">
        <v>No Match</v>
      </c>
      <c r="M868" s="33">
        <f ca="1"/>
        <v>25.54</v>
      </c>
      <c r="N868" s="2" t="e">
        <f ca="1"/>
        <v>#N/A</v>
      </c>
      <c r="O868" s="2" t="e">
        <f ca="1"/>
        <v>#N/A</v>
      </c>
      <c r="P868" s="2" t="e">
        <f ca="1"/>
        <v>#N/A</v>
      </c>
      <c r="Q868" s="33" t="e">
        <f ca="1"/>
        <v>#N/A</v>
      </c>
      <c r="R868" s="33" t="e">
        <f ca="1"/>
        <v>#N/A</v>
      </c>
    </row>
    <row r="869" spans="1:18" x14ac:dyDescent="0.2">
      <c r="A869" s="2">
        <v>868</v>
      </c>
      <c r="B869" s="65">
        <v>45734</v>
      </c>
      <c r="C869" s="70">
        <v>0.25038194444444445</v>
      </c>
      <c r="D869" s="66" t="s">
        <v>98</v>
      </c>
      <c r="G869" s="66" t="s">
        <v>122</v>
      </c>
      <c r="H869" s="66" t="s">
        <v>100</v>
      </c>
      <c r="I869" s="33" t="str">
        <f ca="1"/>
        <v>25,27</v>
      </c>
      <c r="J869" s="2">
        <v>869</v>
      </c>
      <c r="K869" s="2" t="str">
        <v>No Match</v>
      </c>
      <c r="M869" s="33">
        <f ca="1"/>
        <v>25.27</v>
      </c>
      <c r="N869" s="2" t="e">
        <f ca="1"/>
        <v>#N/A</v>
      </c>
      <c r="O869" s="2" t="e">
        <f ca="1"/>
        <v>#N/A</v>
      </c>
      <c r="P869" s="2" t="e">
        <f ca="1"/>
        <v>#N/A</v>
      </c>
      <c r="Q869" s="33" t="e">
        <f ca="1"/>
        <v>#N/A</v>
      </c>
      <c r="R869" s="33" t="e">
        <f ca="1"/>
        <v>#N/A</v>
      </c>
    </row>
    <row r="870" spans="1:18" x14ac:dyDescent="0.2">
      <c r="A870" s="2">
        <v>869</v>
      </c>
      <c r="B870" s="65">
        <v>45734</v>
      </c>
      <c r="C870" s="70">
        <v>0.25093749999999998</v>
      </c>
      <c r="D870" s="66" t="s">
        <v>98</v>
      </c>
      <c r="G870" s="66" t="s">
        <v>146</v>
      </c>
      <c r="H870" s="66" t="s">
        <v>100</v>
      </c>
      <c r="I870" s="33" t="str">
        <f ca="1"/>
        <v>25,37</v>
      </c>
      <c r="J870" s="2">
        <v>870</v>
      </c>
      <c r="K870" s="2" t="str">
        <v>No Match</v>
      </c>
      <c r="M870" s="33">
        <f ca="1"/>
        <v>25.37</v>
      </c>
      <c r="N870" s="2" t="e">
        <f ca="1"/>
        <v>#N/A</v>
      </c>
      <c r="O870" s="2" t="e">
        <f ca="1"/>
        <v>#N/A</v>
      </c>
      <c r="P870" s="2" t="e">
        <f ca="1"/>
        <v>#N/A</v>
      </c>
      <c r="Q870" s="33" t="e">
        <f ca="1"/>
        <v>#N/A</v>
      </c>
      <c r="R870" s="33" t="e">
        <f ca="1"/>
        <v>#N/A</v>
      </c>
    </row>
    <row r="871" spans="1:18" x14ac:dyDescent="0.2">
      <c r="A871" s="2">
        <v>870</v>
      </c>
      <c r="B871" s="65">
        <v>45734</v>
      </c>
      <c r="C871" s="70">
        <v>0.25113425925925925</v>
      </c>
      <c r="D871" s="66" t="s">
        <v>98</v>
      </c>
      <c r="G871" s="66" t="s">
        <v>220</v>
      </c>
      <c r="H871" s="66" t="s">
        <v>100</v>
      </c>
      <c r="I871" s="33" t="str">
        <f ca="1"/>
        <v>25,54</v>
      </c>
      <c r="J871" s="2">
        <v>871</v>
      </c>
      <c r="K871" s="2" t="str">
        <v>No Match</v>
      </c>
      <c r="M871" s="33">
        <f ca="1"/>
        <v>25.54</v>
      </c>
      <c r="N871" s="2">
        <f ca="1"/>
        <v>25</v>
      </c>
      <c r="O871" s="2">
        <f ca="1"/>
        <v>24.625</v>
      </c>
      <c r="P871" s="2">
        <f ca="1"/>
        <v>25.375</v>
      </c>
      <c r="Q871" s="33">
        <f ca="1"/>
        <v>25.340160919540224</v>
      </c>
      <c r="R871" s="33">
        <f ca="1"/>
        <v>25.224</v>
      </c>
    </row>
    <row r="872" spans="1:18" x14ac:dyDescent="0.2">
      <c r="A872" s="2">
        <v>871</v>
      </c>
      <c r="B872" s="65">
        <v>45734</v>
      </c>
      <c r="C872" s="70">
        <v>0.25186342592592592</v>
      </c>
      <c r="D872" s="66" t="s">
        <v>98</v>
      </c>
      <c r="G872" s="66" t="s">
        <v>104</v>
      </c>
      <c r="H872" s="66" t="s">
        <v>100</v>
      </c>
      <c r="I872" s="33" t="str">
        <f ca="1"/>
        <v>25,40</v>
      </c>
      <c r="J872" s="2">
        <v>872</v>
      </c>
      <c r="K872" s="2" t="str">
        <v>No Match</v>
      </c>
      <c r="M872" s="33">
        <f ca="1"/>
        <v>25.4</v>
      </c>
      <c r="N872" s="2" t="e">
        <f ca="1"/>
        <v>#N/A</v>
      </c>
      <c r="O872" s="2" t="e">
        <f ca="1"/>
        <v>#N/A</v>
      </c>
      <c r="P872" s="2" t="e">
        <f ca="1"/>
        <v>#N/A</v>
      </c>
      <c r="Q872" s="33" t="e">
        <f ca="1"/>
        <v>#N/A</v>
      </c>
      <c r="R872" s="33" t="e">
        <f ca="1"/>
        <v>#N/A</v>
      </c>
    </row>
    <row r="873" spans="1:18" x14ac:dyDescent="0.2">
      <c r="A873" s="2">
        <v>872</v>
      </c>
      <c r="B873" s="65">
        <v>45734</v>
      </c>
      <c r="C873" s="70">
        <v>0.25240740740740741</v>
      </c>
      <c r="D873" s="66" t="s">
        <v>98</v>
      </c>
      <c r="G873" s="66" t="s">
        <v>220</v>
      </c>
      <c r="H873" s="66" t="s">
        <v>100</v>
      </c>
      <c r="I873" s="33" t="str">
        <f ca="1"/>
        <v>25,54</v>
      </c>
      <c r="J873" s="2">
        <v>873</v>
      </c>
      <c r="K873" s="2" t="str">
        <v>No Match</v>
      </c>
      <c r="M873" s="33">
        <f ca="1"/>
        <v>25.54</v>
      </c>
      <c r="N873" s="2" t="e">
        <f ca="1"/>
        <v>#N/A</v>
      </c>
      <c r="O873" s="2" t="e">
        <f ca="1"/>
        <v>#N/A</v>
      </c>
      <c r="P873" s="2" t="e">
        <f ca="1"/>
        <v>#N/A</v>
      </c>
      <c r="Q873" s="33" t="e">
        <f ca="1"/>
        <v>#N/A</v>
      </c>
      <c r="R873" s="33" t="e">
        <f ca="1"/>
        <v>#N/A</v>
      </c>
    </row>
    <row r="874" spans="1:18" x14ac:dyDescent="0.2">
      <c r="A874" s="2">
        <v>873</v>
      </c>
      <c r="B874" s="65">
        <v>45734</v>
      </c>
      <c r="C874" s="70">
        <v>0.25268518518518518</v>
      </c>
      <c r="D874" s="66" t="s">
        <v>98</v>
      </c>
      <c r="G874" s="66" t="s">
        <v>226</v>
      </c>
      <c r="H874" s="66" t="s">
        <v>100</v>
      </c>
      <c r="I874" s="33" t="str">
        <f ca="1"/>
        <v>25,68</v>
      </c>
      <c r="J874" s="2">
        <v>874</v>
      </c>
      <c r="K874" s="2" t="str">
        <v>No Match</v>
      </c>
      <c r="M874" s="33">
        <f ca="1"/>
        <v>25.68</v>
      </c>
      <c r="N874" s="2" t="e">
        <f ca="1"/>
        <v>#N/A</v>
      </c>
      <c r="O874" s="2" t="e">
        <f ca="1"/>
        <v>#N/A</v>
      </c>
      <c r="P874" s="2" t="e">
        <f ca="1"/>
        <v>#N/A</v>
      </c>
      <c r="Q874" s="33" t="e">
        <f ca="1"/>
        <v>#N/A</v>
      </c>
      <c r="R874" s="33" t="e">
        <f ca="1"/>
        <v>#N/A</v>
      </c>
    </row>
    <row r="875" spans="1:18" x14ac:dyDescent="0.2">
      <c r="A875" s="2">
        <v>874</v>
      </c>
      <c r="B875" s="65">
        <v>45734</v>
      </c>
      <c r="C875" s="70">
        <v>0.25283564814814813</v>
      </c>
      <c r="D875" s="66" t="s">
        <v>98</v>
      </c>
      <c r="G875" s="66" t="s">
        <v>213</v>
      </c>
      <c r="H875" s="66" t="s">
        <v>100</v>
      </c>
      <c r="I875" s="33" t="str">
        <f ca="1"/>
        <v>25,85</v>
      </c>
      <c r="J875" s="2">
        <v>875</v>
      </c>
      <c r="K875" s="2" t="str">
        <v>No Match</v>
      </c>
      <c r="M875" s="33">
        <f ca="1"/>
        <v>25.85</v>
      </c>
      <c r="N875" s="2" t="e">
        <f ca="1"/>
        <v>#N/A</v>
      </c>
      <c r="O875" s="2" t="e">
        <f ca="1"/>
        <v>#N/A</v>
      </c>
      <c r="P875" s="2" t="e">
        <f ca="1"/>
        <v>#N/A</v>
      </c>
      <c r="Q875" s="33" t="e">
        <f ca="1"/>
        <v>#N/A</v>
      </c>
      <c r="R875" s="33" t="e">
        <f ca="1"/>
        <v>#N/A</v>
      </c>
    </row>
    <row r="876" spans="1:18" x14ac:dyDescent="0.2">
      <c r="A876" s="2">
        <v>875</v>
      </c>
      <c r="B876" s="65">
        <v>45734</v>
      </c>
      <c r="C876" s="70">
        <v>0.25350694444444444</v>
      </c>
      <c r="D876" s="66" t="s">
        <v>98</v>
      </c>
      <c r="G876" s="66" t="s">
        <v>219</v>
      </c>
      <c r="H876" s="66" t="s">
        <v>100</v>
      </c>
      <c r="I876" s="33" t="str">
        <f ca="1"/>
        <v>25,89</v>
      </c>
      <c r="J876" s="2">
        <v>876</v>
      </c>
      <c r="K876" s="2" t="str">
        <v>No Match</v>
      </c>
      <c r="M876" s="33">
        <f ca="1"/>
        <v>25.89</v>
      </c>
      <c r="N876" s="2" t="e">
        <f ca="1"/>
        <v>#N/A</v>
      </c>
      <c r="O876" s="2" t="e">
        <f ca="1"/>
        <v>#N/A</v>
      </c>
      <c r="P876" s="2" t="e">
        <f ca="1"/>
        <v>#N/A</v>
      </c>
      <c r="Q876" s="33" t="e">
        <f ca="1"/>
        <v>#N/A</v>
      </c>
      <c r="R876" s="33" t="e">
        <f ca="1"/>
        <v>#N/A</v>
      </c>
    </row>
    <row r="877" spans="1:18" x14ac:dyDescent="0.2">
      <c r="A877" s="2">
        <v>876</v>
      </c>
      <c r="B877" s="65">
        <v>45734</v>
      </c>
      <c r="C877" s="70">
        <v>0.2543287037037037</v>
      </c>
      <c r="D877" s="66" t="s">
        <v>98</v>
      </c>
      <c r="G877" s="66" t="s">
        <v>249</v>
      </c>
      <c r="H877" s="66" t="s">
        <v>100</v>
      </c>
      <c r="I877" s="33" t="str">
        <f ca="1"/>
        <v>25,87</v>
      </c>
      <c r="J877" s="2">
        <v>877</v>
      </c>
      <c r="K877" s="2" t="str">
        <v>No Match</v>
      </c>
      <c r="M877" s="33">
        <f ca="1"/>
        <v>25.87</v>
      </c>
      <c r="N877" s="2" t="e">
        <f ca="1"/>
        <v>#N/A</v>
      </c>
      <c r="O877" s="2" t="e">
        <f ca="1"/>
        <v>#N/A</v>
      </c>
      <c r="P877" s="2" t="e">
        <f ca="1"/>
        <v>#N/A</v>
      </c>
      <c r="Q877" s="33" t="e">
        <f ca="1"/>
        <v>#N/A</v>
      </c>
      <c r="R877" s="33" t="e">
        <f ca="1"/>
        <v>#N/A</v>
      </c>
    </row>
    <row r="878" spans="1:18" x14ac:dyDescent="0.2">
      <c r="A878" s="2">
        <v>877</v>
      </c>
      <c r="B878" s="65">
        <v>45734</v>
      </c>
      <c r="C878" s="70">
        <v>0.25535879629629632</v>
      </c>
      <c r="D878" s="66" t="s">
        <v>98</v>
      </c>
      <c r="G878" s="66" t="s">
        <v>195</v>
      </c>
      <c r="H878" s="66" t="s">
        <v>100</v>
      </c>
      <c r="I878" s="33" t="str">
        <f ca="1"/>
        <v>25,60</v>
      </c>
      <c r="J878" s="2">
        <v>878</v>
      </c>
      <c r="K878" s="2" t="str">
        <v>No Match</v>
      </c>
      <c r="M878" s="33">
        <f ca="1"/>
        <v>25.6</v>
      </c>
      <c r="N878" s="2" t="e">
        <f ca="1"/>
        <v>#N/A</v>
      </c>
      <c r="O878" s="2" t="e">
        <f ca="1"/>
        <v>#N/A</v>
      </c>
      <c r="P878" s="2" t="e">
        <f ca="1"/>
        <v>#N/A</v>
      </c>
      <c r="Q878" s="33" t="e">
        <f ca="1"/>
        <v>#N/A</v>
      </c>
      <c r="R878" s="33" t="e">
        <f ca="1"/>
        <v>#N/A</v>
      </c>
    </row>
    <row r="879" spans="1:18" x14ac:dyDescent="0.2">
      <c r="A879" s="2">
        <v>878</v>
      </c>
      <c r="B879" s="65">
        <v>45734</v>
      </c>
      <c r="C879" s="70">
        <v>0.25711805555555556</v>
      </c>
      <c r="D879" s="66" t="s">
        <v>98</v>
      </c>
      <c r="G879" s="66" t="s">
        <v>213</v>
      </c>
      <c r="H879" s="66" t="s">
        <v>100</v>
      </c>
      <c r="I879" s="33" t="str">
        <f ca="1"/>
        <v>25,85</v>
      </c>
      <c r="J879" s="2">
        <v>879</v>
      </c>
      <c r="K879" s="2" t="str">
        <v>No Match</v>
      </c>
      <c r="M879" s="33">
        <f ca="1"/>
        <v>25.85</v>
      </c>
      <c r="N879" s="2" t="e">
        <f ca="1"/>
        <v>#N/A</v>
      </c>
      <c r="O879" s="2" t="e">
        <f ca="1"/>
        <v>#N/A</v>
      </c>
      <c r="P879" s="2" t="e">
        <f ca="1"/>
        <v>#N/A</v>
      </c>
      <c r="Q879" s="33" t="e">
        <f ca="1"/>
        <v>#N/A</v>
      </c>
      <c r="R879" s="33" t="e">
        <f ca="1"/>
        <v>#N/A</v>
      </c>
    </row>
    <row r="880" spans="1:18" x14ac:dyDescent="0.2">
      <c r="A880" s="2">
        <v>879</v>
      </c>
      <c r="B880" s="65">
        <v>45734</v>
      </c>
      <c r="C880" s="70">
        <v>0.25762731481481482</v>
      </c>
      <c r="D880" s="66" t="s">
        <v>98</v>
      </c>
      <c r="G880" s="66" t="s">
        <v>149</v>
      </c>
      <c r="H880" s="66" t="s">
        <v>100</v>
      </c>
      <c r="I880" s="33" t="str">
        <f ca="1"/>
        <v>26,04</v>
      </c>
      <c r="J880" s="2">
        <v>880</v>
      </c>
      <c r="K880" s="2" t="str">
        <v>No Match</v>
      </c>
      <c r="M880" s="33">
        <f ca="1"/>
        <v>26.04</v>
      </c>
      <c r="N880" s="2" t="e">
        <f ca="1"/>
        <v>#N/A</v>
      </c>
      <c r="O880" s="2" t="e">
        <f ca="1"/>
        <v>#N/A</v>
      </c>
      <c r="P880" s="2" t="e">
        <f ca="1"/>
        <v>#N/A</v>
      </c>
      <c r="Q880" s="33" t="e">
        <f ca="1"/>
        <v>#N/A</v>
      </c>
      <c r="R880" s="33" t="e">
        <f ca="1"/>
        <v>#N/A</v>
      </c>
    </row>
    <row r="881" spans="1:18" x14ac:dyDescent="0.2">
      <c r="A881" s="2">
        <v>880</v>
      </c>
      <c r="B881" s="65">
        <v>45734</v>
      </c>
      <c r="C881" s="70">
        <v>0.25817129629629632</v>
      </c>
      <c r="D881" s="66" t="s">
        <v>98</v>
      </c>
      <c r="G881" s="66" t="s">
        <v>130</v>
      </c>
      <c r="H881" s="66" t="s">
        <v>100</v>
      </c>
      <c r="I881" s="33" t="str">
        <f ca="1"/>
        <v>25,93</v>
      </c>
      <c r="J881" s="2">
        <v>881</v>
      </c>
      <c r="K881" s="2" t="str">
        <v>No Match</v>
      </c>
      <c r="M881" s="33">
        <f ca="1"/>
        <v>25.93</v>
      </c>
      <c r="N881" s="2">
        <f ca="1"/>
        <v>25</v>
      </c>
      <c r="O881" s="2">
        <f ca="1"/>
        <v>24.625</v>
      </c>
      <c r="P881" s="2">
        <f ca="1"/>
        <v>25.375</v>
      </c>
      <c r="Q881" s="33">
        <f ca="1"/>
        <v>25.344988636363627</v>
      </c>
      <c r="R881" s="33">
        <f ca="1"/>
        <v>25.764999999999997</v>
      </c>
    </row>
    <row r="882" spans="1:18" x14ac:dyDescent="0.2">
      <c r="A882" s="2">
        <v>881</v>
      </c>
      <c r="B882" s="65">
        <v>45734</v>
      </c>
      <c r="C882" s="70">
        <v>0.25878472222222221</v>
      </c>
      <c r="D882" s="66" t="s">
        <v>98</v>
      </c>
      <c r="G882" s="66" t="s">
        <v>190</v>
      </c>
      <c r="H882" s="66" t="s">
        <v>100</v>
      </c>
      <c r="I882" s="33" t="str">
        <f ca="1"/>
        <v>25,19</v>
      </c>
      <c r="J882" s="2">
        <v>882</v>
      </c>
      <c r="K882" s="2" t="str">
        <v>No Match</v>
      </c>
      <c r="M882" s="33">
        <f ca="1"/>
        <v>25.19</v>
      </c>
      <c r="N882" s="2" t="e">
        <f ca="1"/>
        <v>#N/A</v>
      </c>
      <c r="O882" s="2" t="e">
        <f ca="1"/>
        <v>#N/A</v>
      </c>
      <c r="P882" s="2" t="e">
        <f ca="1"/>
        <v>#N/A</v>
      </c>
      <c r="Q882" s="33" t="e">
        <f ca="1"/>
        <v>#N/A</v>
      </c>
      <c r="R882" s="33" t="e">
        <f ca="1"/>
        <v>#N/A</v>
      </c>
    </row>
    <row r="883" spans="1:18" x14ac:dyDescent="0.2">
      <c r="A883" s="2">
        <v>882</v>
      </c>
      <c r="B883" s="65">
        <v>45734</v>
      </c>
      <c r="C883" s="70">
        <v>0.25984953703703706</v>
      </c>
      <c r="D883" s="66" t="s">
        <v>98</v>
      </c>
      <c r="G883" s="66" t="s">
        <v>209</v>
      </c>
      <c r="H883" s="66" t="s">
        <v>100</v>
      </c>
      <c r="I883" s="33" t="str">
        <f ca="1"/>
        <v>24,95</v>
      </c>
      <c r="J883" s="2">
        <v>883</v>
      </c>
      <c r="K883" s="2" t="str">
        <v>No Match</v>
      </c>
      <c r="M883" s="33">
        <f ca="1"/>
        <v>24.95</v>
      </c>
      <c r="N883" s="2" t="e">
        <f ca="1"/>
        <v>#N/A</v>
      </c>
      <c r="O883" s="2" t="e">
        <f ca="1"/>
        <v>#N/A</v>
      </c>
      <c r="P883" s="2" t="e">
        <f ca="1"/>
        <v>#N/A</v>
      </c>
      <c r="Q883" s="33" t="e">
        <f ca="1"/>
        <v>#N/A</v>
      </c>
      <c r="R883" s="33" t="e">
        <f ca="1"/>
        <v>#N/A</v>
      </c>
    </row>
    <row r="884" spans="1:18" x14ac:dyDescent="0.2">
      <c r="A884" s="2">
        <v>883</v>
      </c>
      <c r="B884" s="65">
        <v>45734</v>
      </c>
      <c r="C884" s="70">
        <v>0.26060185185185186</v>
      </c>
      <c r="D884" s="66" t="s">
        <v>98</v>
      </c>
      <c r="G884" s="66" t="s">
        <v>217</v>
      </c>
      <c r="H884" s="66" t="s">
        <v>100</v>
      </c>
      <c r="I884" s="33" t="str">
        <f ca="1"/>
        <v>25,74</v>
      </c>
      <c r="J884" s="2">
        <v>884</v>
      </c>
      <c r="K884" s="2" t="str">
        <v>No Match</v>
      </c>
      <c r="M884" s="33">
        <f ca="1"/>
        <v>25.74</v>
      </c>
      <c r="N884" s="2" t="e">
        <f ca="1"/>
        <v>#N/A</v>
      </c>
      <c r="O884" s="2" t="e">
        <f ca="1"/>
        <v>#N/A</v>
      </c>
      <c r="P884" s="2" t="e">
        <f ca="1"/>
        <v>#N/A</v>
      </c>
      <c r="Q884" s="33" t="e">
        <f ca="1"/>
        <v>#N/A</v>
      </c>
      <c r="R884" s="33" t="e">
        <f ca="1"/>
        <v>#N/A</v>
      </c>
    </row>
    <row r="885" spans="1:18" x14ac:dyDescent="0.2">
      <c r="A885" s="2">
        <v>884</v>
      </c>
      <c r="B885" s="65">
        <v>45734</v>
      </c>
      <c r="C885" s="70">
        <v>0.26145833333333335</v>
      </c>
      <c r="D885" s="66" t="s">
        <v>98</v>
      </c>
      <c r="G885" s="66" t="s">
        <v>191</v>
      </c>
      <c r="H885" s="66" t="s">
        <v>100</v>
      </c>
      <c r="I885" s="33" t="str">
        <f ca="1"/>
        <v>25,79</v>
      </c>
      <c r="J885" s="2">
        <v>885</v>
      </c>
      <c r="K885" s="2" t="str">
        <v>No Match</v>
      </c>
      <c r="M885" s="33">
        <f ca="1"/>
        <v>25.79</v>
      </c>
      <c r="N885" s="2" t="e">
        <f ca="1"/>
        <v>#N/A</v>
      </c>
      <c r="O885" s="2" t="e">
        <f ca="1"/>
        <v>#N/A</v>
      </c>
      <c r="P885" s="2" t="e">
        <f ca="1"/>
        <v>#N/A</v>
      </c>
      <c r="Q885" s="33" t="e">
        <f ca="1"/>
        <v>#N/A</v>
      </c>
      <c r="R885" s="33" t="e">
        <f ca="1"/>
        <v>#N/A</v>
      </c>
    </row>
    <row r="886" spans="1:18" x14ac:dyDescent="0.2">
      <c r="A886" s="2">
        <v>885</v>
      </c>
      <c r="B886" s="65">
        <v>45734</v>
      </c>
      <c r="C886" s="70">
        <v>0.26263888888888887</v>
      </c>
      <c r="D886" s="66" t="s">
        <v>98</v>
      </c>
      <c r="G886" s="66" t="s">
        <v>151</v>
      </c>
      <c r="H886" s="66" t="s">
        <v>100</v>
      </c>
      <c r="I886" s="33" t="str">
        <f ca="1"/>
        <v>25,91</v>
      </c>
      <c r="J886" s="2">
        <v>886</v>
      </c>
      <c r="K886" s="2" t="str">
        <v>No Match</v>
      </c>
      <c r="M886" s="33">
        <f ca="1"/>
        <v>25.91</v>
      </c>
      <c r="N886" s="2" t="e">
        <f ca="1"/>
        <v>#N/A</v>
      </c>
      <c r="O886" s="2" t="e">
        <f ca="1"/>
        <v>#N/A</v>
      </c>
      <c r="P886" s="2" t="e">
        <f ca="1"/>
        <v>#N/A</v>
      </c>
      <c r="Q886" s="33" t="e">
        <f ca="1"/>
        <v>#N/A</v>
      </c>
      <c r="R886" s="33" t="e">
        <f ca="1"/>
        <v>#N/A</v>
      </c>
    </row>
    <row r="887" spans="1:18" x14ac:dyDescent="0.2">
      <c r="A887" s="2">
        <v>886</v>
      </c>
      <c r="B887" s="65">
        <v>45734</v>
      </c>
      <c r="C887" s="70">
        <v>0.26467592592592593</v>
      </c>
      <c r="D887" s="66" t="s">
        <v>98</v>
      </c>
      <c r="G887" s="66" t="s">
        <v>191</v>
      </c>
      <c r="H887" s="66" t="s">
        <v>100</v>
      </c>
      <c r="I887" s="33" t="str">
        <f ca="1"/>
        <v>25,79</v>
      </c>
      <c r="J887" s="2">
        <v>887</v>
      </c>
      <c r="K887" s="2" t="str">
        <v>No Match</v>
      </c>
      <c r="M887" s="33">
        <f ca="1"/>
        <v>25.79</v>
      </c>
      <c r="N887" s="2" t="e">
        <f ca="1"/>
        <v>#N/A</v>
      </c>
      <c r="O887" s="2" t="e">
        <f ca="1"/>
        <v>#N/A</v>
      </c>
      <c r="P887" s="2" t="e">
        <f ca="1"/>
        <v>#N/A</v>
      </c>
      <c r="Q887" s="33" t="e">
        <f ca="1"/>
        <v>#N/A</v>
      </c>
      <c r="R887" s="33" t="e">
        <f ca="1"/>
        <v>#N/A</v>
      </c>
    </row>
    <row r="888" spans="1:18" x14ac:dyDescent="0.2">
      <c r="A888" s="2">
        <v>887</v>
      </c>
      <c r="B888" s="65">
        <v>45734</v>
      </c>
      <c r="C888" s="70">
        <v>0.26549768518518518</v>
      </c>
      <c r="D888" s="66" t="s">
        <v>98</v>
      </c>
      <c r="G888" s="66" t="s">
        <v>153</v>
      </c>
      <c r="H888" s="66" t="s">
        <v>100</v>
      </c>
      <c r="I888" s="33" t="str">
        <f ca="1"/>
        <v>25,71</v>
      </c>
      <c r="J888" s="2">
        <v>888</v>
      </c>
      <c r="K888" s="2" t="str">
        <v>No Match</v>
      </c>
      <c r="M888" s="33">
        <f ca="1"/>
        <v>25.71</v>
      </c>
      <c r="N888" s="2" t="e">
        <f ca="1"/>
        <v>#N/A</v>
      </c>
      <c r="O888" s="2" t="e">
        <f ca="1"/>
        <v>#N/A</v>
      </c>
      <c r="P888" s="2" t="e">
        <f ca="1"/>
        <v>#N/A</v>
      </c>
      <c r="Q888" s="33" t="e">
        <f ca="1"/>
        <v>#N/A</v>
      </c>
      <c r="R888" s="33" t="e">
        <f ca="1"/>
        <v>#N/A</v>
      </c>
    </row>
    <row r="889" spans="1:18" x14ac:dyDescent="0.2">
      <c r="A889" s="2">
        <v>888</v>
      </c>
      <c r="B889" s="65">
        <v>45734</v>
      </c>
      <c r="C889" s="70">
        <v>0.2663888888888889</v>
      </c>
      <c r="D889" s="66" t="s">
        <v>98</v>
      </c>
      <c r="G889" s="66" t="s">
        <v>222</v>
      </c>
      <c r="H889" s="66" t="s">
        <v>100</v>
      </c>
      <c r="I889" s="33" t="str">
        <f ca="1"/>
        <v>25,82</v>
      </c>
      <c r="J889" s="2">
        <v>889</v>
      </c>
      <c r="K889" s="2" t="str">
        <v>No Match</v>
      </c>
      <c r="M889" s="33">
        <f ca="1"/>
        <v>25.82</v>
      </c>
      <c r="N889" s="2" t="e">
        <f ca="1"/>
        <v>#N/A</v>
      </c>
      <c r="O889" s="2" t="e">
        <f ca="1"/>
        <v>#N/A</v>
      </c>
      <c r="P889" s="2" t="e">
        <f ca="1"/>
        <v>#N/A</v>
      </c>
      <c r="Q889" s="33" t="e">
        <f ca="1"/>
        <v>#N/A</v>
      </c>
      <c r="R889" s="33" t="e">
        <f ca="1"/>
        <v>#N/A</v>
      </c>
    </row>
    <row r="890" spans="1:18" x14ac:dyDescent="0.2">
      <c r="A890" s="2">
        <v>889</v>
      </c>
      <c r="B890" s="65">
        <v>45734</v>
      </c>
      <c r="C890" s="70">
        <v>0.26743055555555556</v>
      </c>
      <c r="D890" s="66" t="s">
        <v>98</v>
      </c>
      <c r="G890" s="66" t="s">
        <v>213</v>
      </c>
      <c r="H890" s="66" t="s">
        <v>100</v>
      </c>
      <c r="I890" s="33" t="str">
        <f ca="1"/>
        <v>25,85</v>
      </c>
      <c r="J890" s="2">
        <v>890</v>
      </c>
      <c r="K890" s="2" t="str">
        <v>No Match</v>
      </c>
      <c r="M890" s="33">
        <f ca="1"/>
        <v>25.85</v>
      </c>
      <c r="N890" s="2" t="e">
        <f ca="1"/>
        <v>#N/A</v>
      </c>
      <c r="O890" s="2" t="e">
        <f ca="1"/>
        <v>#N/A</v>
      </c>
      <c r="P890" s="2" t="e">
        <f ca="1"/>
        <v>#N/A</v>
      </c>
      <c r="Q890" s="33" t="e">
        <f ca="1"/>
        <v>#N/A</v>
      </c>
      <c r="R890" s="33" t="e">
        <f ca="1"/>
        <v>#N/A</v>
      </c>
    </row>
    <row r="891" spans="1:18" x14ac:dyDescent="0.2">
      <c r="A891" s="2">
        <v>890</v>
      </c>
      <c r="B891" s="65">
        <v>45734</v>
      </c>
      <c r="C891" s="70">
        <v>0.26861111111111113</v>
      </c>
      <c r="D891" s="66" t="s">
        <v>98</v>
      </c>
      <c r="G891" s="66" t="s">
        <v>192</v>
      </c>
      <c r="H891" s="66" t="s">
        <v>100</v>
      </c>
      <c r="I891" s="33" t="str">
        <f ca="1"/>
        <v>26,05</v>
      </c>
      <c r="J891" s="2">
        <v>891</v>
      </c>
      <c r="K891" s="2" t="str">
        <v>No Match</v>
      </c>
      <c r="M891" s="33">
        <f ca="1"/>
        <v>26.05</v>
      </c>
      <c r="N891" s="2">
        <f ca="1"/>
        <v>25</v>
      </c>
      <c r="O891" s="2">
        <f ca="1"/>
        <v>24.625</v>
      </c>
      <c r="P891" s="2">
        <f ca="1"/>
        <v>25.375</v>
      </c>
      <c r="Q891" s="33">
        <f ca="1"/>
        <v>25.348752808988756</v>
      </c>
      <c r="R891" s="33">
        <f ca="1"/>
        <v>25.679999999999996</v>
      </c>
    </row>
    <row r="892" spans="1:18" x14ac:dyDescent="0.2">
      <c r="A892" s="2">
        <v>891</v>
      </c>
      <c r="B892" s="65">
        <v>45734</v>
      </c>
      <c r="C892" s="70">
        <v>0.26974537037037039</v>
      </c>
      <c r="D892" s="66" t="s">
        <v>98</v>
      </c>
      <c r="G892" s="66" t="s">
        <v>194</v>
      </c>
      <c r="H892" s="66" t="s">
        <v>100</v>
      </c>
      <c r="I892" s="33" t="str">
        <f ca="1"/>
        <v>25,94</v>
      </c>
      <c r="J892" s="2">
        <v>892</v>
      </c>
      <c r="K892" s="2" t="str">
        <v>No Match</v>
      </c>
      <c r="M892" s="33">
        <f ca="1"/>
        <v>25.94</v>
      </c>
      <c r="N892" s="2" t="e">
        <f ca="1"/>
        <v>#N/A</v>
      </c>
      <c r="O892" s="2" t="e">
        <f ca="1"/>
        <v>#N/A</v>
      </c>
      <c r="P892" s="2" t="e">
        <f ca="1"/>
        <v>#N/A</v>
      </c>
      <c r="Q892" s="33" t="e">
        <f ca="1"/>
        <v>#N/A</v>
      </c>
      <c r="R892" s="33" t="e">
        <f ca="1"/>
        <v>#N/A</v>
      </c>
    </row>
    <row r="893" spans="1:18" x14ac:dyDescent="0.2">
      <c r="A893" s="2">
        <v>892</v>
      </c>
      <c r="B893" s="65">
        <v>45734</v>
      </c>
      <c r="C893" s="70">
        <v>0.27043981481481483</v>
      </c>
      <c r="D893" s="66" t="s">
        <v>98</v>
      </c>
      <c r="G893" s="66" t="s">
        <v>151</v>
      </c>
      <c r="H893" s="66" t="s">
        <v>100</v>
      </c>
      <c r="I893" s="33" t="str">
        <f ca="1"/>
        <v>25,91</v>
      </c>
      <c r="J893" s="2">
        <v>893</v>
      </c>
      <c r="K893" s="2" t="str">
        <v>No Match</v>
      </c>
      <c r="M893" s="33">
        <f ca="1"/>
        <v>25.91</v>
      </c>
      <c r="N893" s="2" t="e">
        <f ca="1"/>
        <v>#N/A</v>
      </c>
      <c r="O893" s="2" t="e">
        <f ca="1"/>
        <v>#N/A</v>
      </c>
      <c r="P893" s="2" t="e">
        <f ca="1"/>
        <v>#N/A</v>
      </c>
      <c r="Q893" s="33" t="e">
        <f ca="1"/>
        <v>#N/A</v>
      </c>
      <c r="R893" s="33" t="e">
        <f ca="1"/>
        <v>#N/A</v>
      </c>
    </row>
    <row r="894" spans="1:18" x14ac:dyDescent="0.2">
      <c r="A894" s="2">
        <v>893</v>
      </c>
      <c r="B894" s="65">
        <v>45734</v>
      </c>
      <c r="C894" s="70">
        <v>0.27180555555555558</v>
      </c>
      <c r="D894" s="66" t="s">
        <v>98</v>
      </c>
      <c r="G894" s="66" t="s">
        <v>248</v>
      </c>
      <c r="H894" s="66" t="s">
        <v>100</v>
      </c>
      <c r="I894" s="33" t="str">
        <f ca="1"/>
        <v>26,06</v>
      </c>
      <c r="J894" s="2">
        <v>894</v>
      </c>
      <c r="K894" s="2" t="str">
        <v>No Match</v>
      </c>
      <c r="M894" s="33">
        <f ca="1"/>
        <v>26.06</v>
      </c>
      <c r="N894" s="2" t="e">
        <f ca="1"/>
        <v>#N/A</v>
      </c>
      <c r="O894" s="2" t="e">
        <f ca="1"/>
        <v>#N/A</v>
      </c>
      <c r="P894" s="2" t="e">
        <f ca="1"/>
        <v>#N/A</v>
      </c>
      <c r="Q894" s="33" t="e">
        <f ca="1"/>
        <v>#N/A</v>
      </c>
      <c r="R894" s="33" t="e">
        <f ca="1"/>
        <v>#N/A</v>
      </c>
    </row>
    <row r="895" spans="1:18" x14ac:dyDescent="0.2">
      <c r="A895" s="2">
        <v>894</v>
      </c>
      <c r="B895" s="65">
        <v>45734</v>
      </c>
      <c r="C895" s="70">
        <v>0.27248842592592593</v>
      </c>
      <c r="D895" s="66" t="s">
        <v>98</v>
      </c>
      <c r="G895" s="66" t="s">
        <v>146</v>
      </c>
      <c r="H895" s="66" t="s">
        <v>100</v>
      </c>
      <c r="I895" s="33" t="str">
        <f ca="1"/>
        <v>25,37</v>
      </c>
      <c r="J895" s="2">
        <v>895</v>
      </c>
      <c r="K895" s="2" t="str">
        <v>No Match</v>
      </c>
      <c r="M895" s="33">
        <f ca="1"/>
        <v>25.37</v>
      </c>
      <c r="N895" s="2" t="e">
        <f ca="1"/>
        <v>#N/A</v>
      </c>
      <c r="O895" s="2" t="e">
        <f ca="1"/>
        <v>#N/A</v>
      </c>
      <c r="P895" s="2" t="e">
        <f ca="1"/>
        <v>#N/A</v>
      </c>
      <c r="Q895" s="33" t="e">
        <f ca="1"/>
        <v>#N/A</v>
      </c>
      <c r="R895" s="33" t="e">
        <f ca="1"/>
        <v>#N/A</v>
      </c>
    </row>
    <row r="896" spans="1:18" x14ac:dyDescent="0.2">
      <c r="A896" s="2">
        <v>895</v>
      </c>
      <c r="B896" s="65">
        <v>45734</v>
      </c>
      <c r="C896" s="70">
        <v>0.27334490740740741</v>
      </c>
      <c r="D896" s="66" t="s">
        <v>98</v>
      </c>
      <c r="G896" s="66" t="s">
        <v>139</v>
      </c>
      <c r="H896" s="66" t="s">
        <v>100</v>
      </c>
      <c r="I896" s="33" t="str">
        <f ca="1"/>
        <v>25,35</v>
      </c>
      <c r="J896" s="2">
        <v>896</v>
      </c>
      <c r="K896" s="2" t="str">
        <v>No Match</v>
      </c>
      <c r="M896" s="33">
        <f ca="1"/>
        <v>25.35</v>
      </c>
      <c r="N896" s="2" t="e">
        <f ca="1"/>
        <v>#N/A</v>
      </c>
      <c r="O896" s="2" t="e">
        <f ca="1"/>
        <v>#N/A</v>
      </c>
      <c r="P896" s="2" t="e">
        <f ca="1"/>
        <v>#N/A</v>
      </c>
      <c r="Q896" s="33" t="e">
        <f ca="1"/>
        <v>#N/A</v>
      </c>
      <c r="R896" s="33" t="e">
        <f ca="1"/>
        <v>#N/A</v>
      </c>
    </row>
    <row r="897" spans="1:18" x14ac:dyDescent="0.2">
      <c r="A897" s="2">
        <v>896</v>
      </c>
      <c r="B897" s="65">
        <v>45734</v>
      </c>
      <c r="C897" s="70">
        <v>0.2745023148148148</v>
      </c>
      <c r="D897" s="66" t="s">
        <v>98</v>
      </c>
      <c r="G897" s="66" t="s">
        <v>104</v>
      </c>
      <c r="H897" s="66" t="s">
        <v>100</v>
      </c>
      <c r="I897" s="33" t="str">
        <f ca="1"/>
        <v>25,40</v>
      </c>
      <c r="J897" s="2">
        <v>897</v>
      </c>
      <c r="K897" s="2" t="str">
        <v>No Match</v>
      </c>
      <c r="M897" s="33">
        <f ca="1"/>
        <v>25.4</v>
      </c>
      <c r="N897" s="2" t="e">
        <f ca="1"/>
        <v>#N/A</v>
      </c>
      <c r="O897" s="2" t="e">
        <f ca="1"/>
        <v>#N/A</v>
      </c>
      <c r="P897" s="2" t="e">
        <f ca="1"/>
        <v>#N/A</v>
      </c>
      <c r="Q897" s="33" t="e">
        <f ca="1"/>
        <v>#N/A</v>
      </c>
      <c r="R897" s="33" t="e">
        <f ca="1"/>
        <v>#N/A</v>
      </c>
    </row>
    <row r="898" spans="1:18" x14ac:dyDescent="0.2">
      <c r="A898" s="2">
        <v>897</v>
      </c>
      <c r="B898" s="65">
        <v>45734</v>
      </c>
      <c r="C898" s="70">
        <v>0.27649305555555553</v>
      </c>
      <c r="D898" s="66" t="s">
        <v>98</v>
      </c>
      <c r="G898" s="66" t="s">
        <v>146</v>
      </c>
      <c r="H898" s="66" t="s">
        <v>100</v>
      </c>
      <c r="I898" s="33" t="str">
        <f ca="1"/>
        <v>25,37</v>
      </c>
      <c r="J898" s="2">
        <v>898</v>
      </c>
      <c r="K898" s="2" t="str">
        <v>No Match</v>
      </c>
      <c r="M898" s="33">
        <f ca="1"/>
        <v>25.37</v>
      </c>
      <c r="N898" s="2" t="e">
        <f ca="1"/>
        <v>#N/A</v>
      </c>
      <c r="O898" s="2" t="e">
        <f ca="1"/>
        <v>#N/A</v>
      </c>
      <c r="P898" s="2" t="e">
        <f ca="1"/>
        <v>#N/A</v>
      </c>
      <c r="Q898" s="33" t="e">
        <f ca="1"/>
        <v>#N/A</v>
      </c>
      <c r="R898" s="33" t="e">
        <f ca="1"/>
        <v>#N/A</v>
      </c>
    </row>
    <row r="899" spans="1:18" x14ac:dyDescent="0.2">
      <c r="A899" s="2">
        <v>898</v>
      </c>
      <c r="B899" s="65">
        <v>45734</v>
      </c>
      <c r="C899" s="70">
        <v>0.27682870370370372</v>
      </c>
      <c r="D899" s="66" t="s">
        <v>98</v>
      </c>
      <c r="G899" s="66" t="s">
        <v>116</v>
      </c>
      <c r="H899" s="66" t="s">
        <v>100</v>
      </c>
      <c r="I899" s="33" t="str">
        <f ca="1"/>
        <v>25,33</v>
      </c>
      <c r="J899" s="2">
        <v>899</v>
      </c>
      <c r="K899" s="2" t="str">
        <v>No Match</v>
      </c>
      <c r="M899" s="33">
        <f ca="1"/>
        <v>25.33</v>
      </c>
      <c r="N899" s="2" t="e">
        <f ca="1"/>
        <v>#N/A</v>
      </c>
      <c r="O899" s="2" t="e">
        <f ca="1"/>
        <v>#N/A</v>
      </c>
      <c r="P899" s="2" t="e">
        <f ca="1"/>
        <v>#N/A</v>
      </c>
      <c r="Q899" s="33" t="e">
        <f ca="1"/>
        <v>#N/A</v>
      </c>
      <c r="R899" s="33" t="e">
        <f ca="1"/>
        <v>#N/A</v>
      </c>
    </row>
    <row r="900" spans="1:18" x14ac:dyDescent="0.2">
      <c r="A900" s="2">
        <v>899</v>
      </c>
      <c r="B900" s="65">
        <v>45734</v>
      </c>
      <c r="C900" s="70">
        <v>0.27739583333333334</v>
      </c>
      <c r="D900" s="66" t="s">
        <v>98</v>
      </c>
      <c r="G900" s="66" t="s">
        <v>141</v>
      </c>
      <c r="H900" s="66" t="s">
        <v>100</v>
      </c>
      <c r="I900" s="33" t="str">
        <f ca="1"/>
        <v>25,50</v>
      </c>
      <c r="J900" s="2">
        <v>900</v>
      </c>
      <c r="K900" s="2" t="str">
        <v>No Match</v>
      </c>
      <c r="M900" s="33">
        <f ca="1"/>
        <v>25.5</v>
      </c>
      <c r="N900" s="2" t="e">
        <f ca="1"/>
        <v>#N/A</v>
      </c>
      <c r="O900" s="2" t="e">
        <f ca="1"/>
        <v>#N/A</v>
      </c>
      <c r="P900" s="2" t="e">
        <f ca="1"/>
        <v>#N/A</v>
      </c>
      <c r="Q900" s="33" t="e">
        <f ca="1"/>
        <v>#N/A</v>
      </c>
      <c r="R900" s="33" t="e">
        <f ca="1"/>
        <v>#N/A</v>
      </c>
    </row>
    <row r="901" spans="1:18" x14ac:dyDescent="0.2">
      <c r="A901" s="2">
        <v>900</v>
      </c>
      <c r="B901" s="65">
        <v>45734</v>
      </c>
      <c r="C901" s="70">
        <v>0.27800925925925923</v>
      </c>
      <c r="D901" s="66" t="s">
        <v>98</v>
      </c>
      <c r="G901" s="66" t="s">
        <v>163</v>
      </c>
      <c r="H901" s="66" t="s">
        <v>100</v>
      </c>
      <c r="I901" s="33" t="str">
        <f ca="1"/>
        <v>25,47</v>
      </c>
      <c r="J901" s="2">
        <v>901</v>
      </c>
      <c r="K901" s="2" t="str">
        <v>No Match</v>
      </c>
      <c r="M901" s="33">
        <f ca="1"/>
        <v>25.47</v>
      </c>
      <c r="N901" s="2">
        <f ca="1"/>
        <v>25</v>
      </c>
      <c r="O901" s="2">
        <f ca="1"/>
        <v>24.625</v>
      </c>
      <c r="P901" s="2">
        <f ca="1"/>
        <v>25.375</v>
      </c>
      <c r="Q901" s="33">
        <f ca="1"/>
        <v>25.351211111111102</v>
      </c>
      <c r="R901" s="33">
        <f ca="1"/>
        <v>25.57</v>
      </c>
    </row>
    <row r="902" spans="1:18" x14ac:dyDescent="0.2">
      <c r="A902" s="2">
        <v>901</v>
      </c>
      <c r="B902" s="65">
        <v>45734</v>
      </c>
      <c r="C902" s="70">
        <v>0.27855324074074073</v>
      </c>
      <c r="D902" s="66" t="s">
        <v>98</v>
      </c>
      <c r="G902" s="66" t="s">
        <v>161</v>
      </c>
      <c r="H902" s="66" t="s">
        <v>100</v>
      </c>
      <c r="I902" s="33" t="str">
        <f ca="1"/>
        <v>25,38</v>
      </c>
      <c r="J902" s="2">
        <v>902</v>
      </c>
      <c r="K902" s="2" t="str">
        <v>No Match</v>
      </c>
      <c r="M902" s="33">
        <f ca="1"/>
        <v>25.38</v>
      </c>
      <c r="N902" s="2" t="e">
        <f ca="1"/>
        <v>#N/A</v>
      </c>
      <c r="O902" s="2" t="e">
        <f ca="1"/>
        <v>#N/A</v>
      </c>
      <c r="P902" s="2" t="e">
        <f ca="1"/>
        <v>#N/A</v>
      </c>
      <c r="Q902" s="33" t="e">
        <f ca="1"/>
        <v>#N/A</v>
      </c>
      <c r="R902" s="33" t="e">
        <f ca="1"/>
        <v>#N/A</v>
      </c>
    </row>
    <row r="903" spans="1:18" x14ac:dyDescent="0.2">
      <c r="A903" s="2">
        <v>902</v>
      </c>
      <c r="B903" s="65">
        <v>45734</v>
      </c>
      <c r="C903" s="70">
        <v>0.28986111111111112</v>
      </c>
      <c r="D903" s="66" t="s">
        <v>98</v>
      </c>
      <c r="G903" s="66" t="s">
        <v>158</v>
      </c>
      <c r="H903" s="66" t="s">
        <v>100</v>
      </c>
      <c r="I903" s="33" t="str">
        <f ca="1"/>
        <v>25,67</v>
      </c>
      <c r="J903" s="2">
        <v>903</v>
      </c>
      <c r="K903" s="2" t="str">
        <v>No Match</v>
      </c>
      <c r="M903" s="33">
        <f ca="1"/>
        <v>25.67</v>
      </c>
      <c r="N903" s="2" t="e">
        <f ca="1"/>
        <v>#N/A</v>
      </c>
      <c r="O903" s="2" t="e">
        <f ca="1"/>
        <v>#N/A</v>
      </c>
      <c r="P903" s="2" t="e">
        <f ca="1"/>
        <v>#N/A</v>
      </c>
      <c r="Q903" s="33" t="e">
        <f ca="1"/>
        <v>#N/A</v>
      </c>
      <c r="R903" s="33" t="e">
        <f ca="1"/>
        <v>#N/A</v>
      </c>
    </row>
    <row r="904" spans="1:18" x14ac:dyDescent="0.2">
      <c r="A904" s="2">
        <v>903</v>
      </c>
      <c r="B904" s="65">
        <v>45734</v>
      </c>
      <c r="C904" s="70">
        <v>0.29129629629629628</v>
      </c>
      <c r="D904" s="66" t="s">
        <v>98</v>
      </c>
      <c r="G904" s="66" t="s">
        <v>143</v>
      </c>
      <c r="H904" s="66" t="s">
        <v>100</v>
      </c>
      <c r="I904" s="33" t="str">
        <f ca="1"/>
        <v>25,53</v>
      </c>
      <c r="J904" s="2">
        <v>904</v>
      </c>
      <c r="K904" s="2" t="str">
        <v>No Match</v>
      </c>
      <c r="M904" s="33">
        <f ca="1"/>
        <v>25.53</v>
      </c>
      <c r="N904" s="2" t="e">
        <f ca="1"/>
        <v>#N/A</v>
      </c>
      <c r="O904" s="2" t="e">
        <f ca="1"/>
        <v>#N/A</v>
      </c>
      <c r="P904" s="2" t="e">
        <f ca="1"/>
        <v>#N/A</v>
      </c>
      <c r="Q904" s="33" t="e">
        <f ca="1"/>
        <v>#N/A</v>
      </c>
      <c r="R904" s="33" t="e">
        <f ca="1"/>
        <v>#N/A</v>
      </c>
    </row>
    <row r="905" spans="1:18" x14ac:dyDescent="0.2">
      <c r="A905" s="2">
        <v>904</v>
      </c>
      <c r="B905" s="65">
        <v>45734</v>
      </c>
      <c r="C905" s="70">
        <v>0.29375000000000001</v>
      </c>
      <c r="D905" s="66" t="s">
        <v>98</v>
      </c>
      <c r="G905" s="66" t="s">
        <v>104</v>
      </c>
      <c r="H905" s="66" t="s">
        <v>100</v>
      </c>
      <c r="I905" s="33" t="str">
        <f ca="1"/>
        <v>25,40</v>
      </c>
      <c r="J905" s="2">
        <v>905</v>
      </c>
      <c r="K905" s="2" t="str">
        <v>No Match</v>
      </c>
      <c r="M905" s="33">
        <f ca="1"/>
        <v>25.4</v>
      </c>
      <c r="N905" s="2" t="e">
        <f ca="1"/>
        <v>#N/A</v>
      </c>
      <c r="O905" s="2" t="e">
        <f ca="1"/>
        <v>#N/A</v>
      </c>
      <c r="P905" s="2" t="e">
        <f ca="1"/>
        <v>#N/A</v>
      </c>
      <c r="Q905" s="33" t="e">
        <f ca="1"/>
        <v>#N/A</v>
      </c>
      <c r="R905" s="33" t="e">
        <f ca="1"/>
        <v>#N/A</v>
      </c>
    </row>
    <row r="906" spans="1:18" x14ac:dyDescent="0.2">
      <c r="A906" s="2">
        <v>905</v>
      </c>
      <c r="B906" s="65">
        <v>45734</v>
      </c>
      <c r="C906" s="70">
        <v>0.29631944444444447</v>
      </c>
      <c r="D906" s="66" t="s">
        <v>98</v>
      </c>
      <c r="G906" s="66" t="s">
        <v>141</v>
      </c>
      <c r="H906" s="66" t="s">
        <v>100</v>
      </c>
      <c r="I906" s="33" t="str">
        <f ca="1"/>
        <v>25,50</v>
      </c>
      <c r="J906" s="2">
        <v>906</v>
      </c>
      <c r="K906" s="2" t="str">
        <v>No Match</v>
      </c>
      <c r="M906" s="33">
        <f ca="1"/>
        <v>25.5</v>
      </c>
      <c r="N906" s="2" t="e">
        <f ca="1"/>
        <v>#N/A</v>
      </c>
      <c r="O906" s="2" t="e">
        <f ca="1"/>
        <v>#N/A</v>
      </c>
      <c r="P906" s="2" t="e">
        <f ca="1"/>
        <v>#N/A</v>
      </c>
      <c r="Q906" s="33" t="e">
        <f ca="1"/>
        <v>#N/A</v>
      </c>
      <c r="R906" s="33" t="e">
        <f ca="1"/>
        <v>#N/A</v>
      </c>
    </row>
    <row r="907" spans="1:18" x14ac:dyDescent="0.2">
      <c r="A907" s="2">
        <v>906</v>
      </c>
      <c r="B907" s="65">
        <v>45734</v>
      </c>
      <c r="C907" s="70">
        <v>0.29865740740740743</v>
      </c>
      <c r="D907" s="66" t="s">
        <v>98</v>
      </c>
      <c r="G907" s="66" t="s">
        <v>161</v>
      </c>
      <c r="H907" s="66" t="s">
        <v>100</v>
      </c>
      <c r="I907" s="33" t="str">
        <f ca="1"/>
        <v>25,38</v>
      </c>
      <c r="J907" s="2">
        <v>907</v>
      </c>
      <c r="K907" s="2" t="str">
        <v>No Match</v>
      </c>
      <c r="M907" s="33">
        <f ca="1"/>
        <v>25.38</v>
      </c>
      <c r="N907" s="2" t="e">
        <f ca="1"/>
        <v>#N/A</v>
      </c>
      <c r="O907" s="2" t="e">
        <f ca="1"/>
        <v>#N/A</v>
      </c>
      <c r="P907" s="2" t="e">
        <f ca="1"/>
        <v>#N/A</v>
      </c>
      <c r="Q907" s="33" t="e">
        <f ca="1"/>
        <v>#N/A</v>
      </c>
      <c r="R907" s="33" t="e">
        <f ca="1"/>
        <v>#N/A</v>
      </c>
    </row>
    <row r="908" spans="1:18" x14ac:dyDescent="0.2">
      <c r="A908" s="2">
        <v>907</v>
      </c>
      <c r="B908" s="65">
        <v>45734</v>
      </c>
      <c r="C908" s="70">
        <v>0.29954861111111108</v>
      </c>
      <c r="D908" s="66" t="s">
        <v>98</v>
      </c>
      <c r="G908" s="66" t="s">
        <v>189</v>
      </c>
      <c r="H908" s="66" t="s">
        <v>100</v>
      </c>
      <c r="I908" s="33" t="str">
        <f ca="1"/>
        <v>25,48</v>
      </c>
      <c r="J908" s="2">
        <v>908</v>
      </c>
      <c r="K908" s="2" t="str">
        <v>No Match</v>
      </c>
      <c r="M908" s="33">
        <f ca="1"/>
        <v>25.48</v>
      </c>
      <c r="N908" s="2" t="e">
        <f ca="1"/>
        <v>#N/A</v>
      </c>
      <c r="O908" s="2" t="e">
        <f ca="1"/>
        <v>#N/A</v>
      </c>
      <c r="P908" s="2" t="e">
        <f ca="1"/>
        <v>#N/A</v>
      </c>
      <c r="Q908" s="33" t="e">
        <f ca="1"/>
        <v>#N/A</v>
      </c>
      <c r="R908" s="33" t="e">
        <f ca="1"/>
        <v>#N/A</v>
      </c>
    </row>
    <row r="909" spans="1:18" x14ac:dyDescent="0.2">
      <c r="A909" s="2">
        <v>908</v>
      </c>
      <c r="B909" s="65">
        <v>45734</v>
      </c>
      <c r="C909" s="70">
        <v>0.30023148148148149</v>
      </c>
      <c r="D909" s="66" t="s">
        <v>98</v>
      </c>
      <c r="G909" s="66" t="s">
        <v>127</v>
      </c>
      <c r="H909" s="66" t="s">
        <v>100</v>
      </c>
      <c r="I909" s="33" t="str">
        <f ca="1"/>
        <v>25,28</v>
      </c>
      <c r="J909" s="2">
        <v>909</v>
      </c>
      <c r="K909" s="2" t="str">
        <v>No Match</v>
      </c>
      <c r="M909" s="33">
        <f ca="1"/>
        <v>25.28</v>
      </c>
      <c r="N909" s="2" t="e">
        <f ca="1"/>
        <v>#N/A</v>
      </c>
      <c r="O909" s="2" t="e">
        <f ca="1"/>
        <v>#N/A</v>
      </c>
      <c r="P909" s="2" t="e">
        <f ca="1"/>
        <v>#N/A</v>
      </c>
      <c r="Q909" s="33" t="e">
        <f ca="1"/>
        <v>#N/A</v>
      </c>
      <c r="R909" s="33" t="e">
        <f ca="1"/>
        <v>#N/A</v>
      </c>
    </row>
    <row r="910" spans="1:18" x14ac:dyDescent="0.2">
      <c r="A910" s="2">
        <v>909</v>
      </c>
      <c r="B910" s="65">
        <v>45734</v>
      </c>
      <c r="C910" s="70">
        <v>0.30086805555555557</v>
      </c>
      <c r="D910" s="66" t="s">
        <v>98</v>
      </c>
      <c r="G910" s="66" t="s">
        <v>111</v>
      </c>
      <c r="H910" s="66" t="s">
        <v>100</v>
      </c>
      <c r="I910" s="33" t="str">
        <f ca="1"/>
        <v>25,44</v>
      </c>
      <c r="J910" s="2">
        <v>910</v>
      </c>
      <c r="K910" s="2" t="str">
        <v>No Match</v>
      </c>
      <c r="M910" s="33">
        <f ca="1"/>
        <v>25.44</v>
      </c>
      <c r="N910" s="2" t="e">
        <f ca="1"/>
        <v>#N/A</v>
      </c>
      <c r="O910" s="2" t="e">
        <f ca="1"/>
        <v>#N/A</v>
      </c>
      <c r="P910" s="2" t="e">
        <f ca="1"/>
        <v>#N/A</v>
      </c>
      <c r="Q910" s="33" t="e">
        <f ca="1"/>
        <v>#N/A</v>
      </c>
      <c r="R910" s="33" t="e">
        <f ca="1"/>
        <v>#N/A</v>
      </c>
    </row>
    <row r="911" spans="1:18" x14ac:dyDescent="0.2">
      <c r="A911" s="2">
        <v>910</v>
      </c>
      <c r="B911" s="65">
        <v>45734</v>
      </c>
      <c r="C911" s="70">
        <v>0.30135416666666665</v>
      </c>
      <c r="D911" s="66" t="s">
        <v>98</v>
      </c>
      <c r="G911" s="66" t="s">
        <v>170</v>
      </c>
      <c r="H911" s="66" t="s">
        <v>100</v>
      </c>
      <c r="I911" s="33" t="str">
        <f ca="1"/>
        <v>25,52</v>
      </c>
      <c r="J911" s="2">
        <v>911</v>
      </c>
      <c r="K911" s="2" t="str">
        <v>No Match</v>
      </c>
      <c r="M911" s="33">
        <f ca="1"/>
        <v>25.52</v>
      </c>
      <c r="N911" s="2">
        <f ca="1"/>
        <v>25</v>
      </c>
      <c r="O911" s="2">
        <f ca="1"/>
        <v>24.625</v>
      </c>
      <c r="P911" s="2">
        <f ca="1"/>
        <v>25.375</v>
      </c>
      <c r="Q911" s="33">
        <f ca="1"/>
        <v>25.352384615384604</v>
      </c>
      <c r="R911" s="33">
        <f ca="1"/>
        <v>25.457999999999998</v>
      </c>
    </row>
    <row r="912" spans="1:18" x14ac:dyDescent="0.2">
      <c r="A912" s="2">
        <v>911</v>
      </c>
      <c r="B912" s="65">
        <v>45734</v>
      </c>
      <c r="C912" s="70">
        <v>0.30386574074074074</v>
      </c>
      <c r="D912" s="66" t="s">
        <v>98</v>
      </c>
      <c r="G912" s="66" t="s">
        <v>143</v>
      </c>
      <c r="H912" s="66" t="s">
        <v>100</v>
      </c>
      <c r="I912" s="33" t="str">
        <f ca="1"/>
        <v>25,53</v>
      </c>
      <c r="J912" s="2">
        <v>912</v>
      </c>
      <c r="K912" s="2" t="str">
        <v>No Match</v>
      </c>
      <c r="M912" s="33">
        <f ca="1"/>
        <v>25.53</v>
      </c>
      <c r="N912" s="2" t="e">
        <f ca="1"/>
        <v>#N/A</v>
      </c>
      <c r="O912" s="2" t="e">
        <f ca="1"/>
        <v>#N/A</v>
      </c>
      <c r="P912" s="2" t="e">
        <f ca="1"/>
        <v>#N/A</v>
      </c>
      <c r="Q912" s="33" t="e">
        <f ca="1"/>
        <v>#N/A</v>
      </c>
      <c r="R912" s="33" t="e">
        <f ca="1"/>
        <v>#N/A</v>
      </c>
    </row>
    <row r="913" spans="1:18" x14ac:dyDescent="0.2">
      <c r="A913" s="2">
        <v>912</v>
      </c>
      <c r="B913" s="65">
        <v>45734</v>
      </c>
      <c r="C913" s="70">
        <v>0.3052199074074074</v>
      </c>
      <c r="D913" s="66" t="s">
        <v>98</v>
      </c>
      <c r="G913" s="66" t="s">
        <v>195</v>
      </c>
      <c r="H913" s="66" t="s">
        <v>100</v>
      </c>
      <c r="I913" s="33" t="str">
        <f ca="1"/>
        <v>25,60</v>
      </c>
      <c r="J913" s="2">
        <v>913</v>
      </c>
      <c r="K913" s="2" t="str">
        <v>No Match</v>
      </c>
      <c r="M913" s="33">
        <f ca="1"/>
        <v>25.6</v>
      </c>
      <c r="N913" s="2" t="e">
        <f ca="1"/>
        <v>#N/A</v>
      </c>
      <c r="O913" s="2" t="e">
        <f ca="1"/>
        <v>#N/A</v>
      </c>
      <c r="P913" s="2" t="e">
        <f ca="1"/>
        <v>#N/A</v>
      </c>
      <c r="Q913" s="33" t="e">
        <f ca="1"/>
        <v>#N/A</v>
      </c>
      <c r="R913" s="33" t="e">
        <f ca="1"/>
        <v>#N/A</v>
      </c>
    </row>
    <row r="914" spans="1:18" x14ac:dyDescent="0.2">
      <c r="A914" s="2">
        <v>913</v>
      </c>
      <c r="B914" s="65">
        <v>45734</v>
      </c>
      <c r="C914" s="70">
        <v>0.30629629629629629</v>
      </c>
      <c r="D914" s="66" t="s">
        <v>98</v>
      </c>
      <c r="G914" s="66" t="s">
        <v>198</v>
      </c>
      <c r="H914" s="66" t="s">
        <v>100</v>
      </c>
      <c r="I914" s="33" t="str">
        <f ca="1"/>
        <v>25,45</v>
      </c>
      <c r="J914" s="2">
        <v>914</v>
      </c>
      <c r="K914" s="2" t="str">
        <v>No Match</v>
      </c>
      <c r="M914" s="33">
        <f ca="1"/>
        <v>25.45</v>
      </c>
      <c r="N914" s="2" t="e">
        <f ca="1"/>
        <v>#N/A</v>
      </c>
      <c r="O914" s="2" t="e">
        <f ca="1"/>
        <v>#N/A</v>
      </c>
      <c r="P914" s="2" t="e">
        <f ca="1"/>
        <v>#N/A</v>
      </c>
      <c r="Q914" s="33" t="e">
        <f ca="1"/>
        <v>#N/A</v>
      </c>
      <c r="R914" s="33" t="e">
        <f ca="1"/>
        <v>#N/A</v>
      </c>
    </row>
    <row r="915" spans="1:18" x14ac:dyDescent="0.2">
      <c r="A915" s="2">
        <v>914</v>
      </c>
      <c r="B915" s="65">
        <v>45734</v>
      </c>
      <c r="C915" s="70">
        <v>0.30744212962962963</v>
      </c>
      <c r="D915" s="66" t="s">
        <v>98</v>
      </c>
      <c r="G915" s="66" t="s">
        <v>170</v>
      </c>
      <c r="H915" s="66" t="s">
        <v>100</v>
      </c>
      <c r="I915" s="33" t="str">
        <f ca="1"/>
        <v>25,52</v>
      </c>
      <c r="J915" s="2">
        <v>915</v>
      </c>
      <c r="K915" s="2" t="str">
        <v>No Match</v>
      </c>
      <c r="M915" s="33">
        <f ca="1"/>
        <v>25.52</v>
      </c>
      <c r="N915" s="2" t="e">
        <f ca="1"/>
        <v>#N/A</v>
      </c>
      <c r="O915" s="2" t="e">
        <f ca="1"/>
        <v>#N/A</v>
      </c>
      <c r="P915" s="2" t="e">
        <f ca="1"/>
        <v>#N/A</v>
      </c>
      <c r="Q915" s="33" t="e">
        <f ca="1"/>
        <v>#N/A</v>
      </c>
      <c r="R915" s="33" t="e">
        <f ca="1"/>
        <v>#N/A</v>
      </c>
    </row>
    <row r="916" spans="1:18" x14ac:dyDescent="0.2">
      <c r="A916" s="2">
        <v>915</v>
      </c>
      <c r="B916" s="65">
        <v>45734</v>
      </c>
      <c r="C916" s="70">
        <v>0.30872685185185184</v>
      </c>
      <c r="D916" s="66" t="s">
        <v>98</v>
      </c>
      <c r="G916" s="66" t="s">
        <v>139</v>
      </c>
      <c r="H916" s="66" t="s">
        <v>100</v>
      </c>
      <c r="I916" s="33" t="str">
        <f ca="1"/>
        <v>25,35</v>
      </c>
      <c r="J916" s="2">
        <v>916</v>
      </c>
      <c r="K916" s="2" t="str">
        <v>No Match</v>
      </c>
      <c r="M916" s="33">
        <f ca="1"/>
        <v>25.35</v>
      </c>
      <c r="N916" s="2" t="e">
        <f ca="1"/>
        <v>#N/A</v>
      </c>
      <c r="O916" s="2" t="e">
        <f ca="1"/>
        <v>#N/A</v>
      </c>
      <c r="P916" s="2" t="e">
        <f ca="1"/>
        <v>#N/A</v>
      </c>
      <c r="Q916" s="33" t="e">
        <f ca="1"/>
        <v>#N/A</v>
      </c>
      <c r="R916" s="33" t="e">
        <f ca="1"/>
        <v>#N/A</v>
      </c>
    </row>
    <row r="917" spans="1:18" x14ac:dyDescent="0.2">
      <c r="A917" s="2">
        <v>916</v>
      </c>
      <c r="B917" s="65">
        <v>45734</v>
      </c>
      <c r="C917" s="70">
        <v>0.30995370370370373</v>
      </c>
      <c r="D917" s="66" t="s">
        <v>98</v>
      </c>
      <c r="G917" s="66" t="s">
        <v>163</v>
      </c>
      <c r="H917" s="66" t="s">
        <v>100</v>
      </c>
      <c r="I917" s="33" t="str">
        <f ca="1"/>
        <v>25,47</v>
      </c>
      <c r="J917" s="2">
        <v>917</v>
      </c>
      <c r="K917" s="2" t="str">
        <v>No Match</v>
      </c>
      <c r="M917" s="33">
        <f ca="1"/>
        <v>25.47</v>
      </c>
      <c r="N917" s="2" t="e">
        <f ca="1"/>
        <v>#N/A</v>
      </c>
      <c r="O917" s="2" t="e">
        <f ca="1"/>
        <v>#N/A</v>
      </c>
      <c r="P917" s="2" t="e">
        <f ca="1"/>
        <v>#N/A</v>
      </c>
      <c r="Q917" s="33" t="e">
        <f ca="1"/>
        <v>#N/A</v>
      </c>
      <c r="R917" s="33" t="e">
        <f ca="1"/>
        <v>#N/A</v>
      </c>
    </row>
    <row r="918" spans="1:18" x14ac:dyDescent="0.2">
      <c r="A918" s="2">
        <v>917</v>
      </c>
      <c r="B918" s="65">
        <v>45734</v>
      </c>
      <c r="C918" s="70">
        <v>0.31108796296296298</v>
      </c>
      <c r="D918" s="66" t="s">
        <v>98</v>
      </c>
      <c r="G918" s="66" t="s">
        <v>117</v>
      </c>
      <c r="H918" s="66" t="s">
        <v>100</v>
      </c>
      <c r="I918" s="33" t="str">
        <f ca="1"/>
        <v>25,61</v>
      </c>
      <c r="J918" s="2">
        <v>918</v>
      </c>
      <c r="K918" s="2" t="str">
        <v>No Match</v>
      </c>
      <c r="M918" s="33">
        <f ca="1"/>
        <v>25.61</v>
      </c>
      <c r="N918" s="2" t="e">
        <f ca="1"/>
        <v>#N/A</v>
      </c>
      <c r="O918" s="2" t="e">
        <f ca="1"/>
        <v>#N/A</v>
      </c>
      <c r="P918" s="2" t="e">
        <f ca="1"/>
        <v>#N/A</v>
      </c>
      <c r="Q918" s="33" t="e">
        <f ca="1"/>
        <v>#N/A</v>
      </c>
      <c r="R918" s="33" t="e">
        <f ca="1"/>
        <v>#N/A</v>
      </c>
    </row>
    <row r="919" spans="1:18" x14ac:dyDescent="0.2">
      <c r="A919" s="2">
        <v>918</v>
      </c>
      <c r="B919" s="65">
        <v>45734</v>
      </c>
      <c r="C919" s="70">
        <v>0.31224537037037037</v>
      </c>
      <c r="D919" s="66" t="s">
        <v>98</v>
      </c>
      <c r="G919" s="66" t="s">
        <v>220</v>
      </c>
      <c r="H919" s="66" t="s">
        <v>100</v>
      </c>
      <c r="I919" s="33" t="str">
        <f ca="1"/>
        <v>25,54</v>
      </c>
      <c r="J919" s="2">
        <v>919</v>
      </c>
      <c r="K919" s="2" t="str">
        <v>No Match</v>
      </c>
      <c r="M919" s="33">
        <f ca="1"/>
        <v>25.54</v>
      </c>
      <c r="N919" s="2" t="e">
        <f ca="1"/>
        <v>#N/A</v>
      </c>
      <c r="O919" s="2" t="e">
        <f ca="1"/>
        <v>#N/A</v>
      </c>
      <c r="P919" s="2" t="e">
        <f ca="1"/>
        <v>#N/A</v>
      </c>
      <c r="Q919" s="33" t="e">
        <f ca="1"/>
        <v>#N/A</v>
      </c>
      <c r="R919" s="33" t="e">
        <f ca="1"/>
        <v>#N/A</v>
      </c>
    </row>
    <row r="920" spans="1:18" x14ac:dyDescent="0.2">
      <c r="A920" s="2">
        <v>919</v>
      </c>
      <c r="B920" s="65">
        <v>45734</v>
      </c>
      <c r="C920" s="70">
        <v>0.31335648148148149</v>
      </c>
      <c r="D920" s="66" t="s">
        <v>98</v>
      </c>
      <c r="G920" s="66" t="s">
        <v>159</v>
      </c>
      <c r="H920" s="66" t="s">
        <v>100</v>
      </c>
      <c r="I920" s="33" t="str">
        <f ca="1"/>
        <v>25,26</v>
      </c>
      <c r="J920" s="2">
        <v>920</v>
      </c>
      <c r="K920" s="2" t="str">
        <v>No Match</v>
      </c>
      <c r="M920" s="33">
        <f ca="1"/>
        <v>25.26</v>
      </c>
      <c r="N920" s="2" t="e">
        <f ca="1"/>
        <v>#N/A</v>
      </c>
      <c r="O920" s="2" t="e">
        <f ca="1"/>
        <v>#N/A</v>
      </c>
      <c r="P920" s="2" t="e">
        <f ca="1"/>
        <v>#N/A</v>
      </c>
      <c r="Q920" s="33" t="e">
        <f ca="1"/>
        <v>#N/A</v>
      </c>
      <c r="R920" s="33" t="e">
        <f ca="1"/>
        <v>#N/A</v>
      </c>
    </row>
    <row r="921" spans="1:18" x14ac:dyDescent="0.2">
      <c r="A921" s="2">
        <v>920</v>
      </c>
      <c r="B921" s="65">
        <v>45734</v>
      </c>
      <c r="C921" s="70">
        <v>0.31399305555555557</v>
      </c>
      <c r="D921" s="66" t="s">
        <v>98</v>
      </c>
      <c r="G921" s="66" t="s">
        <v>132</v>
      </c>
      <c r="H921" s="66" t="s">
        <v>100</v>
      </c>
      <c r="I921" s="33" t="str">
        <f ca="1"/>
        <v>25,57</v>
      </c>
      <c r="J921" s="2">
        <v>921</v>
      </c>
      <c r="K921" s="2" t="str">
        <v>No Match</v>
      </c>
      <c r="M921" s="33">
        <f ca="1"/>
        <v>25.57</v>
      </c>
      <c r="N921" s="2">
        <f ca="1"/>
        <v>25</v>
      </c>
      <c r="O921" s="2">
        <f ca="1"/>
        <v>24.625</v>
      </c>
      <c r="P921" s="2">
        <f ca="1"/>
        <v>25.375</v>
      </c>
      <c r="Q921" s="33">
        <f ca="1"/>
        <v>25.353880434782596</v>
      </c>
      <c r="R921" s="33">
        <f ca="1"/>
        <v>25.489999999999995</v>
      </c>
    </row>
    <row r="922" spans="1:18" x14ac:dyDescent="0.2">
      <c r="A922" s="2">
        <v>921</v>
      </c>
      <c r="B922" s="65">
        <v>45734</v>
      </c>
      <c r="C922" s="70">
        <v>0.31466435185185188</v>
      </c>
      <c r="D922" s="66" t="s">
        <v>98</v>
      </c>
      <c r="G922" s="66" t="s">
        <v>155</v>
      </c>
      <c r="H922" s="66" t="s">
        <v>100</v>
      </c>
      <c r="I922" s="33" t="str">
        <f ca="1"/>
        <v>25,49</v>
      </c>
      <c r="J922" s="2">
        <v>922</v>
      </c>
      <c r="K922" s="2" t="str">
        <v>No Match</v>
      </c>
      <c r="M922" s="33">
        <f ca="1"/>
        <v>25.49</v>
      </c>
      <c r="N922" s="2" t="e">
        <f ca="1"/>
        <v>#N/A</v>
      </c>
      <c r="O922" s="2" t="e">
        <f ca="1"/>
        <v>#N/A</v>
      </c>
      <c r="P922" s="2" t="e">
        <f ca="1"/>
        <v>#N/A</v>
      </c>
      <c r="Q922" s="33" t="e">
        <f ca="1"/>
        <v>#N/A</v>
      </c>
      <c r="R922" s="33" t="e">
        <f ca="1"/>
        <v>#N/A</v>
      </c>
    </row>
    <row r="923" spans="1:18" x14ac:dyDescent="0.2">
      <c r="A923" s="2">
        <v>922</v>
      </c>
      <c r="B923" s="65">
        <v>45734</v>
      </c>
      <c r="C923" s="70">
        <v>0.34237268518518521</v>
      </c>
      <c r="D923" s="66" t="s">
        <v>98</v>
      </c>
      <c r="G923" s="66" t="s">
        <v>175</v>
      </c>
      <c r="H923" s="66" t="s">
        <v>100</v>
      </c>
      <c r="I923" s="33" t="str">
        <f ca="1"/>
        <v>25,58</v>
      </c>
      <c r="J923" s="2">
        <v>923</v>
      </c>
      <c r="K923" s="2" t="str">
        <v>No Match</v>
      </c>
      <c r="M923" s="33">
        <f ca="1"/>
        <v>25.58</v>
      </c>
      <c r="N923" s="2" t="e">
        <f ca="1"/>
        <v>#N/A</v>
      </c>
      <c r="O923" s="2" t="e">
        <f ca="1"/>
        <v>#N/A</v>
      </c>
      <c r="P923" s="2" t="e">
        <f ca="1"/>
        <v>#N/A</v>
      </c>
      <c r="Q923" s="33" t="e">
        <f ca="1"/>
        <v>#N/A</v>
      </c>
      <c r="R923" s="33" t="e">
        <f ca="1"/>
        <v>#N/A</v>
      </c>
    </row>
    <row r="924" spans="1:18" x14ac:dyDescent="0.2">
      <c r="A924" s="2">
        <v>923</v>
      </c>
      <c r="B924" s="65">
        <v>45734</v>
      </c>
      <c r="C924" s="70">
        <v>0.34274305555555556</v>
      </c>
      <c r="D924" s="66" t="s">
        <v>98</v>
      </c>
      <c r="G924" s="66" t="s">
        <v>105</v>
      </c>
      <c r="H924" s="66" t="s">
        <v>100</v>
      </c>
      <c r="I924" s="33" t="str">
        <f ca="1"/>
        <v>25,39</v>
      </c>
      <c r="J924" s="2">
        <v>924</v>
      </c>
      <c r="K924" s="2" t="str">
        <v>No Match</v>
      </c>
      <c r="M924" s="33">
        <f ca="1"/>
        <v>25.39</v>
      </c>
      <c r="N924" s="2" t="e">
        <f ca="1"/>
        <v>#N/A</v>
      </c>
      <c r="O924" s="2" t="e">
        <f ca="1"/>
        <v>#N/A</v>
      </c>
      <c r="P924" s="2" t="e">
        <f ca="1"/>
        <v>#N/A</v>
      </c>
      <c r="Q924" s="33" t="e">
        <f ca="1"/>
        <v>#N/A</v>
      </c>
      <c r="R924" s="33" t="e">
        <f ca="1"/>
        <v>#N/A</v>
      </c>
    </row>
    <row r="925" spans="1:18" x14ac:dyDescent="0.2">
      <c r="A925" s="2">
        <v>924</v>
      </c>
      <c r="B925" s="65">
        <v>45734</v>
      </c>
      <c r="C925" s="70">
        <v>0.34379629629629632</v>
      </c>
      <c r="D925" s="66" t="s">
        <v>98</v>
      </c>
      <c r="G925" s="66" t="s">
        <v>202</v>
      </c>
      <c r="H925" s="66" t="s">
        <v>100</v>
      </c>
      <c r="I925" s="33" t="str">
        <f ca="1"/>
        <v>25,31</v>
      </c>
      <c r="J925" s="2">
        <v>925</v>
      </c>
      <c r="K925" s="2" t="str">
        <v>No Match</v>
      </c>
      <c r="M925" s="33">
        <f ca="1"/>
        <v>25.31</v>
      </c>
      <c r="N925" s="2" t="e">
        <f ca="1"/>
        <v>#N/A</v>
      </c>
      <c r="O925" s="2" t="e">
        <f ca="1"/>
        <v>#N/A</v>
      </c>
      <c r="P925" s="2" t="e">
        <f ca="1"/>
        <v>#N/A</v>
      </c>
      <c r="Q925" s="33" t="e">
        <f ca="1"/>
        <v>#N/A</v>
      </c>
      <c r="R925" s="33" t="e">
        <f ca="1"/>
        <v>#N/A</v>
      </c>
    </row>
    <row r="926" spans="1:18" x14ac:dyDescent="0.2">
      <c r="A926" s="2">
        <v>925</v>
      </c>
      <c r="B926" s="65">
        <v>45734</v>
      </c>
      <c r="C926" s="70">
        <v>0.34608796296296296</v>
      </c>
      <c r="D926" s="66" t="s">
        <v>98</v>
      </c>
      <c r="G926" s="66" t="s">
        <v>144</v>
      </c>
      <c r="H926" s="66" t="s">
        <v>100</v>
      </c>
      <c r="I926" s="33" t="str">
        <f ca="1"/>
        <v>25,63</v>
      </c>
      <c r="J926" s="2">
        <v>926</v>
      </c>
      <c r="K926" s="2" t="str">
        <v>No Match</v>
      </c>
      <c r="M926" s="33">
        <f ca="1"/>
        <v>25.63</v>
      </c>
      <c r="N926" s="2" t="e">
        <f ca="1"/>
        <v>#N/A</v>
      </c>
      <c r="O926" s="2" t="e">
        <f ca="1"/>
        <v>#N/A</v>
      </c>
      <c r="P926" s="2" t="e">
        <f ca="1"/>
        <v>#N/A</v>
      </c>
      <c r="Q926" s="33" t="e">
        <f ca="1"/>
        <v>#N/A</v>
      </c>
      <c r="R926" s="33" t="e">
        <f ca="1"/>
        <v>#N/A</v>
      </c>
    </row>
    <row r="927" spans="1:18" x14ac:dyDescent="0.2">
      <c r="A927" s="2">
        <v>926</v>
      </c>
      <c r="B927" s="65">
        <v>45734</v>
      </c>
      <c r="C927" s="70">
        <v>0.34721064814814817</v>
      </c>
      <c r="D927" s="66" t="s">
        <v>98</v>
      </c>
      <c r="G927" s="66" t="s">
        <v>143</v>
      </c>
      <c r="H927" s="66" t="s">
        <v>100</v>
      </c>
      <c r="I927" s="33" t="str">
        <f ca="1"/>
        <v>25,53</v>
      </c>
      <c r="J927" s="2">
        <v>927</v>
      </c>
      <c r="K927" s="2" t="str">
        <v>No Match</v>
      </c>
      <c r="M927" s="33">
        <f ca="1"/>
        <v>25.53</v>
      </c>
      <c r="N927" s="2" t="e">
        <f ca="1"/>
        <v>#N/A</v>
      </c>
      <c r="O927" s="2" t="e">
        <f ca="1"/>
        <v>#N/A</v>
      </c>
      <c r="P927" s="2" t="e">
        <f ca="1"/>
        <v>#N/A</v>
      </c>
      <c r="Q927" s="33" t="e">
        <f ca="1"/>
        <v>#N/A</v>
      </c>
      <c r="R927" s="33" t="e">
        <f ca="1"/>
        <v>#N/A</v>
      </c>
    </row>
    <row r="928" spans="1:18" x14ac:dyDescent="0.2">
      <c r="A928" s="2">
        <v>927</v>
      </c>
      <c r="B928" s="65">
        <v>45734</v>
      </c>
      <c r="C928" s="70">
        <v>0.34836805555555556</v>
      </c>
      <c r="D928" s="66" t="s">
        <v>98</v>
      </c>
      <c r="G928" s="66" t="s">
        <v>111</v>
      </c>
      <c r="H928" s="66" t="s">
        <v>100</v>
      </c>
      <c r="I928" s="33" t="str">
        <f ca="1"/>
        <v>25,44</v>
      </c>
      <c r="J928" s="2">
        <v>928</v>
      </c>
      <c r="K928" s="2" t="str">
        <v>No Match</v>
      </c>
      <c r="M928" s="33">
        <f ca="1"/>
        <v>25.44</v>
      </c>
      <c r="N928" s="2" t="e">
        <f ca="1"/>
        <v>#N/A</v>
      </c>
      <c r="O928" s="2" t="e">
        <f ca="1"/>
        <v>#N/A</v>
      </c>
      <c r="P928" s="2" t="e">
        <f ca="1"/>
        <v>#N/A</v>
      </c>
      <c r="Q928" s="33" t="e">
        <f ca="1"/>
        <v>#N/A</v>
      </c>
      <c r="R928" s="33" t="e">
        <f ca="1"/>
        <v>#N/A</v>
      </c>
    </row>
    <row r="929" spans="1:18" x14ac:dyDescent="0.2">
      <c r="A929" s="2">
        <v>928</v>
      </c>
      <c r="B929" s="65">
        <v>45734</v>
      </c>
      <c r="C929" s="70">
        <v>0.34962962962962962</v>
      </c>
      <c r="D929" s="66" t="s">
        <v>98</v>
      </c>
      <c r="G929" s="66" t="s">
        <v>198</v>
      </c>
      <c r="H929" s="66" t="s">
        <v>100</v>
      </c>
      <c r="I929" s="33" t="str">
        <f ca="1"/>
        <v>25,45</v>
      </c>
      <c r="J929" s="2">
        <v>929</v>
      </c>
      <c r="K929" s="2" t="str">
        <v>No Match</v>
      </c>
      <c r="M929" s="33">
        <f ca="1"/>
        <v>25.45</v>
      </c>
      <c r="N929" s="2" t="e">
        <f ca="1"/>
        <v>#N/A</v>
      </c>
      <c r="O929" s="2" t="e">
        <f ca="1"/>
        <v>#N/A</v>
      </c>
      <c r="P929" s="2" t="e">
        <f ca="1"/>
        <v>#N/A</v>
      </c>
      <c r="Q929" s="33" t="e">
        <f ca="1"/>
        <v>#N/A</v>
      </c>
      <c r="R929" s="33" t="e">
        <f ca="1"/>
        <v>#N/A</v>
      </c>
    </row>
    <row r="930" spans="1:18" x14ac:dyDescent="0.2">
      <c r="A930" s="2">
        <v>929</v>
      </c>
      <c r="B930" s="65">
        <v>45734</v>
      </c>
      <c r="C930" s="70">
        <v>0.35061342592592593</v>
      </c>
      <c r="D930" s="66" t="s">
        <v>98</v>
      </c>
      <c r="G930" s="66" t="s">
        <v>164</v>
      </c>
      <c r="H930" s="66" t="s">
        <v>100</v>
      </c>
      <c r="I930" s="33" t="str">
        <f ca="1"/>
        <v>25,46</v>
      </c>
      <c r="J930" s="2">
        <v>930</v>
      </c>
      <c r="K930" s="2" t="str">
        <v>No Match</v>
      </c>
      <c r="M930" s="33">
        <f ca="1"/>
        <v>25.46</v>
      </c>
      <c r="N930" s="2" t="e">
        <f ca="1"/>
        <v>#N/A</v>
      </c>
      <c r="O930" s="2" t="e">
        <f ca="1"/>
        <v>#N/A</v>
      </c>
      <c r="P930" s="2" t="e">
        <f ca="1"/>
        <v>#N/A</v>
      </c>
      <c r="Q930" s="33" t="e">
        <f ca="1"/>
        <v>#N/A</v>
      </c>
      <c r="R930" s="33" t="e">
        <f ca="1"/>
        <v>#N/A</v>
      </c>
    </row>
    <row r="931" spans="1:18" x14ac:dyDescent="0.2">
      <c r="A931" s="2">
        <v>930</v>
      </c>
      <c r="B931" s="65">
        <v>45734</v>
      </c>
      <c r="C931" s="70">
        <v>0.35150462962962964</v>
      </c>
      <c r="D931" s="66" t="s">
        <v>98</v>
      </c>
      <c r="G931" s="66" t="s">
        <v>189</v>
      </c>
      <c r="H931" s="66" t="s">
        <v>100</v>
      </c>
      <c r="I931" s="33" t="str">
        <f ca="1"/>
        <v>25,48</v>
      </c>
      <c r="J931" s="2">
        <v>931</v>
      </c>
      <c r="K931" s="2" t="str">
        <v>No Match</v>
      </c>
      <c r="M931" s="33">
        <f ca="1"/>
        <v>25.48</v>
      </c>
      <c r="N931" s="2">
        <f ca="1"/>
        <v>25</v>
      </c>
      <c r="O931" s="2">
        <f ca="1"/>
        <v>24.625</v>
      </c>
      <c r="P931" s="2">
        <f ca="1"/>
        <v>25.375</v>
      </c>
      <c r="Q931" s="33">
        <f ca="1"/>
        <v>25.355193548387088</v>
      </c>
      <c r="R931" s="33">
        <f ca="1"/>
        <v>25.475999999999999</v>
      </c>
    </row>
    <row r="932" spans="1:18" x14ac:dyDescent="0.2">
      <c r="A932" s="2">
        <v>931</v>
      </c>
      <c r="B932" s="65">
        <v>45734</v>
      </c>
      <c r="C932" s="70">
        <v>0.3525462962962963</v>
      </c>
      <c r="D932" s="66" t="s">
        <v>98</v>
      </c>
      <c r="G932" s="66" t="s">
        <v>145</v>
      </c>
      <c r="H932" s="66" t="s">
        <v>100</v>
      </c>
      <c r="I932" s="33" t="str">
        <f ca="1"/>
        <v>25,30</v>
      </c>
      <c r="J932" s="2">
        <v>932</v>
      </c>
      <c r="K932" s="2" t="str">
        <v>No Match</v>
      </c>
      <c r="M932" s="33">
        <f ca="1"/>
        <v>25.3</v>
      </c>
      <c r="N932" s="2" t="e">
        <f ca="1"/>
        <v>#N/A</v>
      </c>
      <c r="O932" s="2" t="e">
        <f ca="1"/>
        <v>#N/A</v>
      </c>
      <c r="P932" s="2" t="e">
        <f ca="1"/>
        <v>#N/A</v>
      </c>
      <c r="Q932" s="33" t="e">
        <f ca="1"/>
        <v>#N/A</v>
      </c>
      <c r="R932" s="33" t="e">
        <f ca="1"/>
        <v>#N/A</v>
      </c>
    </row>
    <row r="933" spans="1:18" x14ac:dyDescent="0.2">
      <c r="A933" s="2">
        <v>932</v>
      </c>
      <c r="B933" s="65">
        <v>45734</v>
      </c>
      <c r="C933" s="70">
        <v>0.3550462962962963</v>
      </c>
      <c r="D933" s="66" t="s">
        <v>98</v>
      </c>
      <c r="G933" s="66" t="s">
        <v>206</v>
      </c>
      <c r="H933" s="66" t="s">
        <v>100</v>
      </c>
      <c r="I933" s="33" t="str">
        <f ca="1"/>
        <v>25,80</v>
      </c>
      <c r="J933" s="2">
        <v>933</v>
      </c>
      <c r="K933" s="2" t="str">
        <v>No Match</v>
      </c>
      <c r="M933" s="33">
        <f ca="1"/>
        <v>25.8</v>
      </c>
      <c r="N933" s="2" t="e">
        <f ca="1"/>
        <v>#N/A</v>
      </c>
      <c r="O933" s="2" t="e">
        <f ca="1"/>
        <v>#N/A</v>
      </c>
      <c r="P933" s="2" t="e">
        <f ca="1"/>
        <v>#N/A</v>
      </c>
      <c r="Q933" s="33" t="e">
        <f ca="1"/>
        <v>#N/A</v>
      </c>
      <c r="R933" s="33" t="e">
        <f ca="1"/>
        <v>#N/A</v>
      </c>
    </row>
    <row r="934" spans="1:18" x14ac:dyDescent="0.2">
      <c r="A934" s="2">
        <v>933</v>
      </c>
      <c r="B934" s="65">
        <v>45734</v>
      </c>
      <c r="C934" s="70">
        <v>0.35627314814814814</v>
      </c>
      <c r="D934" s="66" t="s">
        <v>98</v>
      </c>
      <c r="G934" s="66" t="s">
        <v>105</v>
      </c>
      <c r="H934" s="66" t="s">
        <v>100</v>
      </c>
      <c r="I934" s="33" t="str">
        <f ca="1"/>
        <v>25,39</v>
      </c>
      <c r="J934" s="2">
        <v>934</v>
      </c>
      <c r="K934" s="2" t="str">
        <v>No Match</v>
      </c>
      <c r="M934" s="33">
        <f ca="1"/>
        <v>25.39</v>
      </c>
      <c r="N934" s="2" t="e">
        <f ca="1"/>
        <v>#N/A</v>
      </c>
      <c r="O934" s="2" t="e">
        <f ca="1"/>
        <v>#N/A</v>
      </c>
      <c r="P934" s="2" t="e">
        <f ca="1"/>
        <v>#N/A</v>
      </c>
      <c r="Q934" s="33" t="e">
        <f ca="1"/>
        <v>#N/A</v>
      </c>
      <c r="R934" s="33" t="e">
        <f ca="1"/>
        <v>#N/A</v>
      </c>
    </row>
    <row r="935" spans="1:18" x14ac:dyDescent="0.2">
      <c r="A935" s="2">
        <v>934</v>
      </c>
      <c r="B935" s="65">
        <v>45734</v>
      </c>
      <c r="C935" s="70">
        <v>0.35729166666666667</v>
      </c>
      <c r="D935" s="66" t="s">
        <v>98</v>
      </c>
      <c r="G935" s="66" t="s">
        <v>117</v>
      </c>
      <c r="H935" s="66" t="s">
        <v>100</v>
      </c>
      <c r="I935" s="33" t="str">
        <f ca="1"/>
        <v>25,61</v>
      </c>
      <c r="J935" s="2">
        <v>935</v>
      </c>
      <c r="K935" s="2" t="str">
        <v>No Match</v>
      </c>
      <c r="M935" s="33">
        <f ca="1"/>
        <v>25.61</v>
      </c>
      <c r="N935" s="2" t="e">
        <f ca="1"/>
        <v>#N/A</v>
      </c>
      <c r="O935" s="2" t="e">
        <f ca="1"/>
        <v>#N/A</v>
      </c>
      <c r="P935" s="2" t="e">
        <f ca="1"/>
        <v>#N/A</v>
      </c>
      <c r="Q935" s="33" t="e">
        <f ca="1"/>
        <v>#N/A</v>
      </c>
      <c r="R935" s="33" t="e">
        <f ca="1"/>
        <v>#N/A</v>
      </c>
    </row>
    <row r="936" spans="1:18" x14ac:dyDescent="0.2">
      <c r="A936" s="2">
        <v>935</v>
      </c>
      <c r="B936" s="65">
        <v>45734</v>
      </c>
      <c r="C936" s="70">
        <v>0.35766203703703703</v>
      </c>
      <c r="D936" s="66" t="s">
        <v>98</v>
      </c>
      <c r="G936" s="66" t="s">
        <v>161</v>
      </c>
      <c r="H936" s="66" t="s">
        <v>100</v>
      </c>
      <c r="I936" s="33" t="str">
        <f ca="1"/>
        <v>25,38</v>
      </c>
      <c r="J936" s="2">
        <v>936</v>
      </c>
      <c r="K936" s="2" t="str">
        <v>No Match</v>
      </c>
      <c r="M936" s="33">
        <f ca="1"/>
        <v>25.38</v>
      </c>
      <c r="N936" s="2" t="e">
        <f ca="1"/>
        <v>#N/A</v>
      </c>
      <c r="O936" s="2" t="e">
        <f ca="1"/>
        <v>#N/A</v>
      </c>
      <c r="P936" s="2" t="e">
        <f ca="1"/>
        <v>#N/A</v>
      </c>
      <c r="Q936" s="33" t="e">
        <f ca="1"/>
        <v>#N/A</v>
      </c>
      <c r="R936" s="33" t="e">
        <f ca="1"/>
        <v>#N/A</v>
      </c>
    </row>
    <row r="937" spans="1:18" x14ac:dyDescent="0.2">
      <c r="A937" s="2">
        <v>936</v>
      </c>
      <c r="B937" s="65">
        <v>45734</v>
      </c>
      <c r="C937" s="70">
        <v>0.35835648148148147</v>
      </c>
      <c r="D937" s="66" t="s">
        <v>98</v>
      </c>
      <c r="G937" s="66" t="s">
        <v>164</v>
      </c>
      <c r="H937" s="66" t="s">
        <v>100</v>
      </c>
      <c r="I937" s="33" t="str">
        <f ca="1"/>
        <v>25,46</v>
      </c>
      <c r="J937" s="2">
        <v>937</v>
      </c>
      <c r="K937" s="2" t="str">
        <v>No Match</v>
      </c>
      <c r="M937" s="33">
        <f ca="1"/>
        <v>25.46</v>
      </c>
      <c r="N937" s="2" t="e">
        <f ca="1"/>
        <v>#N/A</v>
      </c>
      <c r="O937" s="2" t="e">
        <f ca="1"/>
        <v>#N/A</v>
      </c>
      <c r="P937" s="2" t="e">
        <f ca="1"/>
        <v>#N/A</v>
      </c>
      <c r="Q937" s="33" t="e">
        <f ca="1"/>
        <v>#N/A</v>
      </c>
      <c r="R937" s="33" t="e">
        <f ca="1"/>
        <v>#N/A</v>
      </c>
    </row>
    <row r="938" spans="1:18" x14ac:dyDescent="0.2">
      <c r="A938" s="2">
        <v>937</v>
      </c>
      <c r="B938" s="65">
        <v>45734</v>
      </c>
      <c r="C938" s="70">
        <v>0.3590740740740741</v>
      </c>
      <c r="D938" s="66" t="s">
        <v>98</v>
      </c>
      <c r="G938" s="66" t="s">
        <v>189</v>
      </c>
      <c r="H938" s="66" t="s">
        <v>100</v>
      </c>
      <c r="I938" s="33" t="str">
        <f ca="1"/>
        <v>25,48</v>
      </c>
      <c r="J938" s="2">
        <v>938</v>
      </c>
      <c r="K938" s="2" t="str">
        <v>No Match</v>
      </c>
      <c r="M938" s="33">
        <f ca="1"/>
        <v>25.48</v>
      </c>
      <c r="N938" s="2" t="e">
        <f ca="1"/>
        <v>#N/A</v>
      </c>
      <c r="O938" s="2" t="e">
        <f ca="1"/>
        <v>#N/A</v>
      </c>
      <c r="P938" s="2" t="e">
        <f ca="1"/>
        <v>#N/A</v>
      </c>
      <c r="Q938" s="33" t="e">
        <f ca="1"/>
        <v>#N/A</v>
      </c>
      <c r="R938" s="33" t="e">
        <f ca="1"/>
        <v>#N/A</v>
      </c>
    </row>
    <row r="939" spans="1:18" x14ac:dyDescent="0.2">
      <c r="A939" s="2">
        <v>938</v>
      </c>
      <c r="B939" s="65">
        <v>45734</v>
      </c>
      <c r="C939" s="70">
        <v>0.35995370370370372</v>
      </c>
      <c r="D939" s="66" t="s">
        <v>98</v>
      </c>
      <c r="G939" s="66" t="s">
        <v>112</v>
      </c>
      <c r="H939" s="66" t="s">
        <v>100</v>
      </c>
      <c r="I939" s="33" t="str">
        <f ca="1"/>
        <v>25,36</v>
      </c>
      <c r="J939" s="2">
        <v>939</v>
      </c>
      <c r="K939" s="2" t="str">
        <v>No Match</v>
      </c>
      <c r="M939" s="33">
        <f ca="1"/>
        <v>25.36</v>
      </c>
      <c r="N939" s="2" t="e">
        <f ca="1"/>
        <v>#N/A</v>
      </c>
      <c r="O939" s="2" t="e">
        <f ca="1"/>
        <v>#N/A</v>
      </c>
      <c r="P939" s="2" t="e">
        <f ca="1"/>
        <v>#N/A</v>
      </c>
      <c r="Q939" s="33" t="e">
        <f ca="1"/>
        <v>#N/A</v>
      </c>
      <c r="R939" s="33" t="e">
        <f ca="1"/>
        <v>#N/A</v>
      </c>
    </row>
    <row r="940" spans="1:18" x14ac:dyDescent="0.2">
      <c r="A940" s="2">
        <v>939</v>
      </c>
      <c r="B940" s="65">
        <v>45734</v>
      </c>
      <c r="C940" s="70">
        <v>0.36166666666666669</v>
      </c>
      <c r="D940" s="66" t="s">
        <v>98</v>
      </c>
      <c r="G940" s="66" t="s">
        <v>111</v>
      </c>
      <c r="H940" s="66" t="s">
        <v>100</v>
      </c>
      <c r="I940" s="33" t="str">
        <f ca="1"/>
        <v>25,44</v>
      </c>
      <c r="J940" s="2">
        <v>940</v>
      </c>
      <c r="K940" s="2" t="str">
        <v>No Match</v>
      </c>
      <c r="M940" s="33">
        <f ca="1"/>
        <v>25.44</v>
      </c>
      <c r="N940" s="2" t="e">
        <f ca="1"/>
        <v>#N/A</v>
      </c>
      <c r="O940" s="2" t="e">
        <f ca="1"/>
        <v>#N/A</v>
      </c>
      <c r="P940" s="2" t="e">
        <f ca="1"/>
        <v>#N/A</v>
      </c>
      <c r="Q940" s="33" t="e">
        <f ca="1"/>
        <v>#N/A</v>
      </c>
      <c r="R940" s="33" t="e">
        <f ca="1"/>
        <v>#N/A</v>
      </c>
    </row>
    <row r="941" spans="1:18" x14ac:dyDescent="0.2">
      <c r="A941" s="2">
        <v>940</v>
      </c>
      <c r="B941" s="65">
        <v>45734</v>
      </c>
      <c r="C941" s="70">
        <v>0.36380787037037038</v>
      </c>
      <c r="D941" s="66" t="s">
        <v>98</v>
      </c>
      <c r="G941" s="66" t="s">
        <v>223</v>
      </c>
      <c r="H941" s="66" t="s">
        <v>100</v>
      </c>
      <c r="I941" s="33" t="str">
        <f ca="1"/>
        <v>25,73</v>
      </c>
      <c r="J941" s="2">
        <v>941</v>
      </c>
      <c r="K941" s="2" t="str">
        <v>No Match</v>
      </c>
      <c r="M941" s="33">
        <f ca="1"/>
        <v>25.73</v>
      </c>
      <c r="N941" s="2">
        <f ca="1"/>
        <v>25</v>
      </c>
      <c r="O941" s="2">
        <f ca="1"/>
        <v>24.625</v>
      </c>
      <c r="P941" s="2">
        <f ca="1"/>
        <v>25.375</v>
      </c>
      <c r="Q941" s="33">
        <f ca="1"/>
        <v>25.356680851063818</v>
      </c>
      <c r="R941" s="33">
        <f ca="1"/>
        <v>25.494999999999997</v>
      </c>
    </row>
    <row r="942" spans="1:18" x14ac:dyDescent="0.2">
      <c r="A942" s="2">
        <v>941</v>
      </c>
      <c r="B942" s="65">
        <v>45734</v>
      </c>
      <c r="C942" s="70">
        <v>0.36447916666666669</v>
      </c>
      <c r="D942" s="66" t="s">
        <v>98</v>
      </c>
      <c r="G942" s="66" t="s">
        <v>144</v>
      </c>
      <c r="H942" s="66" t="s">
        <v>100</v>
      </c>
      <c r="I942" s="33" t="str">
        <f ca="1"/>
        <v>25,63</v>
      </c>
      <c r="J942" s="2">
        <v>942</v>
      </c>
      <c r="K942" s="2" t="str">
        <v>No Match</v>
      </c>
      <c r="M942" s="33">
        <f ca="1"/>
        <v>25.63</v>
      </c>
      <c r="N942" s="2" t="e">
        <f ca="1"/>
        <v>#N/A</v>
      </c>
      <c r="O942" s="2" t="e">
        <f ca="1"/>
        <v>#N/A</v>
      </c>
      <c r="P942" s="2" t="e">
        <f ca="1"/>
        <v>#N/A</v>
      </c>
      <c r="Q942" s="33" t="e">
        <f ca="1"/>
        <v>#N/A</v>
      </c>
      <c r="R942" s="33" t="e">
        <f ca="1"/>
        <v>#N/A</v>
      </c>
    </row>
    <row r="943" spans="1:18" x14ac:dyDescent="0.2">
      <c r="A943" s="2">
        <v>942</v>
      </c>
      <c r="B943" s="65">
        <v>45734</v>
      </c>
      <c r="C943" s="70">
        <v>0.3679513888888889</v>
      </c>
      <c r="D943" s="66" t="s">
        <v>98</v>
      </c>
      <c r="G943" s="66" t="s">
        <v>199</v>
      </c>
      <c r="H943" s="66" t="s">
        <v>100</v>
      </c>
      <c r="I943" s="33" t="str">
        <f ca="1"/>
        <v>25,78</v>
      </c>
      <c r="J943" s="2">
        <v>943</v>
      </c>
      <c r="K943" s="2" t="str">
        <v>No Match</v>
      </c>
      <c r="M943" s="33">
        <f ca="1"/>
        <v>25.78</v>
      </c>
      <c r="N943" s="2" t="e">
        <f ca="1"/>
        <v>#N/A</v>
      </c>
      <c r="O943" s="2" t="e">
        <f ca="1"/>
        <v>#N/A</v>
      </c>
      <c r="P943" s="2" t="e">
        <f ca="1"/>
        <v>#N/A</v>
      </c>
      <c r="Q943" s="33" t="e">
        <f ca="1"/>
        <v>#N/A</v>
      </c>
      <c r="R943" s="33" t="e">
        <f ca="1"/>
        <v>#N/A</v>
      </c>
    </row>
    <row r="944" spans="1:18" x14ac:dyDescent="0.2">
      <c r="A944" s="2">
        <v>943</v>
      </c>
      <c r="B944" s="65">
        <v>45734</v>
      </c>
      <c r="C944" s="70">
        <v>0.36849537037037039</v>
      </c>
      <c r="D944" s="66" t="s">
        <v>98</v>
      </c>
      <c r="G944" s="66" t="s">
        <v>168</v>
      </c>
      <c r="H944" s="66" t="s">
        <v>100</v>
      </c>
      <c r="I944" s="33" t="str">
        <f ca="1"/>
        <v>25,59</v>
      </c>
      <c r="J944" s="2">
        <v>944</v>
      </c>
      <c r="K944" s="2" t="str">
        <v>No Match</v>
      </c>
      <c r="M944" s="33">
        <f ca="1"/>
        <v>25.59</v>
      </c>
      <c r="N944" s="2" t="e">
        <f ca="1"/>
        <v>#N/A</v>
      </c>
      <c r="O944" s="2" t="e">
        <f ca="1"/>
        <v>#N/A</v>
      </c>
      <c r="P944" s="2" t="e">
        <f ca="1"/>
        <v>#N/A</v>
      </c>
      <c r="Q944" s="33" t="e">
        <f ca="1"/>
        <v>#N/A</v>
      </c>
      <c r="R944" s="33" t="e">
        <f ca="1"/>
        <v>#N/A</v>
      </c>
    </row>
    <row r="945" spans="1:18" x14ac:dyDescent="0.2">
      <c r="A945" s="2">
        <v>944</v>
      </c>
      <c r="B945" s="65">
        <v>45734</v>
      </c>
      <c r="C945" s="70">
        <v>0.37232638888888892</v>
      </c>
      <c r="D945" s="66" t="s">
        <v>98</v>
      </c>
      <c r="G945" s="66" t="s">
        <v>211</v>
      </c>
      <c r="H945" s="66" t="s">
        <v>100</v>
      </c>
      <c r="I945" s="33" t="str">
        <f ca="1"/>
        <v>25,77</v>
      </c>
      <c r="J945" s="2">
        <v>945</v>
      </c>
      <c r="K945" s="2" t="str">
        <v>No Match</v>
      </c>
      <c r="M945" s="33">
        <f ca="1"/>
        <v>25.77</v>
      </c>
      <c r="N945" s="2" t="e">
        <f ca="1"/>
        <v>#N/A</v>
      </c>
      <c r="O945" s="2" t="e">
        <f ca="1"/>
        <v>#N/A</v>
      </c>
      <c r="P945" s="2" t="e">
        <f ca="1"/>
        <v>#N/A</v>
      </c>
      <c r="Q945" s="33" t="e">
        <f ca="1"/>
        <v>#N/A</v>
      </c>
      <c r="R945" s="33" t="e">
        <f ca="1"/>
        <v>#N/A</v>
      </c>
    </row>
    <row r="946" spans="1:18" x14ac:dyDescent="0.2">
      <c r="A946" s="2">
        <v>945</v>
      </c>
      <c r="B946" s="65">
        <v>45734</v>
      </c>
      <c r="C946" s="70">
        <v>0.3737152777777778</v>
      </c>
      <c r="D946" s="66" t="s">
        <v>98</v>
      </c>
      <c r="G946" s="66" t="s">
        <v>141</v>
      </c>
      <c r="H946" s="66" t="s">
        <v>100</v>
      </c>
      <c r="I946" s="33" t="str">
        <f ca="1"/>
        <v>25,50</v>
      </c>
      <c r="J946" s="2">
        <v>946</v>
      </c>
      <c r="K946" s="2" t="str">
        <v>No Match</v>
      </c>
      <c r="M946" s="33">
        <f ca="1"/>
        <v>25.5</v>
      </c>
      <c r="N946" s="2" t="e">
        <f ca="1"/>
        <v>#N/A</v>
      </c>
      <c r="O946" s="2" t="e">
        <f ca="1"/>
        <v>#N/A</v>
      </c>
      <c r="P946" s="2" t="e">
        <f ca="1"/>
        <v>#N/A</v>
      </c>
      <c r="Q946" s="33" t="e">
        <f ca="1"/>
        <v>#N/A</v>
      </c>
      <c r="R946" s="33" t="e">
        <f ca="1"/>
        <v>#N/A</v>
      </c>
    </row>
    <row r="947" spans="1:18" x14ac:dyDescent="0.2">
      <c r="A947" s="2">
        <v>946</v>
      </c>
      <c r="B947" s="65">
        <v>45734</v>
      </c>
      <c r="C947" s="70">
        <v>0.37601851851851853</v>
      </c>
      <c r="D947" s="66" t="s">
        <v>98</v>
      </c>
      <c r="G947" s="66" t="s">
        <v>161</v>
      </c>
      <c r="H947" s="66" t="s">
        <v>100</v>
      </c>
      <c r="I947" s="33" t="str">
        <f ca="1"/>
        <v>25,38</v>
      </c>
      <c r="J947" s="2">
        <v>947</v>
      </c>
      <c r="K947" s="2" t="str">
        <v>No Match</v>
      </c>
      <c r="M947" s="33">
        <f ca="1"/>
        <v>25.38</v>
      </c>
      <c r="N947" s="2" t="e">
        <f ca="1"/>
        <v>#N/A</v>
      </c>
      <c r="O947" s="2" t="e">
        <f ca="1"/>
        <v>#N/A</v>
      </c>
      <c r="P947" s="2" t="e">
        <f ca="1"/>
        <v>#N/A</v>
      </c>
      <c r="Q947" s="33" t="e">
        <f ca="1"/>
        <v>#N/A</v>
      </c>
      <c r="R947" s="33" t="e">
        <f ca="1"/>
        <v>#N/A</v>
      </c>
    </row>
    <row r="948" spans="1:18" x14ac:dyDescent="0.2">
      <c r="A948" s="2">
        <v>947</v>
      </c>
      <c r="B948" s="65">
        <v>45734</v>
      </c>
      <c r="C948" s="70">
        <v>0.37707175925925923</v>
      </c>
      <c r="D948" s="66" t="s">
        <v>98</v>
      </c>
      <c r="G948" s="66" t="s">
        <v>143</v>
      </c>
      <c r="H948" s="66" t="s">
        <v>100</v>
      </c>
      <c r="I948" s="33" t="str">
        <f ca="1"/>
        <v>25,53</v>
      </c>
      <c r="J948" s="2">
        <v>948</v>
      </c>
      <c r="K948" s="2" t="str">
        <v>No Match</v>
      </c>
      <c r="M948" s="33">
        <f ca="1"/>
        <v>25.53</v>
      </c>
      <c r="N948" s="2" t="e">
        <f ca="1"/>
        <v>#N/A</v>
      </c>
      <c r="O948" s="2" t="e">
        <f ca="1"/>
        <v>#N/A</v>
      </c>
      <c r="P948" s="2" t="e">
        <f ca="1"/>
        <v>#N/A</v>
      </c>
      <c r="Q948" s="33" t="e">
        <f ca="1"/>
        <v>#N/A</v>
      </c>
      <c r="R948" s="33" t="e">
        <f ca="1"/>
        <v>#N/A</v>
      </c>
    </row>
    <row r="949" spans="1:18" x14ac:dyDescent="0.2">
      <c r="A949" s="2">
        <v>948</v>
      </c>
      <c r="B949" s="65">
        <v>45734</v>
      </c>
      <c r="C949" s="70">
        <v>0.37916666666666665</v>
      </c>
      <c r="D949" s="66" t="s">
        <v>98</v>
      </c>
      <c r="G949" s="66" t="s">
        <v>206</v>
      </c>
      <c r="H949" s="66" t="s">
        <v>100</v>
      </c>
      <c r="I949" s="33" t="str">
        <f ca="1"/>
        <v>25,80</v>
      </c>
      <c r="J949" s="2">
        <v>949</v>
      </c>
      <c r="K949" s="2" t="str">
        <v>No Match</v>
      </c>
      <c r="M949" s="33">
        <f ca="1"/>
        <v>25.8</v>
      </c>
      <c r="N949" s="2" t="e">
        <f ca="1"/>
        <v>#N/A</v>
      </c>
      <c r="O949" s="2" t="e">
        <f ca="1"/>
        <v>#N/A</v>
      </c>
      <c r="P949" s="2" t="e">
        <f ca="1"/>
        <v>#N/A</v>
      </c>
      <c r="Q949" s="33" t="e">
        <f ca="1"/>
        <v>#N/A</v>
      </c>
      <c r="R949" s="33" t="e">
        <f ca="1"/>
        <v>#N/A</v>
      </c>
    </row>
    <row r="950" spans="1:18" x14ac:dyDescent="0.2">
      <c r="A950" s="2">
        <v>949</v>
      </c>
      <c r="B950" s="65">
        <v>45734</v>
      </c>
      <c r="C950" s="70">
        <v>0.38108796296296299</v>
      </c>
      <c r="D950" s="66" t="s">
        <v>98</v>
      </c>
      <c r="G950" s="66" t="s">
        <v>211</v>
      </c>
      <c r="H950" s="66" t="s">
        <v>100</v>
      </c>
      <c r="I950" s="33" t="str">
        <f ca="1"/>
        <v>25,77</v>
      </c>
      <c r="J950" s="2">
        <v>950</v>
      </c>
      <c r="K950" s="2" t="str">
        <v>No Match</v>
      </c>
      <c r="M950" s="33">
        <f ca="1"/>
        <v>25.77</v>
      </c>
      <c r="N950" s="2" t="e">
        <f ca="1"/>
        <v>#N/A</v>
      </c>
      <c r="O950" s="2" t="e">
        <f ca="1"/>
        <v>#N/A</v>
      </c>
      <c r="P950" s="2" t="e">
        <f ca="1"/>
        <v>#N/A</v>
      </c>
      <c r="Q950" s="33" t="e">
        <f ca="1"/>
        <v>#N/A</v>
      </c>
      <c r="R950" s="33" t="e">
        <f ca="1"/>
        <v>#N/A</v>
      </c>
    </row>
    <row r="951" spans="1:18" x14ac:dyDescent="0.2">
      <c r="A951" s="2">
        <v>950</v>
      </c>
      <c r="B951" s="65">
        <v>45734</v>
      </c>
      <c r="C951" s="70">
        <v>0.38250000000000001</v>
      </c>
      <c r="D951" s="66" t="s">
        <v>98</v>
      </c>
      <c r="G951" s="66" t="s">
        <v>130</v>
      </c>
      <c r="H951" s="66" t="s">
        <v>100</v>
      </c>
      <c r="I951" s="33" t="str">
        <f ca="1"/>
        <v>25,93</v>
      </c>
      <c r="J951" s="2">
        <v>951</v>
      </c>
      <c r="K951" s="2" t="str">
        <v>No Match</v>
      </c>
      <c r="M951" s="33">
        <f ca="1"/>
        <v>25.93</v>
      </c>
      <c r="N951" s="2">
        <f ca="1"/>
        <v>25</v>
      </c>
      <c r="O951" s="2">
        <f ca="1"/>
        <v>24.625</v>
      </c>
      <c r="P951" s="2">
        <f ca="1"/>
        <v>25.375</v>
      </c>
      <c r="Q951" s="33">
        <f ca="1"/>
        <v>25.35995789473683</v>
      </c>
      <c r="R951" s="33">
        <f ca="1"/>
        <v>25.667999999999999</v>
      </c>
    </row>
    <row r="952" spans="1:18" x14ac:dyDescent="0.2">
      <c r="A952" s="2">
        <v>951</v>
      </c>
      <c r="B952" s="65">
        <v>45734</v>
      </c>
      <c r="C952" s="70">
        <v>0.38328703703703704</v>
      </c>
      <c r="D952" s="66" t="s">
        <v>98</v>
      </c>
      <c r="G952" s="66" t="s">
        <v>170</v>
      </c>
      <c r="H952" s="66" t="s">
        <v>100</v>
      </c>
      <c r="I952" s="33" t="str">
        <f ca="1"/>
        <v>25,52</v>
      </c>
      <c r="J952" s="2">
        <v>952</v>
      </c>
      <c r="K952" s="2" t="str">
        <v>No Match</v>
      </c>
      <c r="M952" s="33">
        <f ca="1"/>
        <v>25.52</v>
      </c>
      <c r="N952" s="2" t="e">
        <f ca="1"/>
        <v>#N/A</v>
      </c>
      <c r="O952" s="2" t="e">
        <f ca="1"/>
        <v>#N/A</v>
      </c>
      <c r="P952" s="2" t="e">
        <f ca="1"/>
        <v>#N/A</v>
      </c>
      <c r="Q952" s="33" t="e">
        <f ca="1"/>
        <v>#N/A</v>
      </c>
      <c r="R952" s="33" t="e">
        <f ca="1"/>
        <v>#N/A</v>
      </c>
    </row>
    <row r="953" spans="1:18" x14ac:dyDescent="0.2">
      <c r="A953" s="2">
        <v>952</v>
      </c>
      <c r="B953" s="65">
        <v>45734</v>
      </c>
      <c r="C953" s="70">
        <v>0.38597222222222222</v>
      </c>
      <c r="D953" s="66" t="s">
        <v>98</v>
      </c>
      <c r="G953" s="66" t="s">
        <v>159</v>
      </c>
      <c r="H953" s="66" t="s">
        <v>100</v>
      </c>
      <c r="I953" s="33" t="str">
        <f ca="1"/>
        <v>25,26</v>
      </c>
      <c r="J953" s="2">
        <v>953</v>
      </c>
      <c r="K953" s="2" t="str">
        <v>No Match</v>
      </c>
      <c r="M953" s="33">
        <f ca="1"/>
        <v>25.26</v>
      </c>
      <c r="N953" s="2" t="e">
        <f ca="1"/>
        <v>#N/A</v>
      </c>
      <c r="O953" s="2" t="e">
        <f ca="1"/>
        <v>#N/A</v>
      </c>
      <c r="P953" s="2" t="e">
        <f ca="1"/>
        <v>#N/A</v>
      </c>
      <c r="Q953" s="33" t="e">
        <f ca="1"/>
        <v>#N/A</v>
      </c>
      <c r="R953" s="33" t="e">
        <f ca="1"/>
        <v>#N/A</v>
      </c>
    </row>
    <row r="954" spans="1:18" x14ac:dyDescent="0.2">
      <c r="A954" s="2">
        <v>953</v>
      </c>
      <c r="B954" s="65">
        <v>45734</v>
      </c>
      <c r="C954" s="70">
        <v>0.38826388888888891</v>
      </c>
      <c r="D954" s="66" t="s">
        <v>98</v>
      </c>
      <c r="G954" s="66" t="s">
        <v>161</v>
      </c>
      <c r="H954" s="66" t="s">
        <v>100</v>
      </c>
      <c r="I954" s="33" t="str">
        <f ca="1"/>
        <v>25,38</v>
      </c>
      <c r="J954" s="2">
        <v>954</v>
      </c>
      <c r="K954" s="2" t="str">
        <v>No Match</v>
      </c>
      <c r="M954" s="33">
        <f ca="1"/>
        <v>25.38</v>
      </c>
      <c r="N954" s="2" t="e">
        <f ca="1"/>
        <v>#N/A</v>
      </c>
      <c r="O954" s="2" t="e">
        <f ca="1"/>
        <v>#N/A</v>
      </c>
      <c r="P954" s="2" t="e">
        <f ca="1"/>
        <v>#N/A</v>
      </c>
      <c r="Q954" s="33" t="e">
        <f ca="1"/>
        <v>#N/A</v>
      </c>
      <c r="R954" s="33" t="e">
        <f ca="1"/>
        <v>#N/A</v>
      </c>
    </row>
    <row r="955" spans="1:18" x14ac:dyDescent="0.2">
      <c r="A955" s="2">
        <v>954</v>
      </c>
      <c r="B955" s="65">
        <v>45734</v>
      </c>
      <c r="C955" s="70">
        <v>0.39052083333333332</v>
      </c>
      <c r="D955" s="66" t="s">
        <v>98</v>
      </c>
      <c r="G955" s="66" t="s">
        <v>179</v>
      </c>
      <c r="H955" s="66" t="s">
        <v>100</v>
      </c>
      <c r="I955" s="33" t="str">
        <f ca="1"/>
        <v>25,55</v>
      </c>
      <c r="J955" s="2">
        <v>955</v>
      </c>
      <c r="K955" s="2" t="str">
        <v>No Match</v>
      </c>
      <c r="M955" s="33">
        <f ca="1"/>
        <v>25.55</v>
      </c>
      <c r="N955" s="2" t="e">
        <f ca="1"/>
        <v>#N/A</v>
      </c>
      <c r="O955" s="2" t="e">
        <f ca="1"/>
        <v>#N/A</v>
      </c>
      <c r="P955" s="2" t="e">
        <f ca="1"/>
        <v>#N/A</v>
      </c>
      <c r="Q955" s="33" t="e">
        <f ca="1"/>
        <v>#N/A</v>
      </c>
      <c r="R955" s="33" t="e">
        <f ca="1"/>
        <v>#N/A</v>
      </c>
    </row>
    <row r="956" spans="1:18" x14ac:dyDescent="0.2">
      <c r="A956" s="2">
        <v>955</v>
      </c>
      <c r="B956" s="65">
        <v>45734</v>
      </c>
      <c r="C956" s="70">
        <v>0.39121527777777776</v>
      </c>
      <c r="D956" s="66" t="s">
        <v>98</v>
      </c>
      <c r="G956" s="66" t="s">
        <v>119</v>
      </c>
      <c r="H956" s="66" t="s">
        <v>100</v>
      </c>
      <c r="I956" s="33" t="str">
        <f ca="1"/>
        <v>25,56</v>
      </c>
      <c r="J956" s="2">
        <v>956</v>
      </c>
      <c r="K956" s="2" t="str">
        <v>No Match</v>
      </c>
      <c r="M956" s="33">
        <f ca="1"/>
        <v>25.56</v>
      </c>
      <c r="N956" s="2" t="e">
        <f ca="1"/>
        <v>#N/A</v>
      </c>
      <c r="O956" s="2" t="e">
        <f ca="1"/>
        <v>#N/A</v>
      </c>
      <c r="P956" s="2" t="e">
        <f ca="1"/>
        <v>#N/A</v>
      </c>
      <c r="Q956" s="33" t="e">
        <f ca="1"/>
        <v>#N/A</v>
      </c>
      <c r="R956" s="33" t="e">
        <f ca="1"/>
        <v>#N/A</v>
      </c>
    </row>
    <row r="957" spans="1:18" x14ac:dyDescent="0.2">
      <c r="A957" s="2">
        <v>956</v>
      </c>
      <c r="B957" s="65">
        <v>45734</v>
      </c>
      <c r="C957" s="70">
        <v>0.3918402777777778</v>
      </c>
      <c r="D957" s="66" t="s">
        <v>98</v>
      </c>
      <c r="G957" s="66" t="s">
        <v>195</v>
      </c>
      <c r="H957" s="66" t="s">
        <v>100</v>
      </c>
      <c r="I957" s="33" t="str">
        <f ca="1"/>
        <v>25,60</v>
      </c>
      <c r="J957" s="2">
        <v>957</v>
      </c>
      <c r="K957" s="2" t="str">
        <v>No Match</v>
      </c>
      <c r="M957" s="33">
        <f ca="1"/>
        <v>25.6</v>
      </c>
      <c r="N957" s="2" t="e">
        <f ca="1"/>
        <v>#N/A</v>
      </c>
      <c r="O957" s="2" t="e">
        <f ca="1"/>
        <v>#N/A</v>
      </c>
      <c r="P957" s="2" t="e">
        <f ca="1"/>
        <v>#N/A</v>
      </c>
      <c r="Q957" s="33" t="e">
        <f ca="1"/>
        <v>#N/A</v>
      </c>
      <c r="R957" s="33" t="e">
        <f ca="1"/>
        <v>#N/A</v>
      </c>
    </row>
    <row r="958" spans="1:18" x14ac:dyDescent="0.2">
      <c r="A958" s="2">
        <v>957</v>
      </c>
      <c r="B958" s="65">
        <v>45734</v>
      </c>
      <c r="C958" s="70">
        <v>0.39281250000000001</v>
      </c>
      <c r="D958" s="66" t="s">
        <v>98</v>
      </c>
      <c r="G958" s="66" t="s">
        <v>101</v>
      </c>
      <c r="H958" s="66" t="s">
        <v>100</v>
      </c>
      <c r="I958" s="33" t="str">
        <f ca="1"/>
        <v>25,64</v>
      </c>
      <c r="J958" s="2">
        <v>958</v>
      </c>
      <c r="K958" s="2" t="str">
        <v>No Match</v>
      </c>
      <c r="M958" s="33">
        <f ca="1"/>
        <v>25.64</v>
      </c>
      <c r="N958" s="2" t="e">
        <f ca="1"/>
        <v>#N/A</v>
      </c>
      <c r="O958" s="2" t="e">
        <f ca="1"/>
        <v>#N/A</v>
      </c>
      <c r="P958" s="2" t="e">
        <f ca="1"/>
        <v>#N/A</v>
      </c>
      <c r="Q958" s="33" t="e">
        <f ca="1"/>
        <v>#N/A</v>
      </c>
      <c r="R958" s="33" t="e">
        <f ca="1"/>
        <v>#N/A</v>
      </c>
    </row>
    <row r="959" spans="1:18" x14ac:dyDescent="0.2">
      <c r="A959" s="2">
        <v>958</v>
      </c>
      <c r="B959" s="65">
        <v>45734</v>
      </c>
      <c r="C959" s="70">
        <v>0.39395833333333335</v>
      </c>
      <c r="D959" s="66" t="s">
        <v>98</v>
      </c>
      <c r="G959" s="66" t="s">
        <v>114</v>
      </c>
      <c r="H959" s="66" t="s">
        <v>100</v>
      </c>
      <c r="I959" s="33" t="str">
        <f ca="1"/>
        <v>25,70</v>
      </c>
      <c r="J959" s="2">
        <v>959</v>
      </c>
      <c r="K959" s="2" t="str">
        <v>No Match</v>
      </c>
      <c r="M959" s="33">
        <f ca="1"/>
        <v>25.7</v>
      </c>
      <c r="N959" s="2" t="e">
        <f ca="1"/>
        <v>#N/A</v>
      </c>
      <c r="O959" s="2" t="e">
        <f ca="1"/>
        <v>#N/A</v>
      </c>
      <c r="P959" s="2" t="e">
        <f ca="1"/>
        <v>#N/A</v>
      </c>
      <c r="Q959" s="33" t="e">
        <f ca="1"/>
        <v>#N/A</v>
      </c>
      <c r="R959" s="33" t="e">
        <f ca="1"/>
        <v>#N/A</v>
      </c>
    </row>
    <row r="960" spans="1:18" x14ac:dyDescent="0.2">
      <c r="A960" s="2">
        <v>959</v>
      </c>
      <c r="B960" s="65">
        <v>45734</v>
      </c>
      <c r="C960" s="70">
        <v>0.39476851851851852</v>
      </c>
      <c r="D960" s="66" t="s">
        <v>98</v>
      </c>
      <c r="G960" s="66" t="s">
        <v>167</v>
      </c>
      <c r="H960" s="66" t="s">
        <v>100</v>
      </c>
      <c r="I960" s="33" t="str">
        <f ca="1"/>
        <v>25,62</v>
      </c>
      <c r="J960" s="2">
        <v>960</v>
      </c>
      <c r="K960" s="2" t="str">
        <v>No Match</v>
      </c>
      <c r="M960" s="33">
        <f ca="1"/>
        <v>25.62</v>
      </c>
      <c r="N960" s="2" t="e">
        <f ca="1"/>
        <v>#N/A</v>
      </c>
      <c r="O960" s="2" t="e">
        <f ca="1"/>
        <v>#N/A</v>
      </c>
      <c r="P960" s="2" t="e">
        <f ca="1"/>
        <v>#N/A</v>
      </c>
      <c r="Q960" s="33" t="e">
        <f ca="1"/>
        <v>#N/A</v>
      </c>
      <c r="R960" s="33" t="e">
        <f ca="1"/>
        <v>#N/A</v>
      </c>
    </row>
    <row r="961" spans="1:18" x14ac:dyDescent="0.2">
      <c r="A961" s="2">
        <v>960</v>
      </c>
      <c r="B961" s="65">
        <v>45734</v>
      </c>
      <c r="C961" s="70">
        <v>0.39575231481481482</v>
      </c>
      <c r="D961" s="66" t="s">
        <v>98</v>
      </c>
      <c r="G961" s="66" t="s">
        <v>211</v>
      </c>
      <c r="H961" s="66" t="s">
        <v>100</v>
      </c>
      <c r="I961" s="33" t="str">
        <f ca="1"/>
        <v>25,77</v>
      </c>
      <c r="J961" s="2">
        <v>961</v>
      </c>
      <c r="K961" s="2" t="str">
        <v>No Match</v>
      </c>
      <c r="M961" s="33">
        <f ca="1"/>
        <v>25.77</v>
      </c>
      <c r="N961" s="2">
        <f ca="1"/>
        <v>25</v>
      </c>
      <c r="O961" s="2">
        <f ca="1"/>
        <v>24.625</v>
      </c>
      <c r="P961" s="2">
        <f ca="1"/>
        <v>25.375</v>
      </c>
      <c r="Q961" s="33">
        <f ca="1"/>
        <v>25.362041666666652</v>
      </c>
      <c r="R961" s="33">
        <f ca="1"/>
        <v>25.56</v>
      </c>
    </row>
    <row r="962" spans="1:18" x14ac:dyDescent="0.2">
      <c r="A962" s="2">
        <v>961</v>
      </c>
      <c r="B962" s="65">
        <v>45734</v>
      </c>
      <c r="C962" s="70">
        <v>0.40694444444444444</v>
      </c>
      <c r="D962" s="66" t="s">
        <v>98</v>
      </c>
      <c r="G962" s="66" t="s">
        <v>157</v>
      </c>
      <c r="H962" s="66" t="s">
        <v>100</v>
      </c>
      <c r="I962" s="33" t="str">
        <f ca="1"/>
        <v>25,72</v>
      </c>
      <c r="J962" s="2">
        <v>962</v>
      </c>
      <c r="K962" s="2" t="str">
        <v>No Match</v>
      </c>
      <c r="M962" s="33">
        <f ca="1"/>
        <v>25.72</v>
      </c>
      <c r="N962" s="2" t="e">
        <f ca="1"/>
        <v>#N/A</v>
      </c>
      <c r="O962" s="2" t="e">
        <f ca="1"/>
        <v>#N/A</v>
      </c>
      <c r="P962" s="2" t="e">
        <f ca="1"/>
        <v>#N/A</v>
      </c>
      <c r="Q962" s="33" t="e">
        <f ca="1"/>
        <v>#N/A</v>
      </c>
      <c r="R962" s="33" t="e">
        <f ca="1"/>
        <v>#N/A</v>
      </c>
    </row>
    <row r="963" spans="1:18" x14ac:dyDescent="0.2">
      <c r="A963" s="2">
        <v>962</v>
      </c>
      <c r="B963" s="65">
        <v>45734</v>
      </c>
      <c r="C963" s="70">
        <v>0.40711805555555558</v>
      </c>
      <c r="D963" s="66" t="s">
        <v>98</v>
      </c>
      <c r="G963" s="66" t="s">
        <v>111</v>
      </c>
      <c r="H963" s="66" t="s">
        <v>100</v>
      </c>
      <c r="I963" s="33" t="str">
        <f ca="1"/>
        <v>25,44</v>
      </c>
      <c r="J963" s="2">
        <v>963</v>
      </c>
      <c r="K963" s="2" t="str">
        <v>No Match</v>
      </c>
      <c r="M963" s="33">
        <f ca="1"/>
        <v>25.44</v>
      </c>
      <c r="N963" s="2" t="e">
        <f ca="1"/>
        <v>#N/A</v>
      </c>
      <c r="O963" s="2" t="e">
        <f ca="1"/>
        <v>#N/A</v>
      </c>
      <c r="P963" s="2" t="e">
        <f ca="1"/>
        <v>#N/A</v>
      </c>
      <c r="Q963" s="33" t="e">
        <f ca="1"/>
        <v>#N/A</v>
      </c>
      <c r="R963" s="33" t="e">
        <f ca="1"/>
        <v>#N/A</v>
      </c>
    </row>
    <row r="964" spans="1:18" x14ac:dyDescent="0.2">
      <c r="A964" s="2">
        <v>963</v>
      </c>
      <c r="B964" s="65">
        <v>45734</v>
      </c>
      <c r="C964" s="70">
        <v>0.40814814814814815</v>
      </c>
      <c r="D964" s="66" t="s">
        <v>98</v>
      </c>
      <c r="G964" s="66" t="s">
        <v>128</v>
      </c>
      <c r="H964" s="66" t="s">
        <v>100</v>
      </c>
      <c r="I964" s="33" t="str">
        <f ca="1"/>
        <v>25,23</v>
      </c>
      <c r="J964" s="2">
        <v>964</v>
      </c>
      <c r="K964" s="2" t="str">
        <v>No Match</v>
      </c>
      <c r="M964" s="33">
        <f ca="1"/>
        <v>25.23</v>
      </c>
      <c r="N964" s="2" t="e">
        <f ca="1"/>
        <v>#N/A</v>
      </c>
      <c r="O964" s="2" t="e">
        <f ca="1"/>
        <v>#N/A</v>
      </c>
      <c r="P964" s="2" t="e">
        <f ca="1"/>
        <v>#N/A</v>
      </c>
      <c r="Q964" s="33" t="e">
        <f ca="1"/>
        <v>#N/A</v>
      </c>
      <c r="R964" s="33" t="e">
        <f ca="1"/>
        <v>#N/A</v>
      </c>
    </row>
    <row r="965" spans="1:18" x14ac:dyDescent="0.2">
      <c r="A965" s="2">
        <v>964</v>
      </c>
      <c r="B965" s="65">
        <v>45734</v>
      </c>
      <c r="C965" s="70">
        <v>0.40924768518518517</v>
      </c>
      <c r="D965" s="66" t="s">
        <v>98</v>
      </c>
      <c r="G965" s="66" t="s">
        <v>131</v>
      </c>
      <c r="H965" s="66" t="s">
        <v>100</v>
      </c>
      <c r="I965" s="33" t="str">
        <f ca="1"/>
        <v>25,24</v>
      </c>
      <c r="J965" s="2">
        <v>965</v>
      </c>
      <c r="K965" s="2" t="str">
        <v>No Match</v>
      </c>
      <c r="M965" s="33">
        <f ca="1"/>
        <v>25.24</v>
      </c>
      <c r="N965" s="2" t="e">
        <f ca="1"/>
        <v>#N/A</v>
      </c>
      <c r="O965" s="2" t="e">
        <f ca="1"/>
        <v>#N/A</v>
      </c>
      <c r="P965" s="2" t="e">
        <f ca="1"/>
        <v>#N/A</v>
      </c>
      <c r="Q965" s="33" t="e">
        <f ca="1"/>
        <v>#N/A</v>
      </c>
      <c r="R965" s="33" t="e">
        <f ca="1"/>
        <v>#N/A</v>
      </c>
    </row>
    <row r="966" spans="1:18" x14ac:dyDescent="0.2">
      <c r="A966" s="2">
        <v>965</v>
      </c>
      <c r="B966" s="65">
        <v>45734</v>
      </c>
      <c r="C966" s="70">
        <v>0.40990740740740739</v>
      </c>
      <c r="D966" s="66" t="s">
        <v>98</v>
      </c>
      <c r="G966" s="66" t="s">
        <v>202</v>
      </c>
      <c r="H966" s="66" t="s">
        <v>100</v>
      </c>
      <c r="I966" s="33" t="str">
        <f ca="1"/>
        <v>25,31</v>
      </c>
      <c r="J966" s="2">
        <v>966</v>
      </c>
      <c r="K966" s="2" t="str">
        <v>No Match</v>
      </c>
      <c r="M966" s="33">
        <f ca="1"/>
        <v>25.31</v>
      </c>
      <c r="N966" s="2" t="e">
        <f ca="1"/>
        <v>#N/A</v>
      </c>
      <c r="O966" s="2" t="e">
        <f ca="1"/>
        <v>#N/A</v>
      </c>
      <c r="P966" s="2" t="e">
        <f ca="1"/>
        <v>#N/A</v>
      </c>
      <c r="Q966" s="33" t="e">
        <f ca="1"/>
        <v>#N/A</v>
      </c>
      <c r="R966" s="33" t="e">
        <f ca="1"/>
        <v>#N/A</v>
      </c>
    </row>
    <row r="967" spans="1:18" x14ac:dyDescent="0.2">
      <c r="A967" s="2">
        <v>966</v>
      </c>
      <c r="B967" s="65">
        <v>45734</v>
      </c>
      <c r="C967" s="70">
        <v>0.41045138888888888</v>
      </c>
      <c r="D967" s="66" t="s">
        <v>98</v>
      </c>
      <c r="G967" s="66" t="s">
        <v>210</v>
      </c>
      <c r="H967" s="66" t="s">
        <v>100</v>
      </c>
      <c r="I967" s="33" t="str">
        <f ca="1"/>
        <v>24,93</v>
      </c>
      <c r="J967" s="2">
        <v>967</v>
      </c>
      <c r="K967" s="2" t="str">
        <v>No Match</v>
      </c>
      <c r="M967" s="33">
        <f ca="1"/>
        <v>24.93</v>
      </c>
      <c r="N967" s="2" t="e">
        <f ca="1"/>
        <v>#N/A</v>
      </c>
      <c r="O967" s="2" t="e">
        <f ca="1"/>
        <v>#N/A</v>
      </c>
      <c r="P967" s="2" t="e">
        <f ca="1"/>
        <v>#N/A</v>
      </c>
      <c r="Q967" s="33" t="e">
        <f ca="1"/>
        <v>#N/A</v>
      </c>
      <c r="R967" s="33" t="e">
        <f ca="1"/>
        <v>#N/A</v>
      </c>
    </row>
    <row r="968" spans="1:18" x14ac:dyDescent="0.2">
      <c r="A968" s="2">
        <v>967</v>
      </c>
      <c r="B968" s="65">
        <v>45734</v>
      </c>
      <c r="C968" s="70">
        <v>0.4107986111111111</v>
      </c>
      <c r="D968" s="66" t="s">
        <v>98</v>
      </c>
      <c r="G968" s="66" t="s">
        <v>145</v>
      </c>
      <c r="H968" s="66" t="s">
        <v>100</v>
      </c>
      <c r="I968" s="33" t="str">
        <f ca="1"/>
        <v>25,30</v>
      </c>
      <c r="J968" s="2">
        <v>968</v>
      </c>
      <c r="K968" s="2" t="str">
        <v>No Match</v>
      </c>
      <c r="M968" s="33">
        <f ca="1"/>
        <v>25.3</v>
      </c>
      <c r="N968" s="2" t="e">
        <f ca="1"/>
        <v>#N/A</v>
      </c>
      <c r="O968" s="2" t="e">
        <f ca="1"/>
        <v>#N/A</v>
      </c>
      <c r="P968" s="2" t="e">
        <f ca="1"/>
        <v>#N/A</v>
      </c>
      <c r="Q968" s="33" t="e">
        <f ca="1"/>
        <v>#N/A</v>
      </c>
      <c r="R968" s="33" t="e">
        <f ca="1"/>
        <v>#N/A</v>
      </c>
    </row>
    <row r="969" spans="1:18" x14ac:dyDescent="0.2">
      <c r="A969" s="2">
        <v>968</v>
      </c>
      <c r="B969" s="65">
        <v>45734</v>
      </c>
      <c r="C969" s="70">
        <v>0.41135416666666669</v>
      </c>
      <c r="D969" s="66" t="s">
        <v>98</v>
      </c>
      <c r="G969" s="66" t="s">
        <v>164</v>
      </c>
      <c r="H969" s="66" t="s">
        <v>100</v>
      </c>
      <c r="I969" s="33" t="str">
        <f ca="1"/>
        <v>25,46</v>
      </c>
      <c r="J969" s="2">
        <v>969</v>
      </c>
      <c r="K969" s="2" t="str">
        <v>No Match</v>
      </c>
      <c r="M969" s="33">
        <f ca="1"/>
        <v>25.46</v>
      </c>
      <c r="N969" s="2" t="e">
        <f ca="1"/>
        <v>#N/A</v>
      </c>
      <c r="O969" s="2" t="e">
        <f ca="1"/>
        <v>#N/A</v>
      </c>
      <c r="P969" s="2" t="e">
        <f ca="1"/>
        <v>#N/A</v>
      </c>
      <c r="Q969" s="33" t="e">
        <f ca="1"/>
        <v>#N/A</v>
      </c>
      <c r="R969" s="33" t="e">
        <f ca="1"/>
        <v>#N/A</v>
      </c>
    </row>
    <row r="970" spans="1:18" x14ac:dyDescent="0.2">
      <c r="A970" s="2">
        <v>969</v>
      </c>
      <c r="B970" s="65">
        <v>45734</v>
      </c>
      <c r="C970" s="70">
        <v>0.41208333333333336</v>
      </c>
      <c r="D970" s="66" t="s">
        <v>98</v>
      </c>
      <c r="G970" s="66" t="s">
        <v>133</v>
      </c>
      <c r="H970" s="66" t="s">
        <v>100</v>
      </c>
      <c r="I970" s="33" t="str">
        <f ca="1"/>
        <v>25,41</v>
      </c>
      <c r="J970" s="2">
        <v>970</v>
      </c>
      <c r="K970" s="2" t="str">
        <v>No Match</v>
      </c>
      <c r="M970" s="33">
        <f ca="1"/>
        <v>25.41</v>
      </c>
      <c r="N970" s="2" t="e">
        <f ca="1"/>
        <v>#N/A</v>
      </c>
      <c r="O970" s="2" t="e">
        <f ca="1"/>
        <v>#N/A</v>
      </c>
      <c r="P970" s="2" t="e">
        <f ca="1"/>
        <v>#N/A</v>
      </c>
      <c r="Q970" s="33" t="e">
        <f ca="1"/>
        <v>#N/A</v>
      </c>
      <c r="R970" s="33" t="e">
        <f ca="1"/>
        <v>#N/A</v>
      </c>
    </row>
    <row r="971" spans="1:18" x14ac:dyDescent="0.2">
      <c r="A971" s="2">
        <v>970</v>
      </c>
      <c r="B971" s="65">
        <v>45734</v>
      </c>
      <c r="C971" s="70">
        <v>0.41253472222222221</v>
      </c>
      <c r="D971" s="66" t="s">
        <v>98</v>
      </c>
      <c r="G971" s="66" t="s">
        <v>99</v>
      </c>
      <c r="H971" s="66" t="s">
        <v>100</v>
      </c>
      <c r="I971" s="33" t="str">
        <f ca="1"/>
        <v>25,16</v>
      </c>
      <c r="J971" s="2">
        <v>971</v>
      </c>
      <c r="K971" s="2" t="str">
        <v>No Match</v>
      </c>
      <c r="M971" s="33">
        <f ca="1"/>
        <v>25.16</v>
      </c>
      <c r="N971" s="2">
        <f ca="1"/>
        <v>25</v>
      </c>
      <c r="O971" s="2">
        <f ca="1"/>
        <v>24.625</v>
      </c>
      <c r="P971" s="2">
        <f ca="1"/>
        <v>25.375</v>
      </c>
      <c r="Q971" s="33">
        <f ca="1"/>
        <v>25.361608247422666</v>
      </c>
      <c r="R971" s="33">
        <f ca="1"/>
        <v>25.32</v>
      </c>
    </row>
    <row r="972" spans="1:18" x14ac:dyDescent="0.2">
      <c r="A972" s="2">
        <v>971</v>
      </c>
      <c r="B972" s="65">
        <v>45734</v>
      </c>
      <c r="C972" s="70">
        <v>0.41449074074074072</v>
      </c>
      <c r="D972" s="66" t="s">
        <v>98</v>
      </c>
      <c r="G972" s="66" t="s">
        <v>129</v>
      </c>
      <c r="H972" s="66" t="s">
        <v>100</v>
      </c>
      <c r="I972" s="33" t="str">
        <f ca="1"/>
        <v>25,08</v>
      </c>
      <c r="J972" s="2">
        <v>972</v>
      </c>
      <c r="K972" s="2" t="str">
        <v>No Match</v>
      </c>
      <c r="M972" s="33">
        <f ca="1"/>
        <v>25.08</v>
      </c>
      <c r="N972" s="2" t="e">
        <f ca="1"/>
        <v>#N/A</v>
      </c>
      <c r="O972" s="2" t="e">
        <f ca="1"/>
        <v>#N/A</v>
      </c>
      <c r="P972" s="2" t="e">
        <f ca="1"/>
        <v>#N/A</v>
      </c>
      <c r="Q972" s="33" t="e">
        <f ca="1"/>
        <v>#N/A</v>
      </c>
      <c r="R972" s="33" t="e">
        <f ca="1"/>
        <v>#N/A</v>
      </c>
    </row>
    <row r="973" spans="1:18" x14ac:dyDescent="0.2">
      <c r="A973" s="2">
        <v>972</v>
      </c>
      <c r="B973" s="65">
        <v>45734</v>
      </c>
      <c r="C973" s="70">
        <v>0.4151273148148148</v>
      </c>
      <c r="D973" s="66" t="s">
        <v>98</v>
      </c>
      <c r="G973" s="66" t="s">
        <v>113</v>
      </c>
      <c r="H973" s="66" t="s">
        <v>100</v>
      </c>
      <c r="I973" s="33" t="str">
        <f ca="1"/>
        <v>24,98</v>
      </c>
      <c r="J973" s="2">
        <v>973</v>
      </c>
      <c r="K973" s="2" t="str">
        <v>No Match</v>
      </c>
      <c r="M973" s="33">
        <f ca="1"/>
        <v>24.98</v>
      </c>
      <c r="N973" s="2" t="e">
        <f ca="1"/>
        <v>#N/A</v>
      </c>
      <c r="O973" s="2" t="e">
        <f ca="1"/>
        <v>#N/A</v>
      </c>
      <c r="P973" s="2" t="e">
        <f ca="1"/>
        <v>#N/A</v>
      </c>
      <c r="Q973" s="33" t="e">
        <f ca="1"/>
        <v>#N/A</v>
      </c>
      <c r="R973" s="33" t="e">
        <f ca="1"/>
        <v>#N/A</v>
      </c>
    </row>
    <row r="974" spans="1:18" x14ac:dyDescent="0.2">
      <c r="A974" s="2">
        <v>973</v>
      </c>
      <c r="B974" s="65">
        <v>45734</v>
      </c>
      <c r="C974" s="70">
        <v>0.41699074074074072</v>
      </c>
      <c r="D974" s="66" t="s">
        <v>98</v>
      </c>
      <c r="G974" s="66" t="s">
        <v>202</v>
      </c>
      <c r="H974" s="66" t="s">
        <v>100</v>
      </c>
      <c r="I974" s="33" t="str">
        <f ca="1"/>
        <v>25,31</v>
      </c>
      <c r="J974" s="2">
        <v>974</v>
      </c>
      <c r="K974" s="2" t="str">
        <v>No Match</v>
      </c>
      <c r="M974" s="33">
        <f ca="1"/>
        <v>25.31</v>
      </c>
      <c r="N974" s="2" t="e">
        <f ca="1"/>
        <v>#N/A</v>
      </c>
      <c r="O974" s="2" t="e">
        <f ca="1"/>
        <v>#N/A</v>
      </c>
      <c r="P974" s="2" t="e">
        <f ca="1"/>
        <v>#N/A</v>
      </c>
      <c r="Q974" s="33" t="e">
        <f ca="1"/>
        <v>#N/A</v>
      </c>
      <c r="R974" s="33" t="e">
        <f ca="1"/>
        <v>#N/A</v>
      </c>
    </row>
    <row r="975" spans="1:18" x14ac:dyDescent="0.2">
      <c r="A975" s="2">
        <v>974</v>
      </c>
      <c r="B975" s="65">
        <v>45734</v>
      </c>
      <c r="C975" s="70">
        <v>0.41835648148148147</v>
      </c>
      <c r="D975" s="66" t="s">
        <v>98</v>
      </c>
      <c r="G975" s="66" t="s">
        <v>140</v>
      </c>
      <c r="H975" s="66" t="s">
        <v>100</v>
      </c>
      <c r="I975" s="33" t="str">
        <f ca="1"/>
        <v>25,10</v>
      </c>
      <c r="J975" s="2">
        <v>975</v>
      </c>
      <c r="K975" s="2" t="str">
        <v>No Match</v>
      </c>
      <c r="M975" s="33">
        <f ca="1"/>
        <v>25.1</v>
      </c>
      <c r="N975" s="2" t="e">
        <f ca="1"/>
        <v>#N/A</v>
      </c>
      <c r="O975" s="2" t="e">
        <f ca="1"/>
        <v>#N/A</v>
      </c>
      <c r="P975" s="2" t="e">
        <f ca="1"/>
        <v>#N/A</v>
      </c>
      <c r="Q975" s="33" t="e">
        <f ca="1"/>
        <v>#N/A</v>
      </c>
      <c r="R975" s="33" t="e">
        <f ca="1"/>
        <v>#N/A</v>
      </c>
    </row>
    <row r="976" spans="1:18" x14ac:dyDescent="0.2">
      <c r="A976" s="2">
        <v>975</v>
      </c>
      <c r="B976" s="65">
        <v>45734</v>
      </c>
      <c r="C976" s="70">
        <v>0.41949074074074072</v>
      </c>
      <c r="D976" s="66" t="s">
        <v>98</v>
      </c>
      <c r="G976" s="66" t="s">
        <v>160</v>
      </c>
      <c r="H976" s="66" t="s">
        <v>100</v>
      </c>
      <c r="I976" s="33" t="str">
        <f ca="1"/>
        <v>25,14</v>
      </c>
      <c r="J976" s="2">
        <v>976</v>
      </c>
      <c r="K976" s="2" t="str">
        <v>No Match</v>
      </c>
      <c r="M976" s="33">
        <f ca="1"/>
        <v>25.14</v>
      </c>
      <c r="N976" s="2" t="e">
        <f ca="1"/>
        <v>#N/A</v>
      </c>
      <c r="O976" s="2" t="e">
        <f ca="1"/>
        <v>#N/A</v>
      </c>
      <c r="P976" s="2" t="e">
        <f ca="1"/>
        <v>#N/A</v>
      </c>
      <c r="Q976" s="33" t="e">
        <f ca="1"/>
        <v>#N/A</v>
      </c>
      <c r="R976" s="33" t="e">
        <f ca="1"/>
        <v>#N/A</v>
      </c>
    </row>
    <row r="977" spans="1:18" x14ac:dyDescent="0.2">
      <c r="A977" s="2">
        <v>976</v>
      </c>
      <c r="B977" s="65">
        <v>45734</v>
      </c>
      <c r="C977" s="70">
        <v>0.4205902777777778</v>
      </c>
      <c r="D977" s="66" t="s">
        <v>98</v>
      </c>
      <c r="G977" s="66" t="s">
        <v>182</v>
      </c>
      <c r="H977" s="66" t="s">
        <v>100</v>
      </c>
      <c r="I977" s="33" t="str">
        <f ca="1"/>
        <v>25,29</v>
      </c>
      <c r="J977" s="2">
        <v>977</v>
      </c>
      <c r="K977" s="2" t="str">
        <v>No Match</v>
      </c>
      <c r="M977" s="33">
        <f ca="1"/>
        <v>25.29</v>
      </c>
      <c r="N977" s="2" t="e">
        <f ca="1"/>
        <v>#N/A</v>
      </c>
      <c r="O977" s="2" t="e">
        <f ca="1"/>
        <v>#N/A</v>
      </c>
      <c r="P977" s="2" t="e">
        <f ca="1"/>
        <v>#N/A</v>
      </c>
      <c r="Q977" s="33" t="e">
        <f ca="1"/>
        <v>#N/A</v>
      </c>
      <c r="R977" s="33" t="e">
        <f ca="1"/>
        <v>#N/A</v>
      </c>
    </row>
    <row r="978" spans="1:18" x14ac:dyDescent="0.2">
      <c r="A978" s="2">
        <v>977</v>
      </c>
      <c r="B978" s="65">
        <v>45734</v>
      </c>
      <c r="C978" s="70">
        <v>0.42126157407407405</v>
      </c>
      <c r="D978" s="66" t="s">
        <v>98</v>
      </c>
      <c r="G978" s="66" t="s">
        <v>136</v>
      </c>
      <c r="H978" s="66" t="s">
        <v>100</v>
      </c>
      <c r="I978" s="33" t="str">
        <f ca="1"/>
        <v>25,22</v>
      </c>
      <c r="J978" s="2">
        <v>978</v>
      </c>
      <c r="K978" s="2" t="str">
        <v>No Match</v>
      </c>
      <c r="M978" s="33">
        <f ca="1"/>
        <v>25.22</v>
      </c>
      <c r="N978" s="2" t="e">
        <f ca="1"/>
        <v>#N/A</v>
      </c>
      <c r="O978" s="2" t="e">
        <f ca="1"/>
        <v>#N/A</v>
      </c>
      <c r="P978" s="2" t="e">
        <f ca="1"/>
        <v>#N/A</v>
      </c>
      <c r="Q978" s="33" t="e">
        <f ca="1"/>
        <v>#N/A</v>
      </c>
      <c r="R978" s="33" t="e">
        <f ca="1"/>
        <v>#N/A</v>
      </c>
    </row>
    <row r="979" spans="1:18" x14ac:dyDescent="0.2">
      <c r="A979" s="2">
        <v>978</v>
      </c>
      <c r="B979" s="65">
        <v>45734</v>
      </c>
      <c r="C979" s="70">
        <v>0.42140046296296296</v>
      </c>
      <c r="D979" s="66" t="s">
        <v>98</v>
      </c>
      <c r="G979" s="66" t="s">
        <v>146</v>
      </c>
      <c r="H979" s="66" t="s">
        <v>100</v>
      </c>
      <c r="I979" s="33" t="str">
        <f ca="1"/>
        <v>25,37</v>
      </c>
      <c r="J979" s="2">
        <v>979</v>
      </c>
      <c r="K979" s="2" t="str">
        <v>No Match</v>
      </c>
      <c r="M979" s="33">
        <f ca="1"/>
        <v>25.37</v>
      </c>
      <c r="N979" s="2" t="e">
        <f ca="1"/>
        <v>#N/A</v>
      </c>
      <c r="O979" s="2" t="e">
        <f ca="1"/>
        <v>#N/A</v>
      </c>
      <c r="P979" s="2" t="e">
        <f ca="1"/>
        <v>#N/A</v>
      </c>
      <c r="Q979" s="33" t="e">
        <f ca="1"/>
        <v>#N/A</v>
      </c>
      <c r="R979" s="33" t="e">
        <f ca="1"/>
        <v>#N/A</v>
      </c>
    </row>
    <row r="980" spans="1:18" x14ac:dyDescent="0.2">
      <c r="A980" s="2">
        <v>979</v>
      </c>
      <c r="B980" s="65">
        <v>45734</v>
      </c>
      <c r="C980" s="70">
        <v>0.42178240740740741</v>
      </c>
      <c r="D980" s="66" t="s">
        <v>98</v>
      </c>
      <c r="G980" s="66" t="s">
        <v>135</v>
      </c>
      <c r="H980" s="66" t="s">
        <v>100</v>
      </c>
      <c r="I980" s="33" t="str">
        <f ca="1"/>
        <v>25,15</v>
      </c>
      <c r="J980" s="2">
        <v>980</v>
      </c>
      <c r="K980" s="2" t="str">
        <v>No Match</v>
      </c>
      <c r="M980" s="33">
        <f ca="1"/>
        <v>25.15</v>
      </c>
      <c r="N980" s="2" t="e">
        <f ca="1"/>
        <v>#N/A</v>
      </c>
      <c r="O980" s="2" t="e">
        <f ca="1"/>
        <v>#N/A</v>
      </c>
      <c r="P980" s="2" t="e">
        <f ca="1"/>
        <v>#N/A</v>
      </c>
      <c r="Q980" s="33" t="e">
        <f ca="1"/>
        <v>#N/A</v>
      </c>
      <c r="R980" s="33" t="e">
        <f ca="1"/>
        <v>#N/A</v>
      </c>
    </row>
    <row r="981" spans="1:18" x14ac:dyDescent="0.2">
      <c r="A981" s="2">
        <v>980</v>
      </c>
      <c r="B981" s="65">
        <v>45734</v>
      </c>
      <c r="C981" s="70">
        <v>0.4220949074074074</v>
      </c>
      <c r="D981" s="66" t="s">
        <v>98</v>
      </c>
      <c r="G981" s="66" t="s">
        <v>125</v>
      </c>
      <c r="H981" s="66" t="s">
        <v>100</v>
      </c>
      <c r="I981" s="33" t="str">
        <f ca="1"/>
        <v>25,20</v>
      </c>
      <c r="J981" s="2">
        <v>981</v>
      </c>
      <c r="K981" s="2" t="str">
        <v>No Match</v>
      </c>
      <c r="M981" s="33">
        <f ca="1"/>
        <v>25.2</v>
      </c>
      <c r="N981" s="2">
        <f ca="1"/>
        <v>25</v>
      </c>
      <c r="O981" s="2">
        <f ca="1"/>
        <v>24.625</v>
      </c>
      <c r="P981" s="2">
        <f ca="1"/>
        <v>25.375</v>
      </c>
      <c r="Q981" s="33">
        <f ca="1"/>
        <v>25.35979591836734</v>
      </c>
      <c r="R981" s="33">
        <f ca="1"/>
        <v>25.184000000000001</v>
      </c>
    </row>
    <row r="982" spans="1:18" x14ac:dyDescent="0.2">
      <c r="A982" s="2">
        <v>981</v>
      </c>
      <c r="B982" s="65">
        <v>45734</v>
      </c>
      <c r="C982" s="70">
        <v>0.42306712962962961</v>
      </c>
      <c r="D982" s="66" t="s">
        <v>98</v>
      </c>
      <c r="G982" s="66" t="s">
        <v>190</v>
      </c>
      <c r="H982" s="66" t="s">
        <v>100</v>
      </c>
      <c r="I982" s="33" t="str">
        <f ca="1"/>
        <v>25,19</v>
      </c>
      <c r="J982" s="2">
        <v>982</v>
      </c>
      <c r="K982" s="2" t="str">
        <v>No Match</v>
      </c>
      <c r="M982" s="33">
        <f ca="1"/>
        <v>25.19</v>
      </c>
      <c r="N982" s="2" t="e">
        <f ca="1"/>
        <v>#N/A</v>
      </c>
      <c r="O982" s="2" t="e">
        <f ca="1"/>
        <v>#N/A</v>
      </c>
      <c r="P982" s="2" t="e">
        <f ca="1"/>
        <v>#N/A</v>
      </c>
      <c r="Q982" s="33" t="e">
        <f ca="1"/>
        <v>#N/A</v>
      </c>
      <c r="R982" s="33" t="e">
        <f ca="1"/>
        <v>#N/A</v>
      </c>
    </row>
    <row r="983" spans="1:18" x14ac:dyDescent="0.2">
      <c r="A983" s="2">
        <v>982</v>
      </c>
      <c r="B983" s="65">
        <v>45734</v>
      </c>
      <c r="C983" s="70">
        <v>0.42431712962962964</v>
      </c>
      <c r="D983" s="66" t="s">
        <v>98</v>
      </c>
      <c r="G983" s="66" t="s">
        <v>128</v>
      </c>
      <c r="H983" s="66" t="s">
        <v>100</v>
      </c>
      <c r="I983" s="33" t="str">
        <f ca="1"/>
        <v>25,23</v>
      </c>
      <c r="J983" s="2">
        <v>983</v>
      </c>
      <c r="K983" s="2" t="str">
        <v>No Match</v>
      </c>
      <c r="M983" s="33">
        <f ca="1"/>
        <v>25.23</v>
      </c>
      <c r="N983" s="2" t="e">
        <f ca="1"/>
        <v>#N/A</v>
      </c>
      <c r="O983" s="2" t="e">
        <f ca="1"/>
        <v>#N/A</v>
      </c>
      <c r="P983" s="2" t="e">
        <f ca="1"/>
        <v>#N/A</v>
      </c>
      <c r="Q983" s="33" t="e">
        <f ca="1"/>
        <v>#N/A</v>
      </c>
      <c r="R983" s="33" t="e">
        <f ca="1"/>
        <v>#N/A</v>
      </c>
    </row>
    <row r="984" spans="1:18" x14ac:dyDescent="0.2">
      <c r="A984" s="2">
        <v>983</v>
      </c>
      <c r="B984" s="65">
        <v>45734</v>
      </c>
      <c r="C984" s="70">
        <v>0.42449074074074072</v>
      </c>
      <c r="D984" s="66" t="s">
        <v>98</v>
      </c>
      <c r="G984" s="66" t="s">
        <v>135</v>
      </c>
      <c r="H984" s="66" t="s">
        <v>100</v>
      </c>
      <c r="I984" s="33" t="str">
        <f ca="1"/>
        <v>25,15</v>
      </c>
      <c r="J984" s="2">
        <v>984</v>
      </c>
      <c r="K984" s="2" t="str">
        <v>No Match</v>
      </c>
      <c r="M984" s="33">
        <f ca="1"/>
        <v>25.15</v>
      </c>
      <c r="N984" s="2" t="e">
        <f ca="1"/>
        <v>#N/A</v>
      </c>
      <c r="O984" s="2" t="e">
        <f ca="1"/>
        <v>#N/A</v>
      </c>
      <c r="P984" s="2" t="e">
        <f ca="1"/>
        <v>#N/A</v>
      </c>
      <c r="Q984" s="33" t="e">
        <f ca="1"/>
        <v>#N/A</v>
      </c>
      <c r="R984" s="33" t="e">
        <f ca="1"/>
        <v>#N/A</v>
      </c>
    </row>
    <row r="985" spans="1:18" x14ac:dyDescent="0.2">
      <c r="A985" s="2">
        <v>984</v>
      </c>
      <c r="B985" s="65">
        <v>45734</v>
      </c>
      <c r="C985" s="70">
        <v>0.42657407407407405</v>
      </c>
      <c r="D985" s="66" t="s">
        <v>98</v>
      </c>
      <c r="G985" s="66" t="s">
        <v>139</v>
      </c>
      <c r="H985" s="66" t="s">
        <v>100</v>
      </c>
      <c r="I985" s="33" t="str">
        <f ca="1"/>
        <v>25,35</v>
      </c>
      <c r="J985" s="2">
        <v>985</v>
      </c>
      <c r="K985" s="2" t="str">
        <v>No Match</v>
      </c>
      <c r="M985" s="33">
        <f ca="1"/>
        <v>25.35</v>
      </c>
      <c r="N985" s="2" t="e">
        <f ca="1"/>
        <v>#N/A</v>
      </c>
      <c r="O985" s="2" t="e">
        <f ca="1"/>
        <v>#N/A</v>
      </c>
      <c r="P985" s="2" t="e">
        <f ca="1"/>
        <v>#N/A</v>
      </c>
      <c r="Q985" s="33" t="e">
        <f ca="1"/>
        <v>#N/A</v>
      </c>
      <c r="R985" s="33" t="e">
        <f ca="1"/>
        <v>#N/A</v>
      </c>
    </row>
    <row r="986" spans="1:18" x14ac:dyDescent="0.2">
      <c r="A986" s="2">
        <v>985</v>
      </c>
      <c r="B986" s="65">
        <v>45734</v>
      </c>
      <c r="C986" s="70">
        <v>0.42765046296296294</v>
      </c>
      <c r="D986" s="66" t="s">
        <v>98</v>
      </c>
      <c r="G986" s="66" t="s">
        <v>161</v>
      </c>
      <c r="H986" s="66" t="s">
        <v>100</v>
      </c>
      <c r="I986" s="33" t="str">
        <f ca="1"/>
        <v>25,38</v>
      </c>
      <c r="J986" s="2">
        <v>986</v>
      </c>
      <c r="K986" s="2" t="str">
        <v>No Match</v>
      </c>
      <c r="M986" s="33">
        <f ca="1"/>
        <v>25.38</v>
      </c>
      <c r="N986" s="2" t="e">
        <f ca="1"/>
        <v>#N/A</v>
      </c>
      <c r="O986" s="2" t="e">
        <f ca="1"/>
        <v>#N/A</v>
      </c>
      <c r="P986" s="2" t="e">
        <f ca="1"/>
        <v>#N/A</v>
      </c>
      <c r="Q986" s="33" t="e">
        <f ca="1"/>
        <v>#N/A</v>
      </c>
      <c r="R986" s="33" t="e">
        <f ca="1"/>
        <v>#N/A</v>
      </c>
    </row>
    <row r="987" spans="1:18" x14ac:dyDescent="0.2">
      <c r="A987" s="2">
        <v>986</v>
      </c>
      <c r="B987" s="65">
        <v>45734</v>
      </c>
      <c r="C987" s="70">
        <v>0.42866898148148147</v>
      </c>
      <c r="D987" s="66" t="s">
        <v>98</v>
      </c>
      <c r="G987" s="66" t="s">
        <v>170</v>
      </c>
      <c r="H987" s="66" t="s">
        <v>100</v>
      </c>
      <c r="I987" s="33" t="str">
        <f ca="1"/>
        <v>25,52</v>
      </c>
      <c r="J987" s="2">
        <v>987</v>
      </c>
      <c r="K987" s="2" t="str">
        <v>No Match</v>
      </c>
      <c r="M987" s="33">
        <f ca="1"/>
        <v>25.52</v>
      </c>
      <c r="N987" s="2" t="e">
        <f ca="1"/>
        <v>#N/A</v>
      </c>
      <c r="O987" s="2" t="e">
        <f ca="1"/>
        <v>#N/A</v>
      </c>
      <c r="P987" s="2" t="e">
        <f ca="1"/>
        <v>#N/A</v>
      </c>
      <c r="Q987" s="33" t="e">
        <f ca="1"/>
        <v>#N/A</v>
      </c>
      <c r="R987" s="33" t="e">
        <f ca="1"/>
        <v>#N/A</v>
      </c>
    </row>
    <row r="988" spans="1:18" x14ac:dyDescent="0.2">
      <c r="A988" s="2">
        <v>987</v>
      </c>
      <c r="B988" s="65">
        <v>45734</v>
      </c>
      <c r="C988" s="70">
        <v>0.43134259259259261</v>
      </c>
      <c r="D988" s="66" t="s">
        <v>98</v>
      </c>
      <c r="G988" s="66" t="s">
        <v>195</v>
      </c>
      <c r="H988" s="66" t="s">
        <v>100</v>
      </c>
      <c r="I988" s="33" t="str">
        <f ca="1"/>
        <v>25,60</v>
      </c>
      <c r="J988" s="2">
        <v>988</v>
      </c>
      <c r="K988" s="2" t="str">
        <v>No Match</v>
      </c>
      <c r="M988" s="33">
        <f ca="1"/>
        <v>25.6</v>
      </c>
      <c r="N988" s="2" t="e">
        <f ca="1"/>
        <v>#N/A</v>
      </c>
      <c r="O988" s="2" t="e">
        <f ca="1"/>
        <v>#N/A</v>
      </c>
      <c r="P988" s="2" t="e">
        <f ca="1"/>
        <v>#N/A</v>
      </c>
      <c r="Q988" s="33" t="e">
        <f ca="1"/>
        <v>#N/A</v>
      </c>
      <c r="R988" s="33" t="e">
        <f ca="1"/>
        <v>#N/A</v>
      </c>
    </row>
    <row r="989" spans="1:18" x14ac:dyDescent="0.2">
      <c r="A989" s="2">
        <v>988</v>
      </c>
      <c r="B989" s="65">
        <v>45734</v>
      </c>
      <c r="C989" s="70">
        <v>0.43138888888888888</v>
      </c>
      <c r="D989" s="66" t="s">
        <v>98</v>
      </c>
      <c r="G989" s="66" t="s">
        <v>145</v>
      </c>
      <c r="H989" s="66" t="s">
        <v>100</v>
      </c>
      <c r="I989" s="33" t="str">
        <f ca="1"/>
        <v>25,30</v>
      </c>
      <c r="J989" s="2">
        <v>989</v>
      </c>
      <c r="K989" s="2" t="str">
        <v>No Match</v>
      </c>
      <c r="M989" s="33">
        <f ca="1"/>
        <v>25.3</v>
      </c>
      <c r="N989" s="2" t="e">
        <f ca="1"/>
        <v>#N/A</v>
      </c>
      <c r="O989" s="2" t="e">
        <f ca="1"/>
        <v>#N/A</v>
      </c>
      <c r="P989" s="2" t="e">
        <f ca="1"/>
        <v>#N/A</v>
      </c>
      <c r="Q989" s="33" t="e">
        <f ca="1"/>
        <v>#N/A</v>
      </c>
      <c r="R989" s="33" t="e">
        <f ca="1"/>
        <v>#N/A</v>
      </c>
    </row>
    <row r="990" spans="1:18" x14ac:dyDescent="0.2">
      <c r="A990" s="2">
        <v>989</v>
      </c>
      <c r="B990" s="65">
        <v>45734</v>
      </c>
      <c r="C990" s="70">
        <v>0.4314351851851852</v>
      </c>
      <c r="D990" s="66" t="s">
        <v>98</v>
      </c>
      <c r="G990" s="66" t="s">
        <v>212</v>
      </c>
      <c r="H990" s="66" t="s">
        <v>100</v>
      </c>
      <c r="I990" s="33" t="str">
        <f ca="1"/>
        <v>25,95</v>
      </c>
      <c r="J990" s="2">
        <v>990</v>
      </c>
      <c r="K990" s="2" t="str">
        <v>No Match</v>
      </c>
      <c r="M990" s="33">
        <f ca="1"/>
        <v>25.95</v>
      </c>
      <c r="N990" s="2" t="e">
        <f ca="1"/>
        <v>#N/A</v>
      </c>
      <c r="O990" s="2" t="e">
        <f ca="1"/>
        <v>#N/A</v>
      </c>
      <c r="P990" s="2" t="e">
        <f ca="1"/>
        <v>#N/A</v>
      </c>
      <c r="Q990" s="33" t="e">
        <f ca="1"/>
        <v>#N/A</v>
      </c>
      <c r="R990" s="33" t="e">
        <f ca="1"/>
        <v>#N/A</v>
      </c>
    </row>
    <row r="991" spans="1:18" x14ac:dyDescent="0.2">
      <c r="A991" s="2">
        <v>990</v>
      </c>
      <c r="B991" s="65">
        <v>45734</v>
      </c>
      <c r="C991" s="70">
        <v>0.43149305555555556</v>
      </c>
      <c r="D991" s="66" t="s">
        <v>98</v>
      </c>
      <c r="G991" s="66" t="s">
        <v>127</v>
      </c>
      <c r="H991" s="66" t="s">
        <v>100</v>
      </c>
      <c r="I991" s="33" t="str">
        <f ca="1"/>
        <v>25,28</v>
      </c>
      <c r="J991" s="2">
        <v>991</v>
      </c>
      <c r="K991" s="2" t="str">
        <v>No Match</v>
      </c>
      <c r="M991" s="33">
        <f ca="1"/>
        <v>25.28</v>
      </c>
      <c r="N991" s="2">
        <f ca="1"/>
        <v>25</v>
      </c>
      <c r="O991" s="2">
        <f ca="1"/>
        <v>24.625</v>
      </c>
      <c r="P991" s="2">
        <f ca="1"/>
        <v>25.375</v>
      </c>
      <c r="Q991" s="33">
        <f ca="1"/>
        <v>25.360151515151504</v>
      </c>
      <c r="R991" s="33">
        <f ca="1"/>
        <v>25.395</v>
      </c>
    </row>
    <row r="992" spans="1:18" x14ac:dyDescent="0.2">
      <c r="A992" s="2">
        <v>991</v>
      </c>
      <c r="B992" s="65">
        <v>45734</v>
      </c>
      <c r="C992" s="70">
        <v>0.43155092592592592</v>
      </c>
      <c r="D992" s="66" t="s">
        <v>98</v>
      </c>
      <c r="G992" s="66" t="s">
        <v>192</v>
      </c>
      <c r="H992" s="66" t="s">
        <v>100</v>
      </c>
      <c r="I992" s="33" t="str">
        <f ca="1"/>
        <v>26,05</v>
      </c>
      <c r="J992" s="2">
        <v>992</v>
      </c>
      <c r="K992" s="2" t="str">
        <v>No Match</v>
      </c>
      <c r="M992" s="33">
        <f ca="1"/>
        <v>26.05</v>
      </c>
      <c r="N992" s="2" t="e">
        <f ca="1"/>
        <v>#N/A</v>
      </c>
      <c r="O992" s="2" t="e">
        <f ca="1"/>
        <v>#N/A</v>
      </c>
      <c r="P992" s="2" t="e">
        <f ca="1"/>
        <v>#N/A</v>
      </c>
      <c r="Q992" s="33" t="e">
        <f ca="1"/>
        <v>#N/A</v>
      </c>
      <c r="R992" s="33" t="e">
        <f ca="1"/>
        <v>#N/A</v>
      </c>
    </row>
    <row r="993" spans="1:18" x14ac:dyDescent="0.2">
      <c r="A993" s="2">
        <v>992</v>
      </c>
      <c r="B993" s="65">
        <v>45734</v>
      </c>
      <c r="C993" s="70">
        <v>0.45906249999999998</v>
      </c>
      <c r="D993" s="66" t="s">
        <v>98</v>
      </c>
      <c r="G993" s="66" t="s">
        <v>131</v>
      </c>
      <c r="H993" s="66" t="s">
        <v>100</v>
      </c>
      <c r="I993" s="33" t="str">
        <f ca="1"/>
        <v>25,24</v>
      </c>
      <c r="J993" s="2">
        <v>993</v>
      </c>
      <c r="K993" s="2" t="str">
        <v>No Match</v>
      </c>
      <c r="M993" s="33">
        <f ca="1"/>
        <v>25.24</v>
      </c>
      <c r="N993" s="2" t="e">
        <f ca="1"/>
        <v>#N/A</v>
      </c>
      <c r="O993" s="2" t="e">
        <f ca="1"/>
        <v>#N/A</v>
      </c>
      <c r="P993" s="2" t="e">
        <f ca="1"/>
        <v>#N/A</v>
      </c>
      <c r="Q993" s="33" t="e">
        <f ca="1"/>
        <v>#N/A</v>
      </c>
      <c r="R993" s="33" t="e">
        <f ca="1"/>
        <v>#N/A</v>
      </c>
    </row>
    <row r="994" spans="1:18" x14ac:dyDescent="0.2">
      <c r="A994" s="2">
        <v>993</v>
      </c>
      <c r="B994" s="65">
        <v>45734</v>
      </c>
      <c r="C994" s="70">
        <v>0.46091435185185187</v>
      </c>
      <c r="D994" s="66" t="s">
        <v>98</v>
      </c>
      <c r="G994" s="66" t="s">
        <v>131</v>
      </c>
      <c r="H994" s="66" t="s">
        <v>100</v>
      </c>
      <c r="I994" s="33" t="str">
        <f ca="1"/>
        <v>25,24</v>
      </c>
      <c r="J994" s="2">
        <v>994</v>
      </c>
      <c r="K994" s="2" t="str">
        <v>No Match</v>
      </c>
      <c r="M994" s="33">
        <f ca="1"/>
        <v>25.24</v>
      </c>
      <c r="N994" s="2" t="e">
        <f ca="1"/>
        <v>#N/A</v>
      </c>
      <c r="O994" s="2" t="e">
        <f ca="1"/>
        <v>#N/A</v>
      </c>
      <c r="P994" s="2" t="e">
        <f ca="1"/>
        <v>#N/A</v>
      </c>
      <c r="Q994" s="33" t="e">
        <f ca="1"/>
        <v>#N/A</v>
      </c>
      <c r="R994" s="33" t="e">
        <f ca="1"/>
        <v>#N/A</v>
      </c>
    </row>
    <row r="995" spans="1:18" x14ac:dyDescent="0.2">
      <c r="A995" s="2">
        <v>994</v>
      </c>
      <c r="B995" s="65">
        <v>45734</v>
      </c>
      <c r="C995" s="70">
        <v>0.46247685185185183</v>
      </c>
      <c r="D995" s="66" t="s">
        <v>98</v>
      </c>
      <c r="G995" s="66" t="s">
        <v>164</v>
      </c>
      <c r="H995" s="66" t="s">
        <v>100</v>
      </c>
      <c r="I995" s="33" t="str">
        <f ca="1"/>
        <v>25,46</v>
      </c>
      <c r="J995" s="2">
        <v>995</v>
      </c>
      <c r="K995" s="2" t="str">
        <v>No Match</v>
      </c>
      <c r="M995" s="33">
        <f ca="1"/>
        <v>25.46</v>
      </c>
      <c r="N995" s="2" t="e">
        <f ca="1"/>
        <v>#N/A</v>
      </c>
      <c r="O995" s="2" t="e">
        <f ca="1"/>
        <v>#N/A</v>
      </c>
      <c r="P995" s="2" t="e">
        <f ca="1"/>
        <v>#N/A</v>
      </c>
      <c r="Q995" s="33" t="e">
        <f ca="1"/>
        <v>#N/A</v>
      </c>
      <c r="R995" s="33" t="e">
        <f ca="1"/>
        <v>#N/A</v>
      </c>
    </row>
    <row r="996" spans="1:18" x14ac:dyDescent="0.2">
      <c r="A996" s="2">
        <v>995</v>
      </c>
      <c r="B996" s="65">
        <v>45734</v>
      </c>
      <c r="C996" s="70">
        <v>0.46528935185185183</v>
      </c>
      <c r="D996" s="66" t="s">
        <v>98</v>
      </c>
      <c r="G996" s="66" t="s">
        <v>168</v>
      </c>
      <c r="H996" s="66" t="s">
        <v>100</v>
      </c>
      <c r="I996" s="33" t="str">
        <f ca="1"/>
        <v>25,59</v>
      </c>
      <c r="J996" s="2">
        <v>996</v>
      </c>
      <c r="K996" s="2" t="str">
        <v>No Match</v>
      </c>
      <c r="M996" s="33">
        <f ca="1"/>
        <v>25.59</v>
      </c>
      <c r="N996" s="2" t="e">
        <f ca="1"/>
        <v>#N/A</v>
      </c>
      <c r="O996" s="2" t="e">
        <f ca="1"/>
        <v>#N/A</v>
      </c>
      <c r="P996" s="2" t="e">
        <f ca="1"/>
        <v>#N/A</v>
      </c>
      <c r="Q996" s="33" t="e">
        <f ca="1"/>
        <v>#N/A</v>
      </c>
      <c r="R996" s="33" t="e">
        <f ca="1"/>
        <v>#N/A</v>
      </c>
    </row>
    <row r="997" spans="1:18" x14ac:dyDescent="0.2">
      <c r="A997" s="2">
        <v>996</v>
      </c>
      <c r="B997" s="65">
        <v>45734</v>
      </c>
      <c r="C997" s="70">
        <v>0.46603009259259259</v>
      </c>
      <c r="D997" s="66" t="s">
        <v>98</v>
      </c>
      <c r="G997" s="66" t="s">
        <v>127</v>
      </c>
      <c r="H997" s="66" t="s">
        <v>100</v>
      </c>
      <c r="I997" s="33" t="str">
        <f ca="1"/>
        <v>25,28</v>
      </c>
      <c r="J997" s="2">
        <v>997</v>
      </c>
      <c r="K997" s="2" t="str">
        <v>No Match</v>
      </c>
      <c r="M997" s="33">
        <f ca="1"/>
        <v>25.28</v>
      </c>
      <c r="N997" s="2" t="e">
        <f ca="1"/>
        <v>#N/A</v>
      </c>
      <c r="O997" s="2" t="e">
        <f ca="1"/>
        <v>#N/A</v>
      </c>
      <c r="P997" s="2" t="e">
        <f ca="1"/>
        <v>#N/A</v>
      </c>
      <c r="Q997" s="33" t="e">
        <f ca="1"/>
        <v>#N/A</v>
      </c>
      <c r="R997" s="33" t="e">
        <f ca="1"/>
        <v>#N/A</v>
      </c>
    </row>
    <row r="998" spans="1:18" x14ac:dyDescent="0.2">
      <c r="A998" s="2">
        <v>997</v>
      </c>
      <c r="B998" s="65">
        <v>45734</v>
      </c>
      <c r="C998" s="70">
        <v>0.4675347222222222</v>
      </c>
      <c r="D998" s="66" t="s">
        <v>98</v>
      </c>
      <c r="G998" s="66" t="s">
        <v>133</v>
      </c>
      <c r="H998" s="66" t="s">
        <v>100</v>
      </c>
      <c r="I998" s="33" t="str">
        <f ca="1"/>
        <v>25,41</v>
      </c>
      <c r="J998" s="2">
        <v>998</v>
      </c>
      <c r="K998" s="2" t="str">
        <v>No Match</v>
      </c>
      <c r="M998" s="33">
        <f ca="1"/>
        <v>25.41</v>
      </c>
      <c r="N998" s="2" t="e">
        <f ca="1"/>
        <v>#N/A</v>
      </c>
      <c r="O998" s="2" t="e">
        <f ca="1"/>
        <v>#N/A</v>
      </c>
      <c r="P998" s="2" t="e">
        <f ca="1"/>
        <v>#N/A</v>
      </c>
      <c r="Q998" s="33" t="e">
        <f ca="1"/>
        <v>#N/A</v>
      </c>
      <c r="R998" s="33" t="e">
        <f ca="1"/>
        <v>#N/A</v>
      </c>
    </row>
    <row r="999" spans="1:18" x14ac:dyDescent="0.2">
      <c r="A999" s="2">
        <v>998</v>
      </c>
      <c r="B999" s="65">
        <v>45734</v>
      </c>
      <c r="C999" s="70">
        <v>0.46834490740740742</v>
      </c>
      <c r="D999" s="66" t="s">
        <v>98</v>
      </c>
      <c r="G999" s="66" t="s">
        <v>116</v>
      </c>
      <c r="H999" s="66" t="s">
        <v>100</v>
      </c>
      <c r="I999" s="33" t="str">
        <f ca="1"/>
        <v>25,33</v>
      </c>
      <c r="J999" s="2">
        <v>999</v>
      </c>
      <c r="K999" s="2" t="str">
        <v>No Match</v>
      </c>
      <c r="M999" s="33">
        <f ca="1"/>
        <v>25.33</v>
      </c>
      <c r="N999" s="2" t="e">
        <f ca="1"/>
        <v>#N/A</v>
      </c>
      <c r="O999" s="2" t="e">
        <f ca="1"/>
        <v>#N/A</v>
      </c>
      <c r="P999" s="2" t="e">
        <f ca="1"/>
        <v>#N/A</v>
      </c>
      <c r="Q999" s="33" t="e">
        <f ca="1"/>
        <v>#N/A</v>
      </c>
      <c r="R999" s="33" t="e">
        <f ca="1"/>
        <v>#N/A</v>
      </c>
    </row>
    <row r="1000" spans="1:18" x14ac:dyDescent="0.2">
      <c r="A1000" s="2">
        <v>999</v>
      </c>
      <c r="B1000" s="65">
        <v>45734</v>
      </c>
      <c r="C1000" s="70">
        <v>0.46916666666666668</v>
      </c>
      <c r="D1000" s="66" t="s">
        <v>98</v>
      </c>
      <c r="G1000" s="66" t="s">
        <v>206</v>
      </c>
      <c r="H1000" s="66" t="s">
        <v>100</v>
      </c>
      <c r="I1000" s="33" t="str">
        <f ca="1"/>
        <v>25,80</v>
      </c>
      <c r="J1000" s="2">
        <v>1000</v>
      </c>
      <c r="K1000" s="2" t="str">
        <v>No Match</v>
      </c>
      <c r="M1000" s="33">
        <f ca="1"/>
        <v>25.8</v>
      </c>
      <c r="N1000" s="2" t="e">
        <f ca="1"/>
        <v>#N/A</v>
      </c>
      <c r="O1000" s="2" t="e">
        <f ca="1"/>
        <v>#N/A</v>
      </c>
      <c r="P1000" s="2" t="e">
        <f ca="1"/>
        <v>#N/A</v>
      </c>
      <c r="Q1000" s="33" t="e">
        <f ca="1"/>
        <v>#N/A</v>
      </c>
      <c r="R1000" s="33" t="e">
        <f ca="1"/>
        <v>#N/A</v>
      </c>
    </row>
    <row r="1001" spans="1:18" x14ac:dyDescent="0.2">
      <c r="A1001" s="2">
        <v>1000</v>
      </c>
      <c r="B1001" s="65">
        <v>45734</v>
      </c>
      <c r="C1001" s="70">
        <v>0.4698148148148148</v>
      </c>
      <c r="D1001" s="66" t="s">
        <v>98</v>
      </c>
      <c r="G1001" s="66" t="s">
        <v>116</v>
      </c>
      <c r="H1001" s="66" t="s">
        <v>100</v>
      </c>
      <c r="I1001" s="33" t="str">
        <f ca="1"/>
        <v>25,33</v>
      </c>
      <c r="J1001" s="2">
        <v>1001</v>
      </c>
      <c r="K1001" s="2" t="str">
        <v>No Match</v>
      </c>
      <c r="M1001" s="33">
        <f ca="1"/>
        <v>25.33</v>
      </c>
      <c r="N1001" s="2">
        <f ca="1"/>
        <v>25</v>
      </c>
      <c r="O1001" s="2">
        <f ca="1"/>
        <v>24.625</v>
      </c>
      <c r="P1001" s="2">
        <f ca="1"/>
        <v>25.375</v>
      </c>
      <c r="Q1001" s="33">
        <f ca="1"/>
        <v>25.36127999999999</v>
      </c>
      <c r="R1001" s="33">
        <f ca="1"/>
        <v>25.473000000000003</v>
      </c>
    </row>
    <row r="1002" spans="1:18" x14ac:dyDescent="0.2">
      <c r="A1002" s="2">
        <v>1001</v>
      </c>
      <c r="B1002" s="65">
        <v>45734</v>
      </c>
      <c r="C1002" s="70">
        <v>0.47052083333333333</v>
      </c>
      <c r="D1002" s="66" t="s">
        <v>98</v>
      </c>
      <c r="G1002" s="66" t="s">
        <v>133</v>
      </c>
      <c r="H1002" s="66" t="s">
        <v>100</v>
      </c>
      <c r="I1002" s="33" t="str">
        <f ca="1"/>
        <v>25,41</v>
      </c>
      <c r="J1002" s="2">
        <v>1002</v>
      </c>
      <c r="K1002" s="2" t="str">
        <v>No Match</v>
      </c>
      <c r="M1002" s="33">
        <f ca="1"/>
        <v>25.41</v>
      </c>
      <c r="N1002" s="2" t="e">
        <f ca="1"/>
        <v>#N/A</v>
      </c>
      <c r="O1002" s="2" t="e">
        <f ca="1"/>
        <v>#N/A</v>
      </c>
      <c r="P1002" s="2" t="e">
        <f ca="1"/>
        <v>#N/A</v>
      </c>
      <c r="Q1002" s="33" t="e">
        <f ca="1"/>
        <v>#N/A</v>
      </c>
      <c r="R1002" s="33" t="e">
        <f ca="1"/>
        <v>#N/A</v>
      </c>
    </row>
    <row r="1003" spans="1:18" x14ac:dyDescent="0.2">
      <c r="A1003" s="2">
        <v>1002</v>
      </c>
      <c r="B1003" s="65">
        <v>45734</v>
      </c>
      <c r="C1003" s="70">
        <v>0.47243055555555558</v>
      </c>
      <c r="D1003" s="66" t="s">
        <v>98</v>
      </c>
      <c r="G1003" s="66" t="s">
        <v>189</v>
      </c>
      <c r="H1003" s="66" t="s">
        <v>100</v>
      </c>
      <c r="I1003" s="33" t="str">
        <f ca="1"/>
        <v>25,48</v>
      </c>
      <c r="J1003" s="2">
        <v>1003</v>
      </c>
      <c r="K1003" s="2" t="str">
        <v>No Match</v>
      </c>
      <c r="M1003" s="33">
        <f ca="1"/>
        <v>25.48</v>
      </c>
      <c r="N1003" s="2" t="e">
        <f ca="1"/>
        <v>#N/A</v>
      </c>
      <c r="O1003" s="2" t="e">
        <f ca="1"/>
        <v>#N/A</v>
      </c>
      <c r="P1003" s="2" t="e">
        <f ca="1"/>
        <v>#N/A</v>
      </c>
      <c r="Q1003" s="33" t="e">
        <f ca="1"/>
        <v>#N/A</v>
      </c>
      <c r="R1003" s="33" t="e">
        <f ca="1"/>
        <v>#N/A</v>
      </c>
    </row>
    <row r="1004" spans="1:18" x14ac:dyDescent="0.2">
      <c r="A1004" s="2">
        <v>1003</v>
      </c>
      <c r="B1004" s="65">
        <v>45734</v>
      </c>
      <c r="C1004" s="70">
        <v>0.47300925925925924</v>
      </c>
      <c r="D1004" s="66" t="s">
        <v>98</v>
      </c>
      <c r="G1004" s="66" t="s">
        <v>99</v>
      </c>
      <c r="H1004" s="66" t="s">
        <v>100</v>
      </c>
      <c r="I1004" s="33" t="str">
        <f ca="1"/>
        <v>25,16</v>
      </c>
      <c r="J1004" s="2">
        <v>1004</v>
      </c>
      <c r="K1004" s="2" t="str">
        <v>No Match</v>
      </c>
      <c r="M1004" s="33">
        <f ca="1"/>
        <v>25.16</v>
      </c>
      <c r="N1004" s="2" t="e">
        <f ca="1"/>
        <v>#N/A</v>
      </c>
      <c r="O1004" s="2" t="e">
        <f ca="1"/>
        <v>#N/A</v>
      </c>
      <c r="P1004" s="2" t="e">
        <f ca="1"/>
        <v>#N/A</v>
      </c>
      <c r="Q1004" s="33" t="e">
        <f ca="1"/>
        <v>#N/A</v>
      </c>
      <c r="R1004" s="33" t="e">
        <f ca="1"/>
        <v>#N/A</v>
      </c>
    </row>
    <row r="1005" spans="1:18" x14ac:dyDescent="0.2">
      <c r="A1005" s="2">
        <v>1004</v>
      </c>
      <c r="B1005" s="65">
        <v>45734</v>
      </c>
      <c r="C1005" s="70">
        <v>0.47483796296296299</v>
      </c>
      <c r="D1005" s="66" t="s">
        <v>98</v>
      </c>
      <c r="G1005" s="66" t="s">
        <v>163</v>
      </c>
      <c r="H1005" s="66" t="s">
        <v>100</v>
      </c>
      <c r="I1005" s="33" t="str">
        <f ca="1"/>
        <v>25,47</v>
      </c>
      <c r="J1005" s="2">
        <v>1005</v>
      </c>
      <c r="K1005" s="2" t="str">
        <v>No Match</v>
      </c>
      <c r="M1005" s="33">
        <f ca="1"/>
        <v>25.47</v>
      </c>
      <c r="N1005" s="2" t="e">
        <f ca="1"/>
        <v>#N/A</v>
      </c>
      <c r="O1005" s="2" t="e">
        <f ca="1"/>
        <v>#N/A</v>
      </c>
      <c r="P1005" s="2" t="e">
        <f ca="1"/>
        <v>#N/A</v>
      </c>
      <c r="Q1005" s="33" t="e">
        <f ca="1"/>
        <v>#N/A</v>
      </c>
      <c r="R1005" s="33" t="e">
        <f ca="1"/>
        <v>#N/A</v>
      </c>
    </row>
    <row r="1006" spans="1:18" x14ac:dyDescent="0.2">
      <c r="A1006" s="2">
        <v>1005</v>
      </c>
      <c r="B1006" s="65">
        <v>45734</v>
      </c>
      <c r="C1006" s="70">
        <v>0.47690972222222222</v>
      </c>
      <c r="D1006" s="66" t="s">
        <v>98</v>
      </c>
      <c r="G1006" s="66" t="s">
        <v>202</v>
      </c>
      <c r="H1006" s="66" t="s">
        <v>100</v>
      </c>
      <c r="I1006" s="33" t="str">
        <f ca="1"/>
        <v>25,31</v>
      </c>
      <c r="J1006" s="2">
        <v>1006</v>
      </c>
      <c r="K1006" s="2" t="str">
        <v>No Match</v>
      </c>
      <c r="M1006" s="33">
        <f ca="1"/>
        <v>25.31</v>
      </c>
      <c r="N1006" s="2" t="e">
        <f ca="1"/>
        <v>#N/A</v>
      </c>
      <c r="O1006" s="2" t="e">
        <f ca="1"/>
        <v>#N/A</v>
      </c>
      <c r="P1006" s="2" t="e">
        <f ca="1"/>
        <v>#N/A</v>
      </c>
      <c r="Q1006" s="33" t="e">
        <f ca="1"/>
        <v>#N/A</v>
      </c>
      <c r="R1006" s="33" t="e">
        <f ca="1"/>
        <v>#N/A</v>
      </c>
    </row>
    <row r="1007" spans="1:18" x14ac:dyDescent="0.2">
      <c r="A1007" s="2">
        <v>1006</v>
      </c>
      <c r="B1007" s="65">
        <v>45734</v>
      </c>
      <c r="C1007" s="70">
        <v>0.47792824074074075</v>
      </c>
      <c r="D1007" s="66" t="s">
        <v>98</v>
      </c>
      <c r="G1007" s="66" t="s">
        <v>170</v>
      </c>
      <c r="H1007" s="66" t="s">
        <v>100</v>
      </c>
      <c r="I1007" s="33" t="str">
        <f ca="1"/>
        <v>25,52</v>
      </c>
      <c r="J1007" s="2">
        <v>1007</v>
      </c>
      <c r="K1007" s="2" t="str">
        <v>No Match</v>
      </c>
      <c r="M1007" s="33">
        <f ca="1"/>
        <v>25.52</v>
      </c>
      <c r="N1007" s="2" t="e">
        <f ca="1"/>
        <v>#N/A</v>
      </c>
      <c r="O1007" s="2" t="e">
        <f ca="1"/>
        <v>#N/A</v>
      </c>
      <c r="P1007" s="2" t="e">
        <f ca="1"/>
        <v>#N/A</v>
      </c>
      <c r="Q1007" s="33" t="e">
        <f ca="1"/>
        <v>#N/A</v>
      </c>
      <c r="R1007" s="33" t="e">
        <f ca="1"/>
        <v>#N/A</v>
      </c>
    </row>
    <row r="1008" spans="1:18" x14ac:dyDescent="0.2">
      <c r="A1008" s="2">
        <v>1007</v>
      </c>
      <c r="B1008" s="65">
        <v>45734</v>
      </c>
      <c r="C1008" s="70">
        <v>0.47988425925925926</v>
      </c>
      <c r="D1008" s="66" t="s">
        <v>98</v>
      </c>
      <c r="G1008" s="66" t="s">
        <v>170</v>
      </c>
      <c r="H1008" s="66" t="s">
        <v>100</v>
      </c>
      <c r="I1008" s="33" t="str">
        <f ca="1"/>
        <v>25,52</v>
      </c>
      <c r="J1008" s="2">
        <v>1008</v>
      </c>
      <c r="K1008" s="2" t="str">
        <v>No Match</v>
      </c>
      <c r="M1008" s="33">
        <f ca="1"/>
        <v>25.52</v>
      </c>
      <c r="N1008" s="2" t="e">
        <f ca="1"/>
        <v>#N/A</v>
      </c>
      <c r="O1008" s="2" t="e">
        <f ca="1"/>
        <v>#N/A</v>
      </c>
      <c r="P1008" s="2" t="e">
        <f ca="1"/>
        <v>#N/A</v>
      </c>
      <c r="Q1008" s="33" t="e">
        <f ca="1"/>
        <v>#N/A</v>
      </c>
      <c r="R1008" s="33" t="e">
        <f ca="1"/>
        <v>#N/A</v>
      </c>
    </row>
    <row r="1009" spans="1:18" x14ac:dyDescent="0.2">
      <c r="A1009" s="2">
        <v>1008</v>
      </c>
      <c r="B1009" s="65">
        <v>45734</v>
      </c>
      <c r="C1009" s="70">
        <v>0.48163194444444446</v>
      </c>
      <c r="D1009" s="66" t="s">
        <v>98</v>
      </c>
      <c r="G1009" s="66" t="s">
        <v>191</v>
      </c>
      <c r="H1009" s="66" t="s">
        <v>100</v>
      </c>
      <c r="I1009" s="33" t="str">
        <f ca="1"/>
        <v>25,79</v>
      </c>
      <c r="J1009" s="2">
        <v>1009</v>
      </c>
      <c r="K1009" s="2" t="str">
        <v>No Match</v>
      </c>
      <c r="M1009" s="33">
        <f ca="1"/>
        <v>25.79</v>
      </c>
      <c r="N1009" s="2" t="e">
        <f ca="1"/>
        <v>#N/A</v>
      </c>
      <c r="O1009" s="2" t="e">
        <f ca="1"/>
        <v>#N/A</v>
      </c>
      <c r="P1009" s="2" t="e">
        <f ca="1"/>
        <v>#N/A</v>
      </c>
      <c r="Q1009" s="33" t="e">
        <f ca="1"/>
        <v>#N/A</v>
      </c>
      <c r="R1009" s="33" t="e">
        <f ca="1"/>
        <v>#N/A</v>
      </c>
    </row>
    <row r="1010" spans="1:18" x14ac:dyDescent="0.2">
      <c r="A1010" s="2">
        <v>1009</v>
      </c>
      <c r="B1010" s="65">
        <v>45734</v>
      </c>
      <c r="C1010" s="70">
        <v>0.48365740740740742</v>
      </c>
      <c r="D1010" s="66" t="s">
        <v>98</v>
      </c>
      <c r="G1010" s="66" t="s">
        <v>163</v>
      </c>
      <c r="H1010" s="66" t="s">
        <v>100</v>
      </c>
      <c r="I1010" s="33" t="str">
        <f ca="1"/>
        <v>25,47</v>
      </c>
      <c r="J1010" s="2">
        <v>1010</v>
      </c>
      <c r="K1010" s="2" t="str">
        <v>No Match</v>
      </c>
      <c r="M1010" s="33">
        <f ca="1"/>
        <v>25.47</v>
      </c>
      <c r="N1010" s="2" t="e">
        <f ca="1"/>
        <v>#N/A</v>
      </c>
      <c r="O1010" s="2" t="e">
        <f ca="1"/>
        <v>#N/A</v>
      </c>
      <c r="P1010" s="2" t="e">
        <f ca="1"/>
        <v>#N/A</v>
      </c>
      <c r="Q1010" s="33" t="e">
        <f ca="1"/>
        <v>#N/A</v>
      </c>
      <c r="R1010" s="33" t="e">
        <f ca="1"/>
        <v>#N/A</v>
      </c>
    </row>
    <row r="1011" spans="1:18" x14ac:dyDescent="0.2">
      <c r="A1011" s="2">
        <v>1010</v>
      </c>
      <c r="B1011" s="65">
        <v>45734</v>
      </c>
      <c r="C1011" s="70">
        <v>0.48370370370370369</v>
      </c>
      <c r="D1011" s="66" t="s">
        <v>98</v>
      </c>
      <c r="G1011" s="66" t="s">
        <v>123</v>
      </c>
      <c r="H1011" s="66" t="s">
        <v>100</v>
      </c>
      <c r="I1011" s="33" t="str">
        <f ca="1"/>
        <v>25,13</v>
      </c>
      <c r="J1011" s="2">
        <v>1011</v>
      </c>
      <c r="K1011" s="2" t="str">
        <v>No Match</v>
      </c>
      <c r="M1011" s="33">
        <f ca="1"/>
        <v>25.13</v>
      </c>
      <c r="N1011" s="2">
        <f ca="1"/>
        <v>25</v>
      </c>
      <c r="O1011" s="2">
        <f ca="1"/>
        <v>24.625</v>
      </c>
      <c r="P1011" s="2">
        <f ca="1"/>
        <v>25.375</v>
      </c>
      <c r="Q1011" s="33">
        <f ca="1"/>
        <v>25.361920792079204</v>
      </c>
      <c r="R1011" s="33">
        <f ca="1"/>
        <v>25.425999999999998</v>
      </c>
    </row>
    <row r="1012" spans="1:18" x14ac:dyDescent="0.2">
      <c r="A1012" s="2">
        <v>1011</v>
      </c>
      <c r="B1012" s="65">
        <v>45734</v>
      </c>
      <c r="C1012" s="70">
        <v>0.48378472222222224</v>
      </c>
      <c r="D1012" s="66" t="s">
        <v>98</v>
      </c>
      <c r="G1012" s="66" t="s">
        <v>143</v>
      </c>
      <c r="H1012" s="66" t="s">
        <v>100</v>
      </c>
      <c r="I1012" s="33" t="str">
        <f ca="1"/>
        <v>25,53</v>
      </c>
      <c r="J1012" s="2">
        <v>1012</v>
      </c>
      <c r="K1012" s="2" t="str">
        <v>No Match</v>
      </c>
      <c r="M1012" s="33">
        <f ca="1"/>
        <v>25.53</v>
      </c>
      <c r="N1012" s="2" t="e">
        <f ca="1"/>
        <v>#N/A</v>
      </c>
      <c r="O1012" s="2" t="e">
        <f ca="1"/>
        <v>#N/A</v>
      </c>
      <c r="P1012" s="2" t="e">
        <f ca="1"/>
        <v>#N/A</v>
      </c>
      <c r="Q1012" s="33" t="e">
        <f ca="1"/>
        <v>#N/A</v>
      </c>
      <c r="R1012" s="33" t="e">
        <f ca="1"/>
        <v>#N/A</v>
      </c>
    </row>
    <row r="1013" spans="1:18" x14ac:dyDescent="0.2">
      <c r="A1013" s="2">
        <v>1012</v>
      </c>
      <c r="B1013" s="65">
        <v>45734</v>
      </c>
      <c r="C1013" s="70">
        <v>0.50393518518518521</v>
      </c>
      <c r="D1013" s="66" t="s">
        <v>98</v>
      </c>
      <c r="G1013" s="66" t="s">
        <v>157</v>
      </c>
      <c r="H1013" s="66" t="s">
        <v>100</v>
      </c>
      <c r="I1013" s="33" t="str">
        <f ca="1"/>
        <v>25,72</v>
      </c>
      <c r="J1013" s="2">
        <v>1013</v>
      </c>
      <c r="K1013" s="2" t="str">
        <v>No Match</v>
      </c>
      <c r="M1013" s="33">
        <f ca="1"/>
        <v>25.72</v>
      </c>
      <c r="N1013" s="2" t="e">
        <f ca="1"/>
        <v>#N/A</v>
      </c>
      <c r="O1013" s="2" t="e">
        <f ca="1"/>
        <v>#N/A</v>
      </c>
      <c r="P1013" s="2" t="e">
        <f ca="1"/>
        <v>#N/A</v>
      </c>
      <c r="Q1013" s="33" t="e">
        <f ca="1"/>
        <v>#N/A</v>
      </c>
      <c r="R1013" s="33" t="e">
        <f ca="1"/>
        <v>#N/A</v>
      </c>
    </row>
    <row r="1014" spans="1:18" x14ac:dyDescent="0.2">
      <c r="A1014" s="2">
        <v>1013</v>
      </c>
      <c r="B1014" s="65">
        <v>45734</v>
      </c>
      <c r="C1014" s="70">
        <v>0.5040972222222222</v>
      </c>
      <c r="D1014" s="66" t="s">
        <v>98</v>
      </c>
      <c r="G1014" s="66" t="s">
        <v>190</v>
      </c>
      <c r="H1014" s="66" t="s">
        <v>100</v>
      </c>
      <c r="I1014" s="33" t="str">
        <f ca="1"/>
        <v>25,19</v>
      </c>
      <c r="J1014" s="2">
        <v>1014</v>
      </c>
      <c r="K1014" s="2" t="str">
        <v>No Match</v>
      </c>
      <c r="M1014" s="33">
        <f ca="1"/>
        <v>25.19</v>
      </c>
      <c r="N1014" s="2" t="e">
        <f ca="1"/>
        <v>#N/A</v>
      </c>
      <c r="O1014" s="2" t="e">
        <f ca="1"/>
        <v>#N/A</v>
      </c>
      <c r="P1014" s="2" t="e">
        <f ca="1"/>
        <v>#N/A</v>
      </c>
      <c r="Q1014" s="33" t="e">
        <f ca="1"/>
        <v>#N/A</v>
      </c>
      <c r="R1014" s="33" t="e">
        <f ca="1"/>
        <v>#N/A</v>
      </c>
    </row>
    <row r="1015" spans="1:18" x14ac:dyDescent="0.2">
      <c r="A1015" s="2">
        <v>1014</v>
      </c>
      <c r="B1015" s="65">
        <v>45734</v>
      </c>
      <c r="C1015" s="70">
        <v>0.50548611111111108</v>
      </c>
      <c r="D1015" s="66" t="s">
        <v>98</v>
      </c>
      <c r="G1015" s="66" t="s">
        <v>169</v>
      </c>
      <c r="H1015" s="66" t="s">
        <v>100</v>
      </c>
      <c r="I1015" s="33" t="str">
        <f ca="1"/>
        <v>25,11</v>
      </c>
      <c r="J1015" s="2">
        <v>1015</v>
      </c>
      <c r="K1015" s="2" t="str">
        <v>No Match</v>
      </c>
      <c r="M1015" s="33">
        <f ca="1"/>
        <v>25.11</v>
      </c>
      <c r="N1015" s="2" t="e">
        <f ca="1"/>
        <v>#N/A</v>
      </c>
      <c r="O1015" s="2" t="e">
        <f ca="1"/>
        <v>#N/A</v>
      </c>
      <c r="P1015" s="2" t="e">
        <f ca="1"/>
        <v>#N/A</v>
      </c>
      <c r="Q1015" s="33" t="e">
        <f ca="1"/>
        <v>#N/A</v>
      </c>
      <c r="R1015" s="33" t="e">
        <f ca="1"/>
        <v>#N/A</v>
      </c>
    </row>
    <row r="1016" spans="1:18" x14ac:dyDescent="0.2">
      <c r="A1016" s="2">
        <v>1015</v>
      </c>
      <c r="B1016" s="65">
        <v>45734</v>
      </c>
      <c r="C1016" s="70">
        <v>0.50561342592592595</v>
      </c>
      <c r="D1016" s="66" t="s">
        <v>98</v>
      </c>
      <c r="G1016" s="66" t="s">
        <v>124</v>
      </c>
      <c r="H1016" s="66" t="s">
        <v>100</v>
      </c>
      <c r="I1016" s="33" t="str">
        <f ca="1"/>
        <v>25,09</v>
      </c>
      <c r="J1016" s="2">
        <v>1016</v>
      </c>
      <c r="K1016" s="2" t="str">
        <v>No Match</v>
      </c>
      <c r="M1016" s="33">
        <f ca="1"/>
        <v>25.09</v>
      </c>
      <c r="N1016" s="2" t="e">
        <f ca="1"/>
        <v>#N/A</v>
      </c>
      <c r="O1016" s="2" t="e">
        <f ca="1"/>
        <v>#N/A</v>
      </c>
      <c r="P1016" s="2" t="e">
        <f ca="1"/>
        <v>#N/A</v>
      </c>
      <c r="Q1016" s="33" t="e">
        <f ca="1"/>
        <v>#N/A</v>
      </c>
      <c r="R1016" s="33" t="e">
        <f ca="1"/>
        <v>#N/A</v>
      </c>
    </row>
    <row r="1017" spans="1:18" x14ac:dyDescent="0.2">
      <c r="A1017" s="2">
        <v>1016</v>
      </c>
      <c r="B1017" s="65">
        <v>45734</v>
      </c>
      <c r="C1017" s="70">
        <v>0.50616898148148148</v>
      </c>
      <c r="D1017" s="66" t="s">
        <v>98</v>
      </c>
      <c r="G1017" s="66" t="s">
        <v>104</v>
      </c>
      <c r="H1017" s="66" t="s">
        <v>100</v>
      </c>
      <c r="I1017" s="33" t="str">
        <f ca="1"/>
        <v>25,40</v>
      </c>
      <c r="J1017" s="2">
        <v>1017</v>
      </c>
      <c r="K1017" s="2" t="str">
        <v>No Match</v>
      </c>
      <c r="M1017" s="33">
        <f ca="1"/>
        <v>25.4</v>
      </c>
      <c r="N1017" s="2" t="e">
        <f ca="1"/>
        <v>#N/A</v>
      </c>
      <c r="O1017" s="2" t="e">
        <f ca="1"/>
        <v>#N/A</v>
      </c>
      <c r="P1017" s="2" t="e">
        <f ca="1"/>
        <v>#N/A</v>
      </c>
      <c r="Q1017" s="33" t="e">
        <f ca="1"/>
        <v>#N/A</v>
      </c>
      <c r="R1017" s="33" t="e">
        <f ca="1"/>
        <v>#N/A</v>
      </c>
    </row>
    <row r="1018" spans="1:18" x14ac:dyDescent="0.2">
      <c r="A1018" s="2">
        <v>1017</v>
      </c>
      <c r="B1018" s="65">
        <v>45734</v>
      </c>
      <c r="C1018" s="70">
        <v>0.50854166666666667</v>
      </c>
      <c r="D1018" s="66" t="s">
        <v>98</v>
      </c>
      <c r="G1018" s="66" t="s">
        <v>155</v>
      </c>
      <c r="H1018" s="66" t="s">
        <v>100</v>
      </c>
      <c r="I1018" s="33" t="str">
        <f ca="1"/>
        <v>25,49</v>
      </c>
      <c r="J1018" s="2">
        <v>1018</v>
      </c>
      <c r="K1018" s="2" t="str">
        <v>No Match</v>
      </c>
      <c r="M1018" s="33">
        <f ca="1"/>
        <v>25.49</v>
      </c>
      <c r="N1018" s="2" t="e">
        <f ca="1"/>
        <v>#N/A</v>
      </c>
      <c r="O1018" s="2" t="e">
        <f ca="1"/>
        <v>#N/A</v>
      </c>
      <c r="P1018" s="2" t="e">
        <f ca="1"/>
        <v>#N/A</v>
      </c>
      <c r="Q1018" s="33" t="e">
        <f ca="1"/>
        <v>#N/A</v>
      </c>
      <c r="R1018" s="33" t="e">
        <f ca="1"/>
        <v>#N/A</v>
      </c>
    </row>
    <row r="1019" spans="1:18" x14ac:dyDescent="0.2">
      <c r="A1019" s="2">
        <v>1018</v>
      </c>
      <c r="B1019" s="65">
        <v>45734</v>
      </c>
      <c r="C1019" s="70">
        <v>0.51034722222222217</v>
      </c>
      <c r="D1019" s="66" t="s">
        <v>98</v>
      </c>
      <c r="G1019" s="66" t="s">
        <v>125</v>
      </c>
      <c r="H1019" s="66" t="s">
        <v>100</v>
      </c>
      <c r="I1019" s="33" t="str">
        <f ca="1"/>
        <v>25,20</v>
      </c>
      <c r="J1019" s="2">
        <v>1019</v>
      </c>
      <c r="K1019" s="2" t="str">
        <v>No Match</v>
      </c>
      <c r="M1019" s="33">
        <f ca="1"/>
        <v>25.2</v>
      </c>
      <c r="N1019" s="2" t="e">
        <f ca="1"/>
        <v>#N/A</v>
      </c>
      <c r="O1019" s="2" t="e">
        <f ca="1"/>
        <v>#N/A</v>
      </c>
      <c r="P1019" s="2" t="e">
        <f ca="1"/>
        <v>#N/A</v>
      </c>
      <c r="Q1019" s="33" t="e">
        <f ca="1"/>
        <v>#N/A</v>
      </c>
      <c r="R1019" s="33" t="e">
        <f ca="1"/>
        <v>#N/A</v>
      </c>
    </row>
    <row r="1020" spans="1:18" x14ac:dyDescent="0.2">
      <c r="A1020" s="2">
        <v>1019</v>
      </c>
      <c r="B1020" s="65">
        <v>45734</v>
      </c>
      <c r="C1020" s="70">
        <v>0.51248842592592592</v>
      </c>
      <c r="D1020" s="66" t="s">
        <v>98</v>
      </c>
      <c r="G1020" s="66" t="s">
        <v>111</v>
      </c>
      <c r="H1020" s="66" t="s">
        <v>100</v>
      </c>
      <c r="I1020" s="33" t="str">
        <f ca="1"/>
        <v>25,44</v>
      </c>
      <c r="J1020" s="2">
        <v>1020</v>
      </c>
      <c r="K1020" s="2" t="str">
        <v>No Match</v>
      </c>
      <c r="M1020" s="33">
        <f ca="1"/>
        <v>25.44</v>
      </c>
      <c r="N1020" s="2" t="e">
        <f ca="1"/>
        <v>#N/A</v>
      </c>
      <c r="O1020" s="2" t="e">
        <f ca="1"/>
        <v>#N/A</v>
      </c>
      <c r="P1020" s="2" t="e">
        <f ca="1"/>
        <v>#N/A</v>
      </c>
      <c r="Q1020" s="33" t="e">
        <f ca="1"/>
        <v>#N/A</v>
      </c>
      <c r="R1020" s="33" t="e">
        <f ca="1"/>
        <v>#N/A</v>
      </c>
    </row>
    <row r="1021" spans="1:18" x14ac:dyDescent="0.2">
      <c r="A1021" s="2">
        <v>1020</v>
      </c>
      <c r="B1021" s="65">
        <v>45734</v>
      </c>
      <c r="C1021" s="70">
        <v>0.5131134259259259</v>
      </c>
      <c r="D1021" s="66" t="s">
        <v>98</v>
      </c>
      <c r="G1021" s="66" t="s">
        <v>124</v>
      </c>
      <c r="H1021" s="66" t="s">
        <v>100</v>
      </c>
      <c r="I1021" s="33" t="str">
        <f ca="1"/>
        <v>25,09</v>
      </c>
      <c r="J1021" s="2">
        <v>1021</v>
      </c>
      <c r="K1021" s="2" t="str">
        <v>No Match</v>
      </c>
      <c r="M1021" s="33">
        <f ca="1"/>
        <v>25.09</v>
      </c>
      <c r="N1021" s="2">
        <f ca="1"/>
        <v>25</v>
      </c>
      <c r="O1021" s="2">
        <f ca="1"/>
        <v>24.625</v>
      </c>
      <c r="P1021" s="2">
        <f ca="1"/>
        <v>25.375</v>
      </c>
      <c r="Q1021" s="33">
        <f ca="1"/>
        <v>25.361568627450978</v>
      </c>
      <c r="R1021" s="33">
        <f ca="1"/>
        <v>25.326000000000001</v>
      </c>
    </row>
    <row r="1022" spans="1:18" x14ac:dyDescent="0.2">
      <c r="A1022" s="2">
        <v>1021</v>
      </c>
      <c r="B1022" s="65">
        <v>45734</v>
      </c>
      <c r="C1022" s="70">
        <v>0.51613425925925926</v>
      </c>
      <c r="D1022" s="66" t="s">
        <v>98</v>
      </c>
      <c r="G1022" s="66" t="s">
        <v>131</v>
      </c>
      <c r="H1022" s="66" t="s">
        <v>100</v>
      </c>
      <c r="I1022" s="33" t="str">
        <f ca="1"/>
        <v>25,24</v>
      </c>
      <c r="J1022" s="2">
        <v>1022</v>
      </c>
      <c r="K1022" s="2" t="str">
        <v>No Match</v>
      </c>
      <c r="M1022" s="33">
        <f ca="1"/>
        <v>25.24</v>
      </c>
      <c r="N1022" s="2" t="e">
        <f ca="1"/>
        <v>#N/A</v>
      </c>
      <c r="O1022" s="2" t="e">
        <f ca="1"/>
        <v>#N/A</v>
      </c>
      <c r="P1022" s="2" t="e">
        <f ca="1"/>
        <v>#N/A</v>
      </c>
      <c r="Q1022" s="33" t="e">
        <f ca="1"/>
        <v>#N/A</v>
      </c>
      <c r="R1022" s="33" t="e">
        <f ca="1"/>
        <v>#N/A</v>
      </c>
    </row>
    <row r="1023" spans="1:18" x14ac:dyDescent="0.2">
      <c r="A1023" s="2">
        <v>1022</v>
      </c>
      <c r="B1023" s="65">
        <v>45734</v>
      </c>
      <c r="C1023" s="70">
        <v>0.51722222222222225</v>
      </c>
      <c r="D1023" s="66" t="s">
        <v>98</v>
      </c>
      <c r="G1023" s="66" t="s">
        <v>116</v>
      </c>
      <c r="H1023" s="66" t="s">
        <v>100</v>
      </c>
      <c r="I1023" s="33" t="str">
        <f ca="1"/>
        <v>25,33</v>
      </c>
      <c r="J1023" s="2">
        <v>1023</v>
      </c>
      <c r="K1023" s="2" t="str">
        <v>No Match</v>
      </c>
      <c r="M1023" s="33">
        <f ca="1"/>
        <v>25.33</v>
      </c>
      <c r="N1023" s="2" t="e">
        <f ca="1"/>
        <v>#N/A</v>
      </c>
      <c r="O1023" s="2" t="e">
        <f ca="1"/>
        <v>#N/A</v>
      </c>
      <c r="P1023" s="2" t="e">
        <f ca="1"/>
        <v>#N/A</v>
      </c>
      <c r="Q1023" s="33" t="e">
        <f ca="1"/>
        <v>#N/A</v>
      </c>
      <c r="R1023" s="33" t="e">
        <f ca="1"/>
        <v>#N/A</v>
      </c>
    </row>
    <row r="1024" spans="1:18" x14ac:dyDescent="0.2">
      <c r="A1024" s="2">
        <v>1023</v>
      </c>
      <c r="B1024" s="65">
        <v>45734</v>
      </c>
      <c r="C1024" s="70">
        <v>0.51875000000000004</v>
      </c>
      <c r="D1024" s="66" t="s">
        <v>98</v>
      </c>
      <c r="G1024" s="66" t="s">
        <v>124</v>
      </c>
      <c r="H1024" s="66" t="s">
        <v>100</v>
      </c>
      <c r="I1024" s="33" t="str">
        <f ca="1"/>
        <v>25,09</v>
      </c>
      <c r="J1024" s="2">
        <v>1024</v>
      </c>
      <c r="K1024" s="2" t="str">
        <v>No Match</v>
      </c>
      <c r="M1024" s="33">
        <f ca="1"/>
        <v>25.09</v>
      </c>
      <c r="N1024" s="2" t="e">
        <f ca="1"/>
        <v>#N/A</v>
      </c>
      <c r="O1024" s="2" t="e">
        <f ca="1"/>
        <v>#N/A</v>
      </c>
      <c r="P1024" s="2" t="e">
        <f ca="1"/>
        <v>#N/A</v>
      </c>
      <c r="Q1024" s="33" t="e">
        <f ca="1"/>
        <v>#N/A</v>
      </c>
      <c r="R1024" s="33" t="e">
        <f ca="1"/>
        <v>#N/A</v>
      </c>
    </row>
    <row r="1025" spans="1:18" x14ac:dyDescent="0.2">
      <c r="A1025" s="2">
        <v>1024</v>
      </c>
      <c r="B1025" s="65">
        <v>45734</v>
      </c>
      <c r="C1025" s="70">
        <v>0.51953703703703702</v>
      </c>
      <c r="D1025" s="66" t="s">
        <v>98</v>
      </c>
      <c r="G1025" s="66" t="s">
        <v>160</v>
      </c>
      <c r="H1025" s="66" t="s">
        <v>100</v>
      </c>
      <c r="I1025" s="33" t="str">
        <f ca="1"/>
        <v>25,14</v>
      </c>
      <c r="J1025" s="2">
        <v>1025</v>
      </c>
      <c r="K1025" s="2" t="str">
        <v>No Match</v>
      </c>
      <c r="M1025" s="33">
        <f ca="1"/>
        <v>25.14</v>
      </c>
      <c r="N1025" s="2" t="e">
        <f ca="1"/>
        <v>#N/A</v>
      </c>
      <c r="O1025" s="2" t="e">
        <f ca="1"/>
        <v>#N/A</v>
      </c>
      <c r="P1025" s="2" t="e">
        <f ca="1"/>
        <v>#N/A</v>
      </c>
      <c r="Q1025" s="33" t="e">
        <f ca="1"/>
        <v>#N/A</v>
      </c>
      <c r="R1025" s="33" t="e">
        <f ca="1"/>
        <v>#N/A</v>
      </c>
    </row>
    <row r="1026" spans="1:18" x14ac:dyDescent="0.2">
      <c r="A1026" s="2">
        <v>1025</v>
      </c>
      <c r="B1026" s="65">
        <v>45734</v>
      </c>
      <c r="C1026" s="70">
        <v>0.52266203703703706</v>
      </c>
      <c r="D1026" s="66" t="s">
        <v>98</v>
      </c>
      <c r="G1026" s="66" t="s">
        <v>128</v>
      </c>
      <c r="H1026" s="66" t="s">
        <v>100</v>
      </c>
      <c r="I1026" s="33" t="str">
        <f ca="1"/>
        <v>25,23</v>
      </c>
      <c r="J1026" s="2">
        <v>1026</v>
      </c>
      <c r="K1026" s="2" t="str">
        <v>No Match</v>
      </c>
      <c r="M1026" s="33">
        <f ca="1"/>
        <v>25.23</v>
      </c>
      <c r="N1026" s="2" t="e">
        <f ca="1"/>
        <v>#N/A</v>
      </c>
      <c r="O1026" s="2" t="e">
        <f ca="1"/>
        <v>#N/A</v>
      </c>
      <c r="P1026" s="2" t="e">
        <f ca="1"/>
        <v>#N/A</v>
      </c>
      <c r="Q1026" s="33" t="e">
        <f ca="1"/>
        <v>#N/A</v>
      </c>
      <c r="R1026" s="33" t="e">
        <f ca="1"/>
        <v>#N/A</v>
      </c>
    </row>
    <row r="1027" spans="1:18" x14ac:dyDescent="0.2">
      <c r="A1027" s="2">
        <v>1026</v>
      </c>
      <c r="B1027" s="65">
        <v>45734</v>
      </c>
      <c r="C1027" s="70">
        <v>0.52528935185185188</v>
      </c>
      <c r="D1027" s="66" t="s">
        <v>98</v>
      </c>
      <c r="G1027" s="66" t="s">
        <v>161</v>
      </c>
      <c r="H1027" s="66" t="s">
        <v>100</v>
      </c>
      <c r="I1027" s="33" t="str">
        <f ca="1"/>
        <v>25,38</v>
      </c>
      <c r="J1027" s="2">
        <v>1027</v>
      </c>
      <c r="K1027" s="2" t="str">
        <v>No Match</v>
      </c>
      <c r="M1027" s="33">
        <f ca="1"/>
        <v>25.38</v>
      </c>
      <c r="N1027" s="2" t="e">
        <f ca="1"/>
        <v>#N/A</v>
      </c>
      <c r="O1027" s="2" t="e">
        <f ca="1"/>
        <v>#N/A</v>
      </c>
      <c r="P1027" s="2" t="e">
        <f ca="1"/>
        <v>#N/A</v>
      </c>
      <c r="Q1027" s="33" t="e">
        <f ca="1"/>
        <v>#N/A</v>
      </c>
      <c r="R1027" s="33" t="e">
        <f ca="1"/>
        <v>#N/A</v>
      </c>
    </row>
    <row r="1028" spans="1:18" x14ac:dyDescent="0.2">
      <c r="A1028" s="2">
        <v>1027</v>
      </c>
      <c r="B1028" s="65">
        <v>45734</v>
      </c>
      <c r="C1028" s="70">
        <v>0.53093749999999995</v>
      </c>
      <c r="D1028" s="66" t="s">
        <v>98</v>
      </c>
      <c r="G1028" s="66" t="s">
        <v>252</v>
      </c>
      <c r="H1028" s="66" t="s">
        <v>100</v>
      </c>
      <c r="I1028" s="33" t="str">
        <f ca="1"/>
        <v>26,39</v>
      </c>
      <c r="J1028" s="2">
        <v>1028</v>
      </c>
      <c r="K1028" s="2" t="str">
        <v>No Match</v>
      </c>
      <c r="M1028" s="33">
        <f ca="1"/>
        <v>26.39</v>
      </c>
      <c r="N1028" s="2" t="e">
        <f ca="1"/>
        <v>#N/A</v>
      </c>
      <c r="O1028" s="2" t="e">
        <f ca="1"/>
        <v>#N/A</v>
      </c>
      <c r="P1028" s="2" t="e">
        <f ca="1"/>
        <v>#N/A</v>
      </c>
      <c r="Q1028" s="33" t="e">
        <f ca="1"/>
        <v>#N/A</v>
      </c>
      <c r="R1028" s="33" t="e">
        <f ca="1"/>
        <v>#N/A</v>
      </c>
    </row>
    <row r="1029" spans="1:18" x14ac:dyDescent="0.2">
      <c r="A1029" s="2">
        <v>1028</v>
      </c>
      <c r="B1029" s="65">
        <v>45734</v>
      </c>
      <c r="C1029" s="70">
        <v>0.53097222222222218</v>
      </c>
      <c r="D1029" s="66" t="s">
        <v>98</v>
      </c>
      <c r="G1029" s="66" t="s">
        <v>146</v>
      </c>
      <c r="H1029" s="66" t="s">
        <v>100</v>
      </c>
      <c r="I1029" s="33" t="str">
        <f ca="1"/>
        <v>25,37</v>
      </c>
      <c r="J1029" s="2">
        <v>1029</v>
      </c>
      <c r="K1029" s="2" t="str">
        <v>No Match</v>
      </c>
      <c r="M1029" s="33">
        <f ca="1"/>
        <v>25.37</v>
      </c>
      <c r="N1029" s="2" t="e">
        <f ca="1"/>
        <v>#N/A</v>
      </c>
      <c r="O1029" s="2" t="e">
        <f ca="1"/>
        <v>#N/A</v>
      </c>
      <c r="P1029" s="2" t="e">
        <f ca="1"/>
        <v>#N/A</v>
      </c>
      <c r="Q1029" s="33" t="e">
        <f ca="1"/>
        <v>#N/A</v>
      </c>
      <c r="R1029" s="33" t="e">
        <f ca="1"/>
        <v>#N/A</v>
      </c>
    </row>
    <row r="1030" spans="1:18" x14ac:dyDescent="0.2">
      <c r="A1030" s="2">
        <v>1029</v>
      </c>
      <c r="B1030" s="65">
        <v>45734</v>
      </c>
      <c r="C1030" s="70">
        <v>0.53101851851851856</v>
      </c>
      <c r="D1030" s="66" t="s">
        <v>98</v>
      </c>
      <c r="G1030" s="66" t="s">
        <v>131</v>
      </c>
      <c r="H1030" s="66" t="s">
        <v>100</v>
      </c>
      <c r="I1030" s="33" t="str">
        <f ca="1"/>
        <v>25,24</v>
      </c>
      <c r="J1030" s="2">
        <v>1030</v>
      </c>
      <c r="K1030" s="2" t="str">
        <v>No Match</v>
      </c>
      <c r="M1030" s="33">
        <f ca="1"/>
        <v>25.24</v>
      </c>
      <c r="N1030" s="2" t="e">
        <f ca="1"/>
        <v>#N/A</v>
      </c>
      <c r="O1030" s="2" t="e">
        <f ca="1"/>
        <v>#N/A</v>
      </c>
      <c r="P1030" s="2" t="e">
        <f ca="1"/>
        <v>#N/A</v>
      </c>
      <c r="Q1030" s="33" t="e">
        <f ca="1"/>
        <v>#N/A</v>
      </c>
      <c r="R1030" s="33" t="e">
        <f ca="1"/>
        <v>#N/A</v>
      </c>
    </row>
    <row r="1031" spans="1:18" x14ac:dyDescent="0.2">
      <c r="A1031" s="2">
        <v>1030</v>
      </c>
      <c r="B1031" s="65">
        <v>45734</v>
      </c>
      <c r="C1031" s="70">
        <v>0.53107638888888886</v>
      </c>
      <c r="D1031" s="66" t="s">
        <v>98</v>
      </c>
      <c r="G1031" s="66" t="s">
        <v>252</v>
      </c>
      <c r="H1031" s="66" t="s">
        <v>100</v>
      </c>
      <c r="I1031" s="33" t="str">
        <f ca="1"/>
        <v>26,39</v>
      </c>
      <c r="J1031" s="2">
        <v>1031</v>
      </c>
      <c r="K1031" s="2" t="str">
        <v>No Match</v>
      </c>
      <c r="M1031" s="33">
        <f ca="1"/>
        <v>26.39</v>
      </c>
      <c r="N1031" s="2">
        <f ca="1"/>
        <v>25</v>
      </c>
      <c r="O1031" s="2">
        <f ca="1"/>
        <v>24.625</v>
      </c>
      <c r="P1031" s="2">
        <f ca="1"/>
        <v>25.375</v>
      </c>
      <c r="Q1031" s="33">
        <f ca="1"/>
        <v>25.362718446601942</v>
      </c>
      <c r="R1031" s="33">
        <f ca="1"/>
        <v>25.48</v>
      </c>
    </row>
    <row r="1032" spans="1:18" x14ac:dyDescent="0.2">
      <c r="A1032" s="2">
        <v>1031</v>
      </c>
      <c r="B1032" s="65">
        <v>45734</v>
      </c>
      <c r="C1032" s="70">
        <v>0.53111111111111109</v>
      </c>
      <c r="D1032" s="66" t="s">
        <v>98</v>
      </c>
      <c r="G1032" s="66" t="s">
        <v>128</v>
      </c>
      <c r="H1032" s="66" t="s">
        <v>100</v>
      </c>
      <c r="I1032" s="33" t="str">
        <f ca="1"/>
        <v>25,23</v>
      </c>
      <c r="J1032" s="2">
        <v>1032</v>
      </c>
      <c r="K1032" s="2" t="str">
        <v>No Match</v>
      </c>
      <c r="M1032" s="33">
        <f ca="1"/>
        <v>25.23</v>
      </c>
      <c r="N1032" s="2" t="e">
        <f ca="1"/>
        <v>#N/A</v>
      </c>
      <c r="O1032" s="2" t="e">
        <f ca="1"/>
        <v>#N/A</v>
      </c>
      <c r="P1032" s="2" t="e">
        <f ca="1"/>
        <v>#N/A</v>
      </c>
      <c r="Q1032" s="33" t="e">
        <f ca="1"/>
        <v>#N/A</v>
      </c>
      <c r="R1032" s="33" t="e">
        <f ca="1"/>
        <v>#N/A</v>
      </c>
    </row>
    <row r="1033" spans="1:18" x14ac:dyDescent="0.2">
      <c r="A1033" s="2">
        <v>1032</v>
      </c>
      <c r="B1033" s="65">
        <v>45734</v>
      </c>
      <c r="C1033" s="70">
        <v>0.5656944444444445</v>
      </c>
      <c r="D1033" s="66" t="s">
        <v>98</v>
      </c>
      <c r="G1033" s="66" t="s">
        <v>191</v>
      </c>
      <c r="H1033" s="66" t="s">
        <v>100</v>
      </c>
      <c r="I1033" s="33" t="str">
        <f ca="1"/>
        <v>25,79</v>
      </c>
      <c r="J1033" s="2">
        <v>1033</v>
      </c>
      <c r="K1033" s="2" t="str">
        <v>No Match</v>
      </c>
      <c r="M1033" s="33">
        <f ca="1"/>
        <v>25.79</v>
      </c>
      <c r="N1033" s="2" t="e">
        <f ca="1"/>
        <v>#N/A</v>
      </c>
      <c r="O1033" s="2" t="e">
        <f ca="1"/>
        <v>#N/A</v>
      </c>
      <c r="P1033" s="2" t="e">
        <f ca="1"/>
        <v>#N/A</v>
      </c>
      <c r="Q1033" s="33" t="e">
        <f ca="1"/>
        <v>#N/A</v>
      </c>
      <c r="R1033" s="33" t="e">
        <f ca="1"/>
        <v>#N/A</v>
      </c>
    </row>
    <row r="1034" spans="1:18" x14ac:dyDescent="0.2">
      <c r="A1034" s="2">
        <v>1033</v>
      </c>
      <c r="B1034" s="65">
        <v>45734</v>
      </c>
      <c r="C1034" s="70">
        <v>0.56575231481481481</v>
      </c>
      <c r="D1034" s="66" t="s">
        <v>98</v>
      </c>
      <c r="G1034" s="66" t="s">
        <v>199</v>
      </c>
      <c r="H1034" s="66" t="s">
        <v>100</v>
      </c>
      <c r="I1034" s="33" t="str">
        <f ca="1"/>
        <v>25,78</v>
      </c>
      <c r="J1034" s="2">
        <v>1034</v>
      </c>
      <c r="K1034" s="2" t="str">
        <v>No Match</v>
      </c>
      <c r="M1034" s="33">
        <f ca="1"/>
        <v>25.78</v>
      </c>
      <c r="N1034" s="2" t="e">
        <f ca="1"/>
        <v>#N/A</v>
      </c>
      <c r="O1034" s="2" t="e">
        <f ca="1"/>
        <v>#N/A</v>
      </c>
      <c r="P1034" s="2" t="e">
        <f ca="1"/>
        <v>#N/A</v>
      </c>
      <c r="Q1034" s="33" t="e">
        <f ca="1"/>
        <v>#N/A</v>
      </c>
      <c r="R1034" s="33" t="e">
        <f ca="1"/>
        <v>#N/A</v>
      </c>
    </row>
    <row r="1035" spans="1:18" x14ac:dyDescent="0.2">
      <c r="A1035" s="2">
        <v>1034</v>
      </c>
      <c r="B1035" s="65">
        <v>45734</v>
      </c>
      <c r="C1035" s="70">
        <v>0.56579861111111107</v>
      </c>
      <c r="D1035" s="66" t="s">
        <v>98</v>
      </c>
      <c r="G1035" s="66" t="s">
        <v>157</v>
      </c>
      <c r="H1035" s="66" t="s">
        <v>100</v>
      </c>
      <c r="I1035" s="33" t="str">
        <f ca="1"/>
        <v>25,72</v>
      </c>
      <c r="J1035" s="2">
        <v>1035</v>
      </c>
      <c r="K1035" s="2" t="str">
        <v>No Match</v>
      </c>
      <c r="M1035" s="33">
        <f ca="1"/>
        <v>25.72</v>
      </c>
      <c r="N1035" s="2" t="e">
        <f ca="1"/>
        <v>#N/A</v>
      </c>
      <c r="O1035" s="2" t="e">
        <f ca="1"/>
        <v>#N/A</v>
      </c>
      <c r="P1035" s="2" t="e">
        <f ca="1"/>
        <v>#N/A</v>
      </c>
      <c r="Q1035" s="33" t="e">
        <f ca="1"/>
        <v>#N/A</v>
      </c>
      <c r="R1035" s="33" t="e">
        <f ca="1"/>
        <v>#N/A</v>
      </c>
    </row>
    <row r="1036" spans="1:18" x14ac:dyDescent="0.2">
      <c r="A1036" s="2">
        <v>1035</v>
      </c>
      <c r="B1036" s="65">
        <v>45734</v>
      </c>
      <c r="C1036" s="70">
        <v>0.56601851851851848</v>
      </c>
      <c r="D1036" s="66" t="s">
        <v>98</v>
      </c>
      <c r="G1036" s="66" t="s">
        <v>101</v>
      </c>
      <c r="H1036" s="66" t="s">
        <v>100</v>
      </c>
      <c r="I1036" s="33" t="str">
        <f ca="1"/>
        <v>25,64</v>
      </c>
      <c r="J1036" s="2">
        <v>1036</v>
      </c>
      <c r="K1036" s="2" t="str">
        <v>No Match</v>
      </c>
      <c r="M1036" s="33">
        <f ca="1"/>
        <v>25.64</v>
      </c>
      <c r="N1036" s="2" t="e">
        <f ca="1"/>
        <v>#N/A</v>
      </c>
      <c r="O1036" s="2" t="e">
        <f ca="1"/>
        <v>#N/A</v>
      </c>
      <c r="P1036" s="2" t="e">
        <f ca="1"/>
        <v>#N/A</v>
      </c>
      <c r="Q1036" s="33" t="e">
        <f ca="1"/>
        <v>#N/A</v>
      </c>
      <c r="R1036" s="33" t="e">
        <f ca="1"/>
        <v>#N/A</v>
      </c>
    </row>
    <row r="1037" spans="1:18" x14ac:dyDescent="0.2">
      <c r="A1037" s="2">
        <v>1036</v>
      </c>
      <c r="B1037" s="65">
        <v>45734</v>
      </c>
      <c r="C1037" s="70">
        <v>0.56606481481481485</v>
      </c>
      <c r="D1037" s="66" t="s">
        <v>98</v>
      </c>
      <c r="G1037" s="66" t="s">
        <v>174</v>
      </c>
      <c r="H1037" s="66" t="s">
        <v>100</v>
      </c>
      <c r="I1037" s="33" t="str">
        <f ca="1"/>
        <v>25,65</v>
      </c>
      <c r="J1037" s="2">
        <v>1037</v>
      </c>
      <c r="K1037" s="2" t="str">
        <v>No Match</v>
      </c>
      <c r="M1037" s="33">
        <f ca="1"/>
        <v>25.65</v>
      </c>
      <c r="N1037" s="2" t="e">
        <f ca="1"/>
        <v>#N/A</v>
      </c>
      <c r="O1037" s="2" t="e">
        <f ca="1"/>
        <v>#N/A</v>
      </c>
      <c r="P1037" s="2" t="e">
        <f ca="1"/>
        <v>#N/A</v>
      </c>
      <c r="Q1037" s="33" t="e">
        <f ca="1"/>
        <v>#N/A</v>
      </c>
      <c r="R1037" s="33" t="e">
        <f ca="1"/>
        <v>#N/A</v>
      </c>
    </row>
    <row r="1038" spans="1:18" x14ac:dyDescent="0.2">
      <c r="A1038" s="2">
        <v>1037</v>
      </c>
      <c r="B1038" s="65">
        <v>45734</v>
      </c>
      <c r="C1038" s="70">
        <v>0.56611111111111112</v>
      </c>
      <c r="D1038" s="66" t="s">
        <v>98</v>
      </c>
      <c r="G1038" s="66" t="s">
        <v>112</v>
      </c>
      <c r="H1038" s="66" t="s">
        <v>100</v>
      </c>
      <c r="I1038" s="33" t="str">
        <f ca="1"/>
        <v>25,36</v>
      </c>
      <c r="J1038" s="2">
        <v>1038</v>
      </c>
      <c r="K1038" s="2" t="str">
        <v>No Match</v>
      </c>
      <c r="M1038" s="33">
        <f ca="1"/>
        <v>25.36</v>
      </c>
      <c r="N1038" s="2" t="e">
        <f ca="1"/>
        <v>#N/A</v>
      </c>
      <c r="O1038" s="2" t="e">
        <f ca="1"/>
        <v>#N/A</v>
      </c>
      <c r="P1038" s="2" t="e">
        <f ca="1"/>
        <v>#N/A</v>
      </c>
      <c r="Q1038" s="33" t="e">
        <f ca="1"/>
        <v>#N/A</v>
      </c>
      <c r="R1038" s="33" t="e">
        <f ca="1"/>
        <v>#N/A</v>
      </c>
    </row>
    <row r="1039" spans="1:18" x14ac:dyDescent="0.2">
      <c r="A1039" s="2">
        <v>1038</v>
      </c>
      <c r="B1039" s="65">
        <v>45734</v>
      </c>
      <c r="C1039" s="70">
        <v>0.56618055555555558</v>
      </c>
      <c r="D1039" s="66" t="s">
        <v>98</v>
      </c>
      <c r="G1039" s="66" t="s">
        <v>144</v>
      </c>
      <c r="H1039" s="66" t="s">
        <v>100</v>
      </c>
      <c r="I1039" s="33" t="str">
        <f ca="1"/>
        <v>25,63</v>
      </c>
      <c r="J1039" s="2">
        <v>1039</v>
      </c>
      <c r="K1039" s="2" t="str">
        <v>No Match</v>
      </c>
      <c r="M1039" s="33">
        <f ca="1"/>
        <v>25.63</v>
      </c>
      <c r="N1039" s="2" t="e">
        <f ca="1"/>
        <v>#N/A</v>
      </c>
      <c r="O1039" s="2" t="e">
        <f ca="1"/>
        <v>#N/A</v>
      </c>
      <c r="P1039" s="2" t="e">
        <f ca="1"/>
        <v>#N/A</v>
      </c>
      <c r="Q1039" s="33" t="e">
        <f ca="1"/>
        <v>#N/A</v>
      </c>
      <c r="R1039" s="33" t="e">
        <f ca="1"/>
        <v>#N/A</v>
      </c>
    </row>
    <row r="1040" spans="1:18" x14ac:dyDescent="0.2">
      <c r="A1040" s="2">
        <v>1039</v>
      </c>
      <c r="B1040" s="65">
        <v>45734</v>
      </c>
      <c r="C1040" s="70">
        <v>0.56623842592592588</v>
      </c>
      <c r="D1040" s="66" t="s">
        <v>98</v>
      </c>
      <c r="G1040" s="66" t="s">
        <v>119</v>
      </c>
      <c r="H1040" s="66" t="s">
        <v>100</v>
      </c>
      <c r="I1040" s="33" t="str">
        <f ca="1"/>
        <v>25,56</v>
      </c>
      <c r="J1040" s="2">
        <v>1040</v>
      </c>
      <c r="K1040" s="2" t="str">
        <v>No Match</v>
      </c>
      <c r="M1040" s="33">
        <f ca="1"/>
        <v>25.56</v>
      </c>
      <c r="N1040" s="2" t="e">
        <f ca="1"/>
        <v>#N/A</v>
      </c>
      <c r="O1040" s="2" t="e">
        <f ca="1"/>
        <v>#N/A</v>
      </c>
      <c r="P1040" s="2" t="e">
        <f ca="1"/>
        <v>#N/A</v>
      </c>
      <c r="Q1040" s="33" t="e">
        <f ca="1"/>
        <v>#N/A</v>
      </c>
      <c r="R1040" s="33" t="e">
        <f ca="1"/>
        <v>#N/A</v>
      </c>
    </row>
    <row r="1041" spans="1:18" x14ac:dyDescent="0.2">
      <c r="A1041" s="2">
        <v>1040</v>
      </c>
      <c r="B1041" s="65">
        <v>45734</v>
      </c>
      <c r="C1041" s="70">
        <v>0.5662962962962963</v>
      </c>
      <c r="D1041" s="66" t="s">
        <v>98</v>
      </c>
      <c r="G1041" s="66" t="s">
        <v>174</v>
      </c>
      <c r="H1041" s="66" t="s">
        <v>100</v>
      </c>
      <c r="I1041" s="33" t="str">
        <f ca="1"/>
        <v>25,65</v>
      </c>
      <c r="J1041" s="2">
        <v>1041</v>
      </c>
      <c r="K1041" s="2" t="str">
        <v>No Match</v>
      </c>
      <c r="M1041" s="33">
        <f ca="1"/>
        <v>25.65</v>
      </c>
      <c r="N1041" s="2">
        <f ca="1"/>
        <v>25</v>
      </c>
      <c r="O1041" s="2">
        <f ca="1"/>
        <v>24.625</v>
      </c>
      <c r="P1041" s="2">
        <f ca="1"/>
        <v>25.375</v>
      </c>
      <c r="Q1041" s="33">
        <f ca="1"/>
        <v>25.365009615384622</v>
      </c>
      <c r="R1041" s="33">
        <f ca="1"/>
        <v>25.600999999999999</v>
      </c>
    </row>
    <row r="1042" spans="1:18" x14ac:dyDescent="0.2">
      <c r="A1042" s="2">
        <v>1041</v>
      </c>
      <c r="B1042" s="65">
        <v>45734</v>
      </c>
      <c r="C1042" s="70">
        <v>0.56685185185185183</v>
      </c>
      <c r="D1042" s="66" t="s">
        <v>98</v>
      </c>
      <c r="G1042" s="66" t="s">
        <v>135</v>
      </c>
      <c r="H1042" s="66" t="s">
        <v>100</v>
      </c>
      <c r="I1042" s="33" t="str">
        <f ca="1"/>
        <v>25,15</v>
      </c>
      <c r="J1042" s="2">
        <v>1042</v>
      </c>
      <c r="K1042" s="2" t="str">
        <v>No Match</v>
      </c>
      <c r="M1042" s="33">
        <f ca="1"/>
        <v>25.15</v>
      </c>
      <c r="N1042" s="2" t="e">
        <f ca="1"/>
        <v>#N/A</v>
      </c>
      <c r="O1042" s="2" t="e">
        <f ca="1"/>
        <v>#N/A</v>
      </c>
      <c r="P1042" s="2" t="e">
        <f ca="1"/>
        <v>#N/A</v>
      </c>
      <c r="Q1042" s="33" t="e">
        <f ca="1"/>
        <v>#N/A</v>
      </c>
      <c r="R1042" s="33" t="e">
        <f ca="1"/>
        <v>#N/A</v>
      </c>
    </row>
    <row r="1043" spans="1:18" x14ac:dyDescent="0.2">
      <c r="A1043" s="2">
        <v>1042</v>
      </c>
      <c r="B1043" s="65">
        <v>45734</v>
      </c>
      <c r="C1043" s="70">
        <v>0.56895833333333334</v>
      </c>
      <c r="D1043" s="66" t="s">
        <v>98</v>
      </c>
      <c r="G1043" s="66" t="s">
        <v>127</v>
      </c>
      <c r="H1043" s="66" t="s">
        <v>100</v>
      </c>
      <c r="I1043" s="33" t="str">
        <f ca="1"/>
        <v>25,28</v>
      </c>
      <c r="J1043" s="2">
        <v>1043</v>
      </c>
      <c r="K1043" s="2" t="str">
        <v>No Match</v>
      </c>
      <c r="M1043" s="33">
        <f ca="1"/>
        <v>25.28</v>
      </c>
      <c r="N1043" s="2" t="e">
        <f ca="1"/>
        <v>#N/A</v>
      </c>
      <c r="O1043" s="2" t="e">
        <f ca="1"/>
        <v>#N/A</v>
      </c>
      <c r="P1043" s="2" t="e">
        <f ca="1"/>
        <v>#N/A</v>
      </c>
      <c r="Q1043" s="33" t="e">
        <f ca="1"/>
        <v>#N/A</v>
      </c>
      <c r="R1043" s="33" t="e">
        <f ca="1"/>
        <v>#N/A</v>
      </c>
    </row>
    <row r="1044" spans="1:18" x14ac:dyDescent="0.2">
      <c r="A1044" s="2">
        <v>1043</v>
      </c>
      <c r="B1044" s="65">
        <v>45734</v>
      </c>
      <c r="C1044" s="70">
        <v>0.57004629629629633</v>
      </c>
      <c r="D1044" s="66" t="s">
        <v>98</v>
      </c>
      <c r="G1044" s="66" t="s">
        <v>141</v>
      </c>
      <c r="H1044" s="66" t="s">
        <v>100</v>
      </c>
      <c r="I1044" s="33" t="str">
        <f ca="1"/>
        <v>25,50</v>
      </c>
      <c r="J1044" s="2">
        <v>1044</v>
      </c>
      <c r="K1044" s="2" t="str">
        <v>No Match</v>
      </c>
      <c r="M1044" s="33">
        <f ca="1"/>
        <v>25.5</v>
      </c>
      <c r="N1044" s="2" t="e">
        <f ca="1"/>
        <v>#N/A</v>
      </c>
      <c r="O1044" s="2" t="e">
        <f ca="1"/>
        <v>#N/A</v>
      </c>
      <c r="P1044" s="2" t="e">
        <f ca="1"/>
        <v>#N/A</v>
      </c>
      <c r="Q1044" s="33" t="e">
        <f ca="1"/>
        <v>#N/A</v>
      </c>
      <c r="R1044" s="33" t="e">
        <f ca="1"/>
        <v>#N/A</v>
      </c>
    </row>
    <row r="1045" spans="1:18" x14ac:dyDescent="0.2">
      <c r="A1045" s="2">
        <v>1044</v>
      </c>
      <c r="B1045" s="65">
        <v>45734</v>
      </c>
      <c r="C1045" s="70">
        <v>0.57125000000000004</v>
      </c>
      <c r="D1045" s="66" t="s">
        <v>98</v>
      </c>
      <c r="G1045" s="66" t="s">
        <v>163</v>
      </c>
      <c r="H1045" s="66" t="s">
        <v>100</v>
      </c>
      <c r="I1045" s="33" t="str">
        <f ca="1"/>
        <v>25,47</v>
      </c>
      <c r="J1045" s="2">
        <v>1045</v>
      </c>
      <c r="K1045" s="2" t="str">
        <v>No Match</v>
      </c>
      <c r="M1045" s="33">
        <f ca="1"/>
        <v>25.47</v>
      </c>
      <c r="N1045" s="2" t="e">
        <f ca="1"/>
        <v>#N/A</v>
      </c>
      <c r="O1045" s="2" t="e">
        <f ca="1"/>
        <v>#N/A</v>
      </c>
      <c r="P1045" s="2" t="e">
        <f ca="1"/>
        <v>#N/A</v>
      </c>
      <c r="Q1045" s="33" t="e">
        <f ca="1"/>
        <v>#N/A</v>
      </c>
      <c r="R1045" s="33" t="e">
        <f ca="1"/>
        <v>#N/A</v>
      </c>
    </row>
    <row r="1046" spans="1:18" x14ac:dyDescent="0.2">
      <c r="A1046" s="2">
        <v>1045</v>
      </c>
      <c r="B1046" s="65">
        <v>45734</v>
      </c>
      <c r="C1046" s="70">
        <v>0.57237268518518514</v>
      </c>
      <c r="D1046" s="66" t="s">
        <v>98</v>
      </c>
      <c r="G1046" s="66" t="s">
        <v>198</v>
      </c>
      <c r="H1046" s="66" t="s">
        <v>100</v>
      </c>
      <c r="I1046" s="33" t="str">
        <f ca="1"/>
        <v>25,45</v>
      </c>
      <c r="J1046" s="2">
        <v>1046</v>
      </c>
      <c r="K1046" s="2" t="str">
        <v>No Match</v>
      </c>
      <c r="M1046" s="33">
        <f ca="1"/>
        <v>25.45</v>
      </c>
      <c r="N1046" s="2" t="e">
        <f ca="1"/>
        <v>#N/A</v>
      </c>
      <c r="O1046" s="2" t="e">
        <f ca="1"/>
        <v>#N/A</v>
      </c>
      <c r="P1046" s="2" t="e">
        <f ca="1"/>
        <v>#N/A</v>
      </c>
      <c r="Q1046" s="33" t="e">
        <f ca="1"/>
        <v>#N/A</v>
      </c>
      <c r="R1046" s="33" t="e">
        <f ca="1"/>
        <v>#N/A</v>
      </c>
    </row>
    <row r="1047" spans="1:18" x14ac:dyDescent="0.2">
      <c r="A1047" s="2">
        <v>1046</v>
      </c>
      <c r="B1047" s="65">
        <v>45734</v>
      </c>
      <c r="C1047" s="70">
        <v>0.57365740740740745</v>
      </c>
      <c r="D1047" s="66" t="s">
        <v>98</v>
      </c>
      <c r="G1047" s="66" t="s">
        <v>128</v>
      </c>
      <c r="H1047" s="66" t="s">
        <v>100</v>
      </c>
      <c r="I1047" s="33" t="str">
        <f ca="1"/>
        <v>25,23</v>
      </c>
      <c r="J1047" s="2">
        <v>1047</v>
      </c>
      <c r="K1047" s="2" t="str">
        <v>No Match</v>
      </c>
      <c r="M1047" s="33">
        <f ca="1"/>
        <v>25.23</v>
      </c>
      <c r="N1047" s="2" t="e">
        <f ca="1"/>
        <v>#N/A</v>
      </c>
      <c r="O1047" s="2" t="e">
        <f ca="1"/>
        <v>#N/A</v>
      </c>
      <c r="P1047" s="2" t="e">
        <f ca="1"/>
        <v>#N/A</v>
      </c>
      <c r="Q1047" s="33" t="e">
        <f ca="1"/>
        <v>#N/A</v>
      </c>
      <c r="R1047" s="33" t="e">
        <f ca="1"/>
        <v>#N/A</v>
      </c>
    </row>
    <row r="1048" spans="1:18" x14ac:dyDescent="0.2">
      <c r="A1048" s="2">
        <v>1047</v>
      </c>
      <c r="B1048" s="65">
        <v>45734</v>
      </c>
      <c r="C1048" s="70">
        <v>0.57439814814814816</v>
      </c>
      <c r="D1048" s="66" t="s">
        <v>98</v>
      </c>
      <c r="G1048" s="66" t="s">
        <v>111</v>
      </c>
      <c r="H1048" s="66" t="s">
        <v>100</v>
      </c>
      <c r="I1048" s="33" t="str">
        <f ca="1"/>
        <v>25,44</v>
      </c>
      <c r="J1048" s="2">
        <v>1048</v>
      </c>
      <c r="K1048" s="2" t="str">
        <v>No Match</v>
      </c>
      <c r="M1048" s="33">
        <f ca="1"/>
        <v>25.44</v>
      </c>
      <c r="N1048" s="2" t="e">
        <f ca="1"/>
        <v>#N/A</v>
      </c>
      <c r="O1048" s="2" t="e">
        <f ca="1"/>
        <v>#N/A</v>
      </c>
      <c r="P1048" s="2" t="e">
        <f ca="1"/>
        <v>#N/A</v>
      </c>
      <c r="Q1048" s="33" t="e">
        <f ca="1"/>
        <v>#N/A</v>
      </c>
      <c r="R1048" s="33" t="e">
        <f ca="1"/>
        <v>#N/A</v>
      </c>
    </row>
    <row r="1049" spans="1:18" x14ac:dyDescent="0.2">
      <c r="A1049" s="2">
        <v>1048</v>
      </c>
      <c r="B1049" s="65">
        <v>45734</v>
      </c>
      <c r="C1049" s="70">
        <v>0.57587962962962957</v>
      </c>
      <c r="D1049" s="66" t="s">
        <v>98</v>
      </c>
      <c r="G1049" s="66" t="s">
        <v>131</v>
      </c>
      <c r="H1049" s="66" t="s">
        <v>100</v>
      </c>
      <c r="I1049" s="33" t="str">
        <f ca="1"/>
        <v>25,24</v>
      </c>
      <c r="J1049" s="2">
        <v>1049</v>
      </c>
      <c r="K1049" s="2" t="str">
        <v>No Match</v>
      </c>
      <c r="M1049" s="33">
        <f ca="1"/>
        <v>25.24</v>
      </c>
      <c r="N1049" s="2" t="e">
        <f ca="1"/>
        <v>#N/A</v>
      </c>
      <c r="O1049" s="2" t="e">
        <f ca="1"/>
        <v>#N/A</v>
      </c>
      <c r="P1049" s="2" t="e">
        <f ca="1"/>
        <v>#N/A</v>
      </c>
      <c r="Q1049" s="33" t="e">
        <f ca="1"/>
        <v>#N/A</v>
      </c>
      <c r="R1049" s="33" t="e">
        <f ca="1"/>
        <v>#N/A</v>
      </c>
    </row>
    <row r="1050" spans="1:18" x14ac:dyDescent="0.2">
      <c r="A1050" s="2">
        <v>1049</v>
      </c>
      <c r="B1050" s="65">
        <v>45734</v>
      </c>
      <c r="C1050" s="70">
        <v>0.57741898148148152</v>
      </c>
      <c r="D1050" s="66" t="s">
        <v>98</v>
      </c>
      <c r="G1050" s="66" t="s">
        <v>145</v>
      </c>
      <c r="H1050" s="66" t="s">
        <v>100</v>
      </c>
      <c r="I1050" s="33" t="str">
        <f ca="1"/>
        <v>25,30</v>
      </c>
      <c r="J1050" s="2">
        <v>1050</v>
      </c>
      <c r="K1050" s="2" t="str">
        <v>No Match</v>
      </c>
      <c r="M1050" s="33">
        <f ca="1"/>
        <v>25.3</v>
      </c>
      <c r="N1050" s="2" t="e">
        <f ca="1"/>
        <v>#N/A</v>
      </c>
      <c r="O1050" s="2" t="e">
        <f ca="1"/>
        <v>#N/A</v>
      </c>
      <c r="P1050" s="2" t="e">
        <f ca="1"/>
        <v>#N/A</v>
      </c>
      <c r="Q1050" s="33" t="e">
        <f ca="1"/>
        <v>#N/A</v>
      </c>
      <c r="R1050" s="33" t="e">
        <f ca="1"/>
        <v>#N/A</v>
      </c>
    </row>
    <row r="1051" spans="1:18" x14ac:dyDescent="0.2">
      <c r="A1051" s="2">
        <v>1050</v>
      </c>
      <c r="B1051" s="65">
        <v>45734</v>
      </c>
      <c r="C1051" s="70">
        <v>0.58025462962962959</v>
      </c>
      <c r="D1051" s="66" t="s">
        <v>98</v>
      </c>
      <c r="G1051" s="66" t="s">
        <v>145</v>
      </c>
      <c r="H1051" s="66" t="s">
        <v>100</v>
      </c>
      <c r="I1051" s="33" t="str">
        <f ca="1"/>
        <v>25,30</v>
      </c>
      <c r="J1051" s="2">
        <v>1051</v>
      </c>
      <c r="K1051" s="2" t="str">
        <v>No Match</v>
      </c>
      <c r="M1051" s="33">
        <f ca="1"/>
        <v>25.3</v>
      </c>
      <c r="N1051" s="2">
        <f ca="1"/>
        <v>25</v>
      </c>
      <c r="O1051" s="2">
        <f ca="1"/>
        <v>24.625</v>
      </c>
      <c r="P1051" s="2">
        <f ca="1"/>
        <v>25.375</v>
      </c>
      <c r="Q1051" s="33">
        <f ca="1"/>
        <v>25.364733333333341</v>
      </c>
      <c r="R1051" s="33">
        <f ca="1"/>
        <v>25.336000000000006</v>
      </c>
    </row>
    <row r="1052" spans="1:18" x14ac:dyDescent="0.2">
      <c r="A1052" s="2">
        <v>1051</v>
      </c>
      <c r="B1052" s="65">
        <v>45734</v>
      </c>
      <c r="C1052" s="70">
        <v>0.58100694444444445</v>
      </c>
      <c r="D1052" s="66" t="s">
        <v>98</v>
      </c>
      <c r="G1052" s="66" t="s">
        <v>112</v>
      </c>
      <c r="H1052" s="66" t="s">
        <v>100</v>
      </c>
      <c r="I1052" s="33" t="str">
        <f ca="1"/>
        <v>25,36</v>
      </c>
      <c r="J1052" s="2">
        <v>1052</v>
      </c>
      <c r="K1052" s="2" t="str">
        <v>No Match</v>
      </c>
      <c r="M1052" s="33">
        <f ca="1"/>
        <v>25.36</v>
      </c>
      <c r="N1052" s="2" t="e">
        <f ca="1"/>
        <v>#N/A</v>
      </c>
      <c r="O1052" s="2" t="e">
        <f ca="1"/>
        <v>#N/A</v>
      </c>
      <c r="P1052" s="2" t="e">
        <f ca="1"/>
        <v>#N/A</v>
      </c>
      <c r="Q1052" s="33" t="e">
        <f ca="1"/>
        <v>#N/A</v>
      </c>
      <c r="R1052" s="33" t="e">
        <f ca="1"/>
        <v>#N/A</v>
      </c>
    </row>
    <row r="1053" spans="1:18" x14ac:dyDescent="0.2">
      <c r="A1053" s="2">
        <v>1052</v>
      </c>
      <c r="B1053" s="65">
        <v>45734</v>
      </c>
      <c r="C1053" s="70">
        <v>0.58248842592592598</v>
      </c>
      <c r="D1053" s="66" t="s">
        <v>98</v>
      </c>
      <c r="G1053" s="66" t="s">
        <v>200</v>
      </c>
      <c r="H1053" s="66" t="s">
        <v>100</v>
      </c>
      <c r="I1053" s="33" t="str">
        <f ca="1"/>
        <v>25,21</v>
      </c>
      <c r="J1053" s="2">
        <v>1053</v>
      </c>
      <c r="K1053" s="2" t="str">
        <v>No Match</v>
      </c>
      <c r="M1053" s="33">
        <f ca="1"/>
        <v>25.21</v>
      </c>
      <c r="N1053" s="2" t="e">
        <f ca="1"/>
        <v>#N/A</v>
      </c>
      <c r="O1053" s="2" t="e">
        <f ca="1"/>
        <v>#N/A</v>
      </c>
      <c r="P1053" s="2" t="e">
        <f ca="1"/>
        <v>#N/A</v>
      </c>
      <c r="Q1053" s="33" t="e">
        <f ca="1"/>
        <v>#N/A</v>
      </c>
      <c r="R1053" s="33" t="e">
        <f ca="1"/>
        <v>#N/A</v>
      </c>
    </row>
    <row r="1054" spans="1:18" x14ac:dyDescent="0.2">
      <c r="A1054" s="2">
        <v>1053</v>
      </c>
      <c r="B1054" s="65">
        <v>45734</v>
      </c>
      <c r="C1054" s="70">
        <v>0.58321759259259254</v>
      </c>
      <c r="D1054" s="66" t="s">
        <v>98</v>
      </c>
      <c r="G1054" s="66" t="s">
        <v>202</v>
      </c>
      <c r="H1054" s="66" t="s">
        <v>100</v>
      </c>
      <c r="I1054" s="33" t="str">
        <f ca="1"/>
        <v>25,31</v>
      </c>
      <c r="J1054" s="2">
        <v>1054</v>
      </c>
      <c r="K1054" s="2" t="str">
        <v>No Match</v>
      </c>
      <c r="M1054" s="33">
        <f ca="1"/>
        <v>25.31</v>
      </c>
      <c r="N1054" s="2" t="e">
        <f ca="1"/>
        <v>#N/A</v>
      </c>
      <c r="O1054" s="2" t="e">
        <f ca="1"/>
        <v>#N/A</v>
      </c>
      <c r="P1054" s="2" t="e">
        <f ca="1"/>
        <v>#N/A</v>
      </c>
      <c r="Q1054" s="33" t="e">
        <f ca="1"/>
        <v>#N/A</v>
      </c>
      <c r="R1054" s="33" t="e">
        <f ca="1"/>
        <v>#N/A</v>
      </c>
    </row>
    <row r="1055" spans="1:18" x14ac:dyDescent="0.2">
      <c r="A1055" s="2">
        <v>1054</v>
      </c>
      <c r="B1055" s="65">
        <v>45734</v>
      </c>
      <c r="C1055" s="70">
        <v>0.58454861111111112</v>
      </c>
      <c r="D1055" s="66" t="s">
        <v>98</v>
      </c>
      <c r="G1055" s="66" t="s">
        <v>139</v>
      </c>
      <c r="H1055" s="66" t="s">
        <v>100</v>
      </c>
      <c r="I1055" s="33" t="str">
        <f ca="1"/>
        <v>25,35</v>
      </c>
      <c r="J1055" s="2">
        <v>1055</v>
      </c>
      <c r="K1055" s="2" t="str">
        <v>No Match</v>
      </c>
      <c r="M1055" s="33">
        <f ca="1"/>
        <v>25.35</v>
      </c>
      <c r="N1055" s="2" t="e">
        <f ca="1"/>
        <v>#N/A</v>
      </c>
      <c r="O1055" s="2" t="e">
        <f ca="1"/>
        <v>#N/A</v>
      </c>
      <c r="P1055" s="2" t="e">
        <f ca="1"/>
        <v>#N/A</v>
      </c>
      <c r="Q1055" s="33" t="e">
        <f ca="1"/>
        <v>#N/A</v>
      </c>
      <c r="R1055" s="33" t="e">
        <f ca="1"/>
        <v>#N/A</v>
      </c>
    </row>
    <row r="1056" spans="1:18" x14ac:dyDescent="0.2">
      <c r="A1056" s="2">
        <v>1055</v>
      </c>
      <c r="B1056" s="65">
        <v>45734</v>
      </c>
      <c r="C1056" s="70">
        <v>0.58667824074074071</v>
      </c>
      <c r="D1056" s="66" t="s">
        <v>98</v>
      </c>
      <c r="G1056" s="66" t="s">
        <v>161</v>
      </c>
      <c r="H1056" s="66" t="s">
        <v>100</v>
      </c>
      <c r="I1056" s="33" t="str">
        <f ca="1"/>
        <v>25,38</v>
      </c>
      <c r="J1056" s="2">
        <v>1056</v>
      </c>
      <c r="K1056" s="2" t="str">
        <v>No Match</v>
      </c>
      <c r="M1056" s="33">
        <f ca="1"/>
        <v>25.38</v>
      </c>
      <c r="N1056" s="2" t="e">
        <f ca="1"/>
        <v>#N/A</v>
      </c>
      <c r="O1056" s="2" t="e">
        <f ca="1"/>
        <v>#N/A</v>
      </c>
      <c r="P1056" s="2" t="e">
        <f ca="1"/>
        <v>#N/A</v>
      </c>
      <c r="Q1056" s="33" t="e">
        <f ca="1"/>
        <v>#N/A</v>
      </c>
      <c r="R1056" s="33" t="e">
        <f ca="1"/>
        <v>#N/A</v>
      </c>
    </row>
    <row r="1057" spans="1:18" x14ac:dyDescent="0.2">
      <c r="A1057" s="2">
        <v>1056</v>
      </c>
      <c r="B1057" s="65">
        <v>45734</v>
      </c>
      <c r="C1057" s="70">
        <v>0.58706018518518521</v>
      </c>
      <c r="D1057" s="66" t="s">
        <v>98</v>
      </c>
      <c r="G1057" s="66" t="s">
        <v>131</v>
      </c>
      <c r="H1057" s="66" t="s">
        <v>100</v>
      </c>
      <c r="I1057" s="33" t="str">
        <f ca="1"/>
        <v>25,24</v>
      </c>
      <c r="J1057" s="2">
        <v>1057</v>
      </c>
      <c r="K1057" s="2" t="str">
        <v>No Match</v>
      </c>
      <c r="M1057" s="33">
        <f ca="1"/>
        <v>25.24</v>
      </c>
      <c r="N1057" s="2" t="e">
        <f ca="1"/>
        <v>#N/A</v>
      </c>
      <c r="O1057" s="2" t="e">
        <f ca="1"/>
        <v>#N/A</v>
      </c>
      <c r="P1057" s="2" t="e">
        <f ca="1"/>
        <v>#N/A</v>
      </c>
      <c r="Q1057" s="33" t="e">
        <f ca="1"/>
        <v>#N/A</v>
      </c>
      <c r="R1057" s="33" t="e">
        <f ca="1"/>
        <v>#N/A</v>
      </c>
    </row>
    <row r="1058" spans="1:18" x14ac:dyDescent="0.2">
      <c r="A1058" s="2">
        <v>1057</v>
      </c>
      <c r="B1058" s="65">
        <v>45734</v>
      </c>
      <c r="C1058" s="70">
        <v>0.58834490740740741</v>
      </c>
      <c r="D1058" s="66" t="s">
        <v>98</v>
      </c>
      <c r="G1058" s="66" t="s">
        <v>159</v>
      </c>
      <c r="H1058" s="66" t="s">
        <v>100</v>
      </c>
      <c r="I1058" s="33" t="str">
        <f ca="1"/>
        <v>25,26</v>
      </c>
      <c r="J1058" s="2">
        <v>1058</v>
      </c>
      <c r="K1058" s="2" t="str">
        <v>No Match</v>
      </c>
      <c r="M1058" s="33">
        <f ca="1"/>
        <v>25.26</v>
      </c>
      <c r="N1058" s="2" t="e">
        <f ca="1"/>
        <v>#N/A</v>
      </c>
      <c r="O1058" s="2" t="e">
        <f ca="1"/>
        <v>#N/A</v>
      </c>
      <c r="P1058" s="2" t="e">
        <f ca="1"/>
        <v>#N/A</v>
      </c>
      <c r="Q1058" s="33" t="e">
        <f ca="1"/>
        <v>#N/A</v>
      </c>
      <c r="R1058" s="33" t="e">
        <f ca="1"/>
        <v>#N/A</v>
      </c>
    </row>
    <row r="1059" spans="1:18" x14ac:dyDescent="0.2">
      <c r="A1059" s="2">
        <v>1058</v>
      </c>
      <c r="B1059" s="65">
        <v>45734</v>
      </c>
      <c r="C1059" s="70">
        <v>0.59210648148148148</v>
      </c>
      <c r="D1059" s="66" t="s">
        <v>98</v>
      </c>
      <c r="G1059" s="66" t="s">
        <v>183</v>
      </c>
      <c r="H1059" s="66" t="s">
        <v>100</v>
      </c>
      <c r="I1059" s="33" t="str">
        <f ca="1"/>
        <v>25,05</v>
      </c>
      <c r="J1059" s="2">
        <v>1059</v>
      </c>
      <c r="K1059" s="2" t="str">
        <v>No Match</v>
      </c>
      <c r="M1059" s="33">
        <f ca="1"/>
        <v>25.05</v>
      </c>
      <c r="N1059" s="2" t="e">
        <f ca="1"/>
        <v>#N/A</v>
      </c>
      <c r="O1059" s="2" t="e">
        <f ca="1"/>
        <v>#N/A</v>
      </c>
      <c r="P1059" s="2" t="e">
        <f ca="1"/>
        <v>#N/A</v>
      </c>
      <c r="Q1059" s="33" t="e">
        <f ca="1"/>
        <v>#N/A</v>
      </c>
      <c r="R1059" s="33" t="e">
        <f ca="1"/>
        <v>#N/A</v>
      </c>
    </row>
    <row r="1060" spans="1:18" x14ac:dyDescent="0.2">
      <c r="A1060" s="2">
        <v>1059</v>
      </c>
      <c r="B1060" s="65">
        <v>45734</v>
      </c>
      <c r="C1060" s="70">
        <v>0.59244212962962961</v>
      </c>
      <c r="D1060" s="66" t="s">
        <v>98</v>
      </c>
      <c r="G1060" s="66" t="s">
        <v>137</v>
      </c>
      <c r="H1060" s="66" t="s">
        <v>100</v>
      </c>
      <c r="I1060" s="33" t="str">
        <f ca="1"/>
        <v>25,25</v>
      </c>
      <c r="J1060" s="2">
        <v>1060</v>
      </c>
      <c r="K1060" s="2" t="str">
        <v>No Match</v>
      </c>
      <c r="M1060" s="33">
        <f ca="1"/>
        <v>25.25</v>
      </c>
      <c r="N1060" s="2" t="e">
        <f ca="1"/>
        <v>#N/A</v>
      </c>
      <c r="O1060" s="2" t="e">
        <f ca="1"/>
        <v>#N/A</v>
      </c>
      <c r="P1060" s="2" t="e">
        <f ca="1"/>
        <v>#N/A</v>
      </c>
      <c r="Q1060" s="33" t="e">
        <f ca="1"/>
        <v>#N/A</v>
      </c>
      <c r="R1060" s="33" t="e">
        <f ca="1"/>
        <v>#N/A</v>
      </c>
    </row>
    <row r="1061" spans="1:18" x14ac:dyDescent="0.2">
      <c r="A1061" s="2">
        <v>1060</v>
      </c>
      <c r="B1061" s="65">
        <v>45734</v>
      </c>
      <c r="C1061" s="70">
        <v>0.59556712962962965</v>
      </c>
      <c r="D1061" s="66" t="s">
        <v>98</v>
      </c>
      <c r="G1061" s="66" t="s">
        <v>237</v>
      </c>
      <c r="H1061" s="66" t="s">
        <v>100</v>
      </c>
      <c r="I1061" s="33" t="str">
        <f ca="1"/>
        <v>24,85</v>
      </c>
      <c r="J1061" s="2">
        <v>1061</v>
      </c>
      <c r="K1061" s="2" t="str">
        <v>No Match</v>
      </c>
      <c r="M1061" s="33">
        <f ca="1"/>
        <v>24.85</v>
      </c>
      <c r="N1061" s="2">
        <f ca="1"/>
        <v>25</v>
      </c>
      <c r="O1061" s="2">
        <f ca="1"/>
        <v>24.625</v>
      </c>
      <c r="P1061" s="2">
        <f ca="1"/>
        <v>25.375</v>
      </c>
      <c r="Q1061" s="33">
        <f ca="1"/>
        <v>25.363424528301895</v>
      </c>
      <c r="R1061" s="33">
        <f ca="1"/>
        <v>25.225999999999999</v>
      </c>
    </row>
    <row r="1062" spans="1:18" x14ac:dyDescent="0.2">
      <c r="A1062" s="2">
        <v>1061</v>
      </c>
      <c r="B1062" s="65">
        <v>45734</v>
      </c>
      <c r="C1062" s="70">
        <v>0.59692129629629631</v>
      </c>
      <c r="D1062" s="66" t="s">
        <v>98</v>
      </c>
      <c r="G1062" s="66" t="s">
        <v>169</v>
      </c>
      <c r="H1062" s="66" t="s">
        <v>100</v>
      </c>
      <c r="I1062" s="33" t="str">
        <f ca="1"/>
        <v>25,11</v>
      </c>
      <c r="J1062" s="2">
        <v>1062</v>
      </c>
      <c r="K1062" s="2" t="str">
        <v>No Match</v>
      </c>
      <c r="M1062" s="33">
        <f ca="1"/>
        <v>25.11</v>
      </c>
      <c r="N1062" s="2" t="e">
        <f ca="1"/>
        <v>#N/A</v>
      </c>
      <c r="O1062" s="2" t="e">
        <f ca="1"/>
        <v>#N/A</v>
      </c>
      <c r="P1062" s="2" t="e">
        <f ca="1"/>
        <v>#N/A</v>
      </c>
      <c r="Q1062" s="33" t="e">
        <f ca="1"/>
        <v>#N/A</v>
      </c>
      <c r="R1062" s="33" t="e">
        <f ca="1"/>
        <v>#N/A</v>
      </c>
    </row>
    <row r="1063" spans="1:18" x14ac:dyDescent="0.2">
      <c r="A1063" s="2">
        <v>1062</v>
      </c>
      <c r="B1063" s="65">
        <v>45734</v>
      </c>
      <c r="C1063" s="70">
        <v>0.59787037037037039</v>
      </c>
      <c r="D1063" s="66" t="s">
        <v>98</v>
      </c>
      <c r="G1063" s="66" t="s">
        <v>201</v>
      </c>
      <c r="H1063" s="66" t="s">
        <v>100</v>
      </c>
      <c r="I1063" s="33" t="str">
        <f ca="1"/>
        <v>25,02</v>
      </c>
      <c r="J1063" s="2">
        <v>1063</v>
      </c>
      <c r="K1063" s="2" t="str">
        <v>No Match</v>
      </c>
      <c r="M1063" s="33">
        <f ca="1"/>
        <v>25.02</v>
      </c>
      <c r="N1063" s="2" t="e">
        <f ca="1"/>
        <v>#N/A</v>
      </c>
      <c r="O1063" s="2" t="e">
        <f ca="1"/>
        <v>#N/A</v>
      </c>
      <c r="P1063" s="2" t="e">
        <f ca="1"/>
        <v>#N/A</v>
      </c>
      <c r="Q1063" s="33" t="e">
        <f ca="1"/>
        <v>#N/A</v>
      </c>
      <c r="R1063" s="33" t="e">
        <f ca="1"/>
        <v>#N/A</v>
      </c>
    </row>
    <row r="1064" spans="1:18" x14ac:dyDescent="0.2">
      <c r="A1064" s="2">
        <v>1063</v>
      </c>
      <c r="B1064" s="65">
        <v>45734</v>
      </c>
      <c r="C1064" s="70">
        <v>0.5983680555555555</v>
      </c>
      <c r="D1064" s="66" t="s">
        <v>98</v>
      </c>
      <c r="G1064" s="66" t="s">
        <v>237</v>
      </c>
      <c r="H1064" s="66" t="s">
        <v>100</v>
      </c>
      <c r="I1064" s="33" t="str">
        <f ca="1"/>
        <v>24,85</v>
      </c>
      <c r="J1064" s="2">
        <v>1064</v>
      </c>
      <c r="K1064" s="2" t="str">
        <v>No Match</v>
      </c>
      <c r="M1064" s="33">
        <f ca="1"/>
        <v>24.85</v>
      </c>
      <c r="N1064" s="2" t="e">
        <f ca="1"/>
        <v>#N/A</v>
      </c>
      <c r="O1064" s="2" t="e">
        <f ca="1"/>
        <v>#N/A</v>
      </c>
      <c r="P1064" s="2" t="e">
        <f ca="1"/>
        <v>#N/A</v>
      </c>
      <c r="Q1064" s="33" t="e">
        <f ca="1"/>
        <v>#N/A</v>
      </c>
      <c r="R1064" s="33" t="e">
        <f ca="1"/>
        <v>#N/A</v>
      </c>
    </row>
    <row r="1065" spans="1:18" x14ac:dyDescent="0.2">
      <c r="A1065" s="2">
        <v>1064</v>
      </c>
      <c r="B1065" s="65">
        <v>45734</v>
      </c>
      <c r="C1065" s="70">
        <v>0.59898148148148145</v>
      </c>
      <c r="D1065" s="66" t="s">
        <v>98</v>
      </c>
      <c r="G1065" s="66" t="s">
        <v>187</v>
      </c>
      <c r="H1065" s="66" t="s">
        <v>100</v>
      </c>
      <c r="I1065" s="33" t="str">
        <f ca="1"/>
        <v>24,82</v>
      </c>
      <c r="J1065" s="2">
        <v>1065</v>
      </c>
      <c r="K1065" s="2" t="str">
        <v>No Match</v>
      </c>
      <c r="M1065" s="33">
        <f ca="1"/>
        <v>24.82</v>
      </c>
      <c r="N1065" s="2" t="e">
        <f ca="1"/>
        <v>#N/A</v>
      </c>
      <c r="O1065" s="2" t="e">
        <f ca="1"/>
        <v>#N/A</v>
      </c>
      <c r="P1065" s="2" t="e">
        <f ca="1"/>
        <v>#N/A</v>
      </c>
      <c r="Q1065" s="33" t="e">
        <f ca="1"/>
        <v>#N/A</v>
      </c>
      <c r="R1065" s="33" t="e">
        <f ca="1"/>
        <v>#N/A</v>
      </c>
    </row>
    <row r="1066" spans="1:18" x14ac:dyDescent="0.2">
      <c r="A1066" s="2">
        <v>1065</v>
      </c>
      <c r="B1066" s="65">
        <v>45734</v>
      </c>
      <c r="C1066" s="70">
        <v>0.59964120370370366</v>
      </c>
      <c r="D1066" s="66" t="s">
        <v>98</v>
      </c>
      <c r="G1066" s="66" t="s">
        <v>201</v>
      </c>
      <c r="H1066" s="66" t="s">
        <v>100</v>
      </c>
      <c r="I1066" s="33" t="str">
        <f ca="1"/>
        <v>25,02</v>
      </c>
      <c r="J1066" s="2">
        <v>1066</v>
      </c>
      <c r="K1066" s="2" t="str">
        <v>No Match</v>
      </c>
      <c r="M1066" s="33">
        <f ca="1"/>
        <v>25.02</v>
      </c>
      <c r="N1066" s="2" t="e">
        <f ca="1"/>
        <v>#N/A</v>
      </c>
      <c r="O1066" s="2" t="e">
        <f ca="1"/>
        <v>#N/A</v>
      </c>
      <c r="P1066" s="2" t="e">
        <f ca="1"/>
        <v>#N/A</v>
      </c>
      <c r="Q1066" s="33" t="e">
        <f ca="1"/>
        <v>#N/A</v>
      </c>
      <c r="R1066" s="33" t="e">
        <f ca="1"/>
        <v>#N/A</v>
      </c>
    </row>
    <row r="1067" spans="1:18" x14ac:dyDescent="0.2">
      <c r="A1067" s="2">
        <v>1066</v>
      </c>
      <c r="B1067" s="65">
        <v>45734</v>
      </c>
      <c r="C1067" s="70">
        <v>0.60041666666666671</v>
      </c>
      <c r="D1067" s="66" t="s">
        <v>98</v>
      </c>
      <c r="G1067" s="66" t="s">
        <v>115</v>
      </c>
      <c r="H1067" s="66" t="s">
        <v>100</v>
      </c>
      <c r="I1067" s="33" t="str">
        <f ca="1"/>
        <v>24,83</v>
      </c>
      <c r="J1067" s="2">
        <v>1067</v>
      </c>
      <c r="K1067" s="2" t="str">
        <v>No Match</v>
      </c>
      <c r="M1067" s="33">
        <f ca="1"/>
        <v>24.83</v>
      </c>
      <c r="N1067" s="2" t="e">
        <f ca="1"/>
        <v>#N/A</v>
      </c>
      <c r="O1067" s="2" t="e">
        <f ca="1"/>
        <v>#N/A</v>
      </c>
      <c r="P1067" s="2" t="e">
        <f ca="1"/>
        <v>#N/A</v>
      </c>
      <c r="Q1067" s="33" t="e">
        <f ca="1"/>
        <v>#N/A</v>
      </c>
      <c r="R1067" s="33" t="e">
        <f ca="1"/>
        <v>#N/A</v>
      </c>
    </row>
    <row r="1068" spans="1:18" x14ac:dyDescent="0.2">
      <c r="A1068" s="2">
        <v>1067</v>
      </c>
      <c r="B1068" s="65">
        <v>45734</v>
      </c>
      <c r="C1068" s="70">
        <v>0.60240740740740739</v>
      </c>
      <c r="D1068" s="66" t="s">
        <v>98</v>
      </c>
      <c r="G1068" s="66" t="s">
        <v>201</v>
      </c>
      <c r="H1068" s="66" t="s">
        <v>100</v>
      </c>
      <c r="I1068" s="33" t="str">
        <f ca="1"/>
        <v>25,02</v>
      </c>
      <c r="J1068" s="2">
        <v>1068</v>
      </c>
      <c r="K1068" s="2" t="str">
        <v>No Match</v>
      </c>
      <c r="M1068" s="33">
        <f ca="1"/>
        <v>25.02</v>
      </c>
      <c r="N1068" s="2" t="e">
        <f ca="1"/>
        <v>#N/A</v>
      </c>
      <c r="O1068" s="2" t="e">
        <f ca="1"/>
        <v>#N/A</v>
      </c>
      <c r="P1068" s="2" t="e">
        <f ca="1"/>
        <v>#N/A</v>
      </c>
      <c r="Q1068" s="33" t="e">
        <f ca="1"/>
        <v>#N/A</v>
      </c>
      <c r="R1068" s="33" t="e">
        <f ca="1"/>
        <v>#N/A</v>
      </c>
    </row>
    <row r="1069" spans="1:18" x14ac:dyDescent="0.2">
      <c r="A1069" s="2">
        <v>1068</v>
      </c>
      <c r="B1069" s="65">
        <v>45734</v>
      </c>
      <c r="C1069" s="70">
        <v>0.60456018518518517</v>
      </c>
      <c r="D1069" s="66" t="s">
        <v>98</v>
      </c>
      <c r="G1069" s="66" t="s">
        <v>172</v>
      </c>
      <c r="H1069" s="66" t="s">
        <v>100</v>
      </c>
      <c r="I1069" s="33" t="str">
        <f ca="1"/>
        <v>24,73</v>
      </c>
      <c r="J1069" s="2">
        <v>1069</v>
      </c>
      <c r="K1069" s="2" t="str">
        <v>No Match</v>
      </c>
      <c r="M1069" s="33">
        <f ca="1"/>
        <v>24.73</v>
      </c>
      <c r="N1069" s="2" t="e">
        <f ca="1"/>
        <v>#N/A</v>
      </c>
      <c r="O1069" s="2" t="e">
        <f ca="1"/>
        <v>#N/A</v>
      </c>
      <c r="P1069" s="2" t="e">
        <f ca="1"/>
        <v>#N/A</v>
      </c>
      <c r="Q1069" s="33" t="e">
        <f ca="1"/>
        <v>#N/A</v>
      </c>
      <c r="R1069" s="33" t="e">
        <f ca="1"/>
        <v>#N/A</v>
      </c>
    </row>
    <row r="1070" spans="1:18" x14ac:dyDescent="0.2">
      <c r="A1070" s="2">
        <v>1069</v>
      </c>
      <c r="B1070" s="65">
        <v>45734</v>
      </c>
      <c r="C1070" s="70">
        <v>0.60538194444444449</v>
      </c>
      <c r="D1070" s="66" t="s">
        <v>98</v>
      </c>
      <c r="G1070" s="66" t="s">
        <v>197</v>
      </c>
      <c r="H1070" s="66" t="s">
        <v>100</v>
      </c>
      <c r="I1070" s="33" t="str">
        <f ca="1"/>
        <v>24,80</v>
      </c>
      <c r="J1070" s="2">
        <v>1070</v>
      </c>
      <c r="K1070" s="2" t="str">
        <v>No Match</v>
      </c>
      <c r="M1070" s="33">
        <f ca="1"/>
        <v>24.8</v>
      </c>
      <c r="N1070" s="2" t="e">
        <f ca="1"/>
        <v>#N/A</v>
      </c>
      <c r="O1070" s="2" t="e">
        <f ca="1"/>
        <v>#N/A</v>
      </c>
      <c r="P1070" s="2" t="e">
        <f ca="1"/>
        <v>#N/A</v>
      </c>
      <c r="Q1070" s="33" t="e">
        <f ca="1"/>
        <v>#N/A</v>
      </c>
      <c r="R1070" s="33" t="e">
        <f ca="1"/>
        <v>#N/A</v>
      </c>
    </row>
    <row r="1071" spans="1:18" x14ac:dyDescent="0.2">
      <c r="A1071" s="2">
        <v>1070</v>
      </c>
      <c r="B1071" s="65">
        <v>45734</v>
      </c>
      <c r="C1071" s="70">
        <v>0.60658564814814819</v>
      </c>
      <c r="D1071" s="66" t="s">
        <v>98</v>
      </c>
      <c r="G1071" s="66" t="s">
        <v>162</v>
      </c>
      <c r="H1071" s="66" t="s">
        <v>100</v>
      </c>
      <c r="I1071" s="33" t="str">
        <f ca="1"/>
        <v>25,51</v>
      </c>
      <c r="J1071" s="2">
        <v>1071</v>
      </c>
      <c r="K1071" s="2" t="str">
        <v>No Match</v>
      </c>
      <c r="M1071" s="33">
        <f ca="1"/>
        <v>25.51</v>
      </c>
      <c r="N1071" s="2">
        <f ca="1"/>
        <v>25</v>
      </c>
      <c r="O1071" s="2">
        <f ca="1"/>
        <v>24.625</v>
      </c>
      <c r="P1071" s="2">
        <f ca="1"/>
        <v>25.375</v>
      </c>
      <c r="Q1071" s="33">
        <f ca="1"/>
        <v>25.359757009345799</v>
      </c>
      <c r="R1071" s="33">
        <f ca="1"/>
        <v>24.970999999999997</v>
      </c>
    </row>
    <row r="1072" spans="1:18" x14ac:dyDescent="0.2">
      <c r="A1072" s="2">
        <v>1071</v>
      </c>
      <c r="B1072" s="65">
        <v>45734</v>
      </c>
      <c r="C1072" s="70">
        <v>0.60881944444444447</v>
      </c>
      <c r="D1072" s="66" t="s">
        <v>98</v>
      </c>
      <c r="G1072" s="66" t="s">
        <v>111</v>
      </c>
      <c r="H1072" s="66" t="s">
        <v>100</v>
      </c>
      <c r="I1072" s="33" t="str">
        <f ca="1"/>
        <v>25,44</v>
      </c>
      <c r="J1072" s="2">
        <v>1072</v>
      </c>
      <c r="K1072" s="2" t="str">
        <v>No Match</v>
      </c>
      <c r="M1072" s="33">
        <f ca="1"/>
        <v>25.44</v>
      </c>
      <c r="N1072" s="2" t="e">
        <f ca="1"/>
        <v>#N/A</v>
      </c>
      <c r="O1072" s="2" t="e">
        <f ca="1"/>
        <v>#N/A</v>
      </c>
      <c r="P1072" s="2" t="e">
        <f ca="1"/>
        <v>#N/A</v>
      </c>
      <c r="Q1072" s="33" t="e">
        <f ca="1"/>
        <v>#N/A</v>
      </c>
      <c r="R1072" s="33" t="e">
        <f ca="1"/>
        <v>#N/A</v>
      </c>
    </row>
    <row r="1073" spans="1:18" x14ac:dyDescent="0.2">
      <c r="A1073" s="2">
        <v>1072</v>
      </c>
      <c r="B1073" s="65">
        <v>45734</v>
      </c>
      <c r="C1073" s="70">
        <v>0.6091550925925926</v>
      </c>
      <c r="D1073" s="66" t="s">
        <v>98</v>
      </c>
      <c r="G1073" s="66" t="s">
        <v>114</v>
      </c>
      <c r="H1073" s="66" t="s">
        <v>100</v>
      </c>
      <c r="I1073" s="33" t="str">
        <f ca="1"/>
        <v>25,70</v>
      </c>
      <c r="J1073" s="2">
        <v>1073</v>
      </c>
      <c r="K1073" s="2" t="str">
        <v>No Match</v>
      </c>
      <c r="M1073" s="33">
        <f ca="1"/>
        <v>25.7</v>
      </c>
      <c r="N1073" s="2" t="e">
        <f ca="1"/>
        <v>#N/A</v>
      </c>
      <c r="O1073" s="2" t="e">
        <f ca="1"/>
        <v>#N/A</v>
      </c>
      <c r="P1073" s="2" t="e">
        <f ca="1"/>
        <v>#N/A</v>
      </c>
      <c r="Q1073" s="33" t="e">
        <f ca="1"/>
        <v>#N/A</v>
      </c>
      <c r="R1073" s="33" t="e">
        <f ca="1"/>
        <v>#N/A</v>
      </c>
    </row>
    <row r="1074" spans="1:18" x14ac:dyDescent="0.2">
      <c r="A1074" s="2">
        <v>1073</v>
      </c>
      <c r="B1074" s="65">
        <v>45734</v>
      </c>
      <c r="C1074" s="70">
        <v>0.60990740740740745</v>
      </c>
      <c r="D1074" s="66" t="s">
        <v>98</v>
      </c>
      <c r="G1074" s="66" t="s">
        <v>154</v>
      </c>
      <c r="H1074" s="66" t="s">
        <v>100</v>
      </c>
      <c r="I1074" s="33" t="str">
        <f ca="1"/>
        <v>25,75</v>
      </c>
      <c r="J1074" s="2">
        <v>1074</v>
      </c>
      <c r="K1074" s="2" t="str">
        <v>No Match</v>
      </c>
      <c r="M1074" s="33">
        <f ca="1"/>
        <v>25.75</v>
      </c>
      <c r="N1074" s="2" t="e">
        <f ca="1"/>
        <v>#N/A</v>
      </c>
      <c r="O1074" s="2" t="e">
        <f ca="1"/>
        <v>#N/A</v>
      </c>
      <c r="P1074" s="2" t="e">
        <f ca="1"/>
        <v>#N/A</v>
      </c>
      <c r="Q1074" s="33" t="e">
        <f ca="1"/>
        <v>#N/A</v>
      </c>
      <c r="R1074" s="33" t="e">
        <f ca="1"/>
        <v>#N/A</v>
      </c>
    </row>
    <row r="1075" spans="1:18" x14ac:dyDescent="0.2">
      <c r="A1075" s="2">
        <v>1074</v>
      </c>
      <c r="B1075" s="65">
        <v>45734</v>
      </c>
      <c r="C1075" s="70">
        <v>0.61122685185185188</v>
      </c>
      <c r="D1075" s="66" t="s">
        <v>98</v>
      </c>
      <c r="G1075" s="66" t="s">
        <v>153</v>
      </c>
      <c r="H1075" s="66" t="s">
        <v>100</v>
      </c>
      <c r="I1075" s="33" t="str">
        <f ca="1"/>
        <v>25,71</v>
      </c>
      <c r="J1075" s="2">
        <v>1075</v>
      </c>
      <c r="K1075" s="2" t="str">
        <v>No Match</v>
      </c>
      <c r="M1075" s="33">
        <f ca="1"/>
        <v>25.71</v>
      </c>
      <c r="N1075" s="2" t="e">
        <f ca="1"/>
        <v>#N/A</v>
      </c>
      <c r="O1075" s="2" t="e">
        <f ca="1"/>
        <v>#N/A</v>
      </c>
      <c r="P1075" s="2" t="e">
        <f ca="1"/>
        <v>#N/A</v>
      </c>
      <c r="Q1075" s="33" t="e">
        <f ca="1"/>
        <v>#N/A</v>
      </c>
      <c r="R1075" s="33" t="e">
        <f ca="1"/>
        <v>#N/A</v>
      </c>
    </row>
    <row r="1076" spans="1:18" x14ac:dyDescent="0.2">
      <c r="A1076" s="2">
        <v>1075</v>
      </c>
      <c r="B1076" s="65">
        <v>45734</v>
      </c>
      <c r="C1076" s="70">
        <v>0.61149305555555555</v>
      </c>
      <c r="D1076" s="66" t="s">
        <v>98</v>
      </c>
      <c r="G1076" s="66" t="s">
        <v>143</v>
      </c>
      <c r="H1076" s="66" t="s">
        <v>100</v>
      </c>
      <c r="I1076" s="33" t="str">
        <f ca="1"/>
        <v>25,53</v>
      </c>
      <c r="J1076" s="2">
        <v>1076</v>
      </c>
      <c r="K1076" s="2" t="str">
        <v>No Match</v>
      </c>
      <c r="M1076" s="33">
        <f ca="1"/>
        <v>25.53</v>
      </c>
      <c r="N1076" s="2" t="e">
        <f ca="1"/>
        <v>#N/A</v>
      </c>
      <c r="O1076" s="2" t="e">
        <f ca="1"/>
        <v>#N/A</v>
      </c>
      <c r="P1076" s="2" t="e">
        <f ca="1"/>
        <v>#N/A</v>
      </c>
      <c r="Q1076" s="33" t="e">
        <f ca="1"/>
        <v>#N/A</v>
      </c>
      <c r="R1076" s="33" t="e">
        <f ca="1"/>
        <v>#N/A</v>
      </c>
    </row>
    <row r="1077" spans="1:18" x14ac:dyDescent="0.2">
      <c r="A1077" s="2">
        <v>1076</v>
      </c>
      <c r="B1077" s="65">
        <v>45734</v>
      </c>
      <c r="C1077" s="70">
        <v>0.61396990740740742</v>
      </c>
      <c r="D1077" s="66" t="s">
        <v>98</v>
      </c>
      <c r="G1077" s="66" t="s">
        <v>155</v>
      </c>
      <c r="H1077" s="66" t="s">
        <v>100</v>
      </c>
      <c r="I1077" s="33" t="str">
        <f ca="1"/>
        <v>25,49</v>
      </c>
      <c r="J1077" s="2">
        <v>1077</v>
      </c>
      <c r="K1077" s="2" t="str">
        <v>No Match</v>
      </c>
      <c r="M1077" s="33">
        <f ca="1"/>
        <v>25.49</v>
      </c>
      <c r="N1077" s="2" t="e">
        <f ca="1"/>
        <v>#N/A</v>
      </c>
      <c r="O1077" s="2" t="e">
        <f ca="1"/>
        <v>#N/A</v>
      </c>
      <c r="P1077" s="2" t="e">
        <f ca="1"/>
        <v>#N/A</v>
      </c>
      <c r="Q1077" s="33" t="e">
        <f ca="1"/>
        <v>#N/A</v>
      </c>
      <c r="R1077" s="33" t="e">
        <f ca="1"/>
        <v>#N/A</v>
      </c>
    </row>
    <row r="1078" spans="1:18" x14ac:dyDescent="0.2">
      <c r="A1078" s="2">
        <v>1077</v>
      </c>
      <c r="B1078" s="65">
        <v>45734</v>
      </c>
      <c r="C1078" s="70">
        <v>0.61562499999999998</v>
      </c>
      <c r="D1078" s="66" t="s">
        <v>98</v>
      </c>
      <c r="G1078" s="66" t="s">
        <v>166</v>
      </c>
      <c r="H1078" s="66" t="s">
        <v>100</v>
      </c>
      <c r="I1078" s="33" t="str">
        <f ca="1"/>
        <v>25,66</v>
      </c>
      <c r="J1078" s="2">
        <v>1078</v>
      </c>
      <c r="K1078" s="2" t="str">
        <v>No Match</v>
      </c>
      <c r="M1078" s="33">
        <f ca="1"/>
        <v>25.66</v>
      </c>
      <c r="N1078" s="2" t="e">
        <f ca="1"/>
        <v>#N/A</v>
      </c>
      <c r="O1078" s="2" t="e">
        <f ca="1"/>
        <v>#N/A</v>
      </c>
      <c r="P1078" s="2" t="e">
        <f ca="1"/>
        <v>#N/A</v>
      </c>
      <c r="Q1078" s="33" t="e">
        <f ca="1"/>
        <v>#N/A</v>
      </c>
      <c r="R1078" s="33" t="e">
        <f ca="1"/>
        <v>#N/A</v>
      </c>
    </row>
    <row r="1079" spans="1:18" x14ac:dyDescent="0.2">
      <c r="A1079" s="2">
        <v>1078</v>
      </c>
      <c r="B1079" s="65">
        <v>45734</v>
      </c>
      <c r="C1079" s="70">
        <v>0.61769675925925926</v>
      </c>
      <c r="D1079" s="66" t="s">
        <v>98</v>
      </c>
      <c r="G1079" s="66" t="s">
        <v>169</v>
      </c>
      <c r="H1079" s="66" t="s">
        <v>100</v>
      </c>
      <c r="I1079" s="33" t="str">
        <f ca="1"/>
        <v>25,11</v>
      </c>
      <c r="J1079" s="2">
        <v>1079</v>
      </c>
      <c r="K1079" s="2" t="str">
        <v>No Match</v>
      </c>
      <c r="M1079" s="33">
        <f ca="1"/>
        <v>25.11</v>
      </c>
      <c r="N1079" s="2" t="e">
        <f ca="1"/>
        <v>#N/A</v>
      </c>
      <c r="O1079" s="2" t="e">
        <f ca="1"/>
        <v>#N/A</v>
      </c>
      <c r="P1079" s="2" t="e">
        <f ca="1"/>
        <v>#N/A</v>
      </c>
      <c r="Q1079" s="33" t="e">
        <f ca="1"/>
        <v>#N/A</v>
      </c>
      <c r="R1079" s="33" t="e">
        <f ca="1"/>
        <v>#N/A</v>
      </c>
    </row>
    <row r="1080" spans="1:18" x14ac:dyDescent="0.2">
      <c r="A1080" s="2">
        <v>1079</v>
      </c>
      <c r="B1080" s="65">
        <v>45734</v>
      </c>
      <c r="C1080" s="70">
        <v>0.61901620370370369</v>
      </c>
      <c r="D1080" s="66" t="s">
        <v>98</v>
      </c>
      <c r="G1080" s="66" t="s">
        <v>225</v>
      </c>
      <c r="H1080" s="66" t="s">
        <v>100</v>
      </c>
      <c r="I1080" s="33" t="str">
        <f ca="1"/>
        <v>24,79</v>
      </c>
      <c r="J1080" s="2">
        <v>1080</v>
      </c>
      <c r="K1080" s="2" t="str">
        <v>No Match</v>
      </c>
      <c r="M1080" s="33">
        <f ca="1"/>
        <v>24.79</v>
      </c>
      <c r="N1080" s="2" t="e">
        <f ca="1"/>
        <v>#N/A</v>
      </c>
      <c r="O1080" s="2" t="e">
        <f ca="1"/>
        <v>#N/A</v>
      </c>
      <c r="P1080" s="2" t="e">
        <f ca="1"/>
        <v>#N/A</v>
      </c>
      <c r="Q1080" s="33" t="e">
        <f ca="1"/>
        <v>#N/A</v>
      </c>
      <c r="R1080" s="33" t="e">
        <f ca="1"/>
        <v>#N/A</v>
      </c>
    </row>
    <row r="1081" spans="1:18" x14ac:dyDescent="0.2">
      <c r="A1081" s="2">
        <v>1080</v>
      </c>
      <c r="B1081" s="65">
        <v>45734</v>
      </c>
      <c r="C1081" s="70">
        <v>0.62033564814814812</v>
      </c>
      <c r="D1081" s="66" t="s">
        <v>98</v>
      </c>
      <c r="G1081" s="66" t="s">
        <v>183</v>
      </c>
      <c r="H1081" s="66" t="s">
        <v>100</v>
      </c>
      <c r="I1081" s="33" t="str">
        <f ca="1"/>
        <v>25,05</v>
      </c>
      <c r="J1081" s="2">
        <v>1081</v>
      </c>
      <c r="K1081" s="2" t="str">
        <v>No Match</v>
      </c>
      <c r="M1081" s="33">
        <f ca="1"/>
        <v>25.05</v>
      </c>
      <c r="N1081" s="2">
        <f ca="1"/>
        <v>25</v>
      </c>
      <c r="O1081" s="2">
        <f ca="1"/>
        <v>24.625</v>
      </c>
      <c r="P1081" s="2">
        <f ca="1"/>
        <v>25.375</v>
      </c>
      <c r="Q1081" s="33">
        <f ca="1"/>
        <v>25.360342592592598</v>
      </c>
      <c r="R1081" s="33">
        <f ca="1"/>
        <v>25.422999999999998</v>
      </c>
    </row>
    <row r="1082" spans="1:18" x14ac:dyDescent="0.2">
      <c r="A1082" s="2">
        <v>1081</v>
      </c>
      <c r="B1082" s="65">
        <v>45734</v>
      </c>
      <c r="C1082" s="70">
        <v>0.6221875</v>
      </c>
      <c r="D1082" s="66" t="s">
        <v>98</v>
      </c>
      <c r="G1082" s="66" t="s">
        <v>147</v>
      </c>
      <c r="H1082" s="66" t="s">
        <v>100</v>
      </c>
      <c r="I1082" s="33" t="str">
        <f ca="1"/>
        <v>25,00</v>
      </c>
      <c r="J1082" s="2">
        <v>1082</v>
      </c>
      <c r="K1082" s="2" t="str">
        <v>No Match</v>
      </c>
      <c r="M1082" s="33">
        <f ca="1"/>
        <v>25</v>
      </c>
      <c r="N1082" s="2" t="e">
        <f ca="1"/>
        <v>#N/A</v>
      </c>
      <c r="O1082" s="2" t="e">
        <f ca="1"/>
        <v>#N/A</v>
      </c>
      <c r="P1082" s="2" t="e">
        <f ca="1"/>
        <v>#N/A</v>
      </c>
      <c r="Q1082" s="33" t="e">
        <f ca="1"/>
        <v>#N/A</v>
      </c>
      <c r="R1082" s="33" t="e">
        <f ca="1"/>
        <v>#N/A</v>
      </c>
    </row>
    <row r="1083" spans="1:18" x14ac:dyDescent="0.2">
      <c r="A1083" s="2">
        <v>1082</v>
      </c>
      <c r="B1083" s="65">
        <v>45734</v>
      </c>
      <c r="C1083" s="70">
        <v>0.62321759259259257</v>
      </c>
      <c r="D1083" s="66" t="s">
        <v>98</v>
      </c>
      <c r="G1083" s="66" t="s">
        <v>205</v>
      </c>
      <c r="H1083" s="66" t="s">
        <v>100</v>
      </c>
      <c r="I1083" s="33" t="str">
        <f ca="1"/>
        <v>24,92</v>
      </c>
      <c r="J1083" s="2">
        <v>1083</v>
      </c>
      <c r="K1083" s="2" t="str">
        <v>No Match</v>
      </c>
      <c r="M1083" s="33">
        <f ca="1"/>
        <v>24.92</v>
      </c>
      <c r="N1083" s="2" t="e">
        <f ca="1"/>
        <v>#N/A</v>
      </c>
      <c r="O1083" s="2" t="e">
        <f ca="1"/>
        <v>#N/A</v>
      </c>
      <c r="P1083" s="2" t="e">
        <f ca="1"/>
        <v>#N/A</v>
      </c>
      <c r="Q1083" s="33" t="e">
        <f ca="1"/>
        <v>#N/A</v>
      </c>
      <c r="R1083" s="33" t="e">
        <f ca="1"/>
        <v>#N/A</v>
      </c>
    </row>
    <row r="1084" spans="1:18" x14ac:dyDescent="0.2">
      <c r="A1084" s="2">
        <v>1083</v>
      </c>
      <c r="B1084" s="65">
        <v>45734</v>
      </c>
      <c r="C1084" s="70">
        <v>0.62391203703703701</v>
      </c>
      <c r="D1084" s="66" t="s">
        <v>98</v>
      </c>
      <c r="G1084" s="66" t="s">
        <v>237</v>
      </c>
      <c r="H1084" s="66" t="s">
        <v>100</v>
      </c>
      <c r="I1084" s="33" t="str">
        <f ca="1"/>
        <v>24,85</v>
      </c>
      <c r="J1084" s="2">
        <v>1084</v>
      </c>
      <c r="K1084" s="2" t="str">
        <v>No Match</v>
      </c>
      <c r="M1084" s="33">
        <f ca="1"/>
        <v>24.85</v>
      </c>
      <c r="N1084" s="2" t="e">
        <f ca="1"/>
        <v>#N/A</v>
      </c>
      <c r="O1084" s="2" t="e">
        <f ca="1"/>
        <v>#N/A</v>
      </c>
      <c r="P1084" s="2" t="e">
        <f ca="1"/>
        <v>#N/A</v>
      </c>
      <c r="Q1084" s="33" t="e">
        <f ca="1"/>
        <v>#N/A</v>
      </c>
      <c r="R1084" s="33" t="e">
        <f ca="1"/>
        <v>#N/A</v>
      </c>
    </row>
    <row r="1085" spans="1:18" x14ac:dyDescent="0.2">
      <c r="A1085" s="2">
        <v>1084</v>
      </c>
      <c r="B1085" s="65">
        <v>45734</v>
      </c>
      <c r="C1085" s="70">
        <v>0.62497685185185181</v>
      </c>
      <c r="D1085" s="66" t="s">
        <v>98</v>
      </c>
      <c r="G1085" s="66" t="s">
        <v>180</v>
      </c>
      <c r="H1085" s="66" t="s">
        <v>100</v>
      </c>
      <c r="I1085" s="33" t="str">
        <f ca="1"/>
        <v>25,04</v>
      </c>
      <c r="J1085" s="2">
        <v>1085</v>
      </c>
      <c r="K1085" s="2" t="str">
        <v>No Match</v>
      </c>
      <c r="M1085" s="33">
        <f ca="1"/>
        <v>25.04</v>
      </c>
      <c r="N1085" s="2" t="e">
        <f ca="1"/>
        <v>#N/A</v>
      </c>
      <c r="O1085" s="2" t="e">
        <f ca="1"/>
        <v>#N/A</v>
      </c>
      <c r="P1085" s="2" t="e">
        <f ca="1"/>
        <v>#N/A</v>
      </c>
      <c r="Q1085" s="33" t="e">
        <f ca="1"/>
        <v>#N/A</v>
      </c>
      <c r="R1085" s="33" t="e">
        <f ca="1"/>
        <v>#N/A</v>
      </c>
    </row>
    <row r="1086" spans="1:18" x14ac:dyDescent="0.2">
      <c r="A1086" s="2">
        <v>1085</v>
      </c>
      <c r="B1086" s="65">
        <v>45734</v>
      </c>
      <c r="C1086" s="70">
        <v>0.62668981481481478</v>
      </c>
      <c r="D1086" s="66" t="s">
        <v>98</v>
      </c>
      <c r="G1086" s="66" t="s">
        <v>135</v>
      </c>
      <c r="H1086" s="66" t="s">
        <v>100</v>
      </c>
      <c r="I1086" s="33" t="str">
        <f ca="1"/>
        <v>25,15</v>
      </c>
      <c r="J1086" s="2">
        <v>1086</v>
      </c>
      <c r="K1086" s="2" t="str">
        <v>No Match</v>
      </c>
      <c r="M1086" s="33">
        <f ca="1"/>
        <v>25.15</v>
      </c>
      <c r="N1086" s="2" t="e">
        <f ca="1"/>
        <v>#N/A</v>
      </c>
      <c r="O1086" s="2" t="e">
        <f ca="1"/>
        <v>#N/A</v>
      </c>
      <c r="P1086" s="2" t="e">
        <f ca="1"/>
        <v>#N/A</v>
      </c>
      <c r="Q1086" s="33" t="e">
        <f ca="1"/>
        <v>#N/A</v>
      </c>
      <c r="R1086" s="33" t="e">
        <f ca="1"/>
        <v>#N/A</v>
      </c>
    </row>
    <row r="1087" spans="1:18" x14ac:dyDescent="0.2">
      <c r="A1087" s="2">
        <v>1086</v>
      </c>
      <c r="B1087" s="65">
        <v>45734</v>
      </c>
      <c r="C1087" s="70">
        <v>0.62753472222222217</v>
      </c>
      <c r="D1087" s="66" t="s">
        <v>98</v>
      </c>
      <c r="G1087" s="66" t="s">
        <v>200</v>
      </c>
      <c r="H1087" s="66" t="s">
        <v>100</v>
      </c>
      <c r="I1087" s="33" t="str">
        <f ca="1"/>
        <v>25,21</v>
      </c>
      <c r="J1087" s="2">
        <v>1087</v>
      </c>
      <c r="K1087" s="2" t="str">
        <v>No Match</v>
      </c>
      <c r="M1087" s="33">
        <f ca="1"/>
        <v>25.21</v>
      </c>
      <c r="N1087" s="2" t="e">
        <f ca="1"/>
        <v>#N/A</v>
      </c>
      <c r="O1087" s="2" t="e">
        <f ca="1"/>
        <v>#N/A</v>
      </c>
      <c r="P1087" s="2" t="e">
        <f ca="1"/>
        <v>#N/A</v>
      </c>
      <c r="Q1087" s="33" t="e">
        <f ca="1"/>
        <v>#N/A</v>
      </c>
      <c r="R1087" s="33" t="e">
        <f ca="1"/>
        <v>#N/A</v>
      </c>
    </row>
    <row r="1088" spans="1:18" x14ac:dyDescent="0.2">
      <c r="A1088" s="2">
        <v>1087</v>
      </c>
      <c r="B1088" s="65">
        <v>45734</v>
      </c>
      <c r="C1088" s="70">
        <v>0.6293981481481481</v>
      </c>
      <c r="D1088" s="66" t="s">
        <v>98</v>
      </c>
      <c r="G1088" s="66" t="s">
        <v>110</v>
      </c>
      <c r="H1088" s="66" t="s">
        <v>100</v>
      </c>
      <c r="I1088" s="33" t="str">
        <f ca="1"/>
        <v>25,12</v>
      </c>
      <c r="J1088" s="2">
        <v>1088</v>
      </c>
      <c r="K1088" s="2" t="str">
        <v>No Match</v>
      </c>
      <c r="M1088" s="33">
        <f ca="1"/>
        <v>25.12</v>
      </c>
      <c r="N1088" s="2" t="e">
        <f ca="1"/>
        <v>#N/A</v>
      </c>
      <c r="O1088" s="2" t="e">
        <f ca="1"/>
        <v>#N/A</v>
      </c>
      <c r="P1088" s="2" t="e">
        <f ca="1"/>
        <v>#N/A</v>
      </c>
      <c r="Q1088" s="33" t="e">
        <f ca="1"/>
        <v>#N/A</v>
      </c>
      <c r="R1088" s="33" t="e">
        <f ca="1"/>
        <v>#N/A</v>
      </c>
    </row>
    <row r="1089" spans="1:18" x14ac:dyDescent="0.2">
      <c r="A1089" s="2">
        <v>1088</v>
      </c>
      <c r="B1089" s="65">
        <v>45734</v>
      </c>
      <c r="C1089" s="70">
        <v>0.63120370370370371</v>
      </c>
      <c r="D1089" s="66" t="s">
        <v>98</v>
      </c>
      <c r="G1089" s="66" t="s">
        <v>122</v>
      </c>
      <c r="H1089" s="66" t="s">
        <v>100</v>
      </c>
      <c r="I1089" s="33" t="str">
        <f ca="1"/>
        <v>25,27</v>
      </c>
      <c r="J1089" s="2">
        <v>1089</v>
      </c>
      <c r="K1089" s="2" t="str">
        <v>No Match</v>
      </c>
      <c r="M1089" s="33">
        <f ca="1"/>
        <v>25.27</v>
      </c>
      <c r="N1089" s="2" t="e">
        <f ca="1"/>
        <v>#N/A</v>
      </c>
      <c r="O1089" s="2" t="e">
        <f ca="1"/>
        <v>#N/A</v>
      </c>
      <c r="P1089" s="2" t="e">
        <f ca="1"/>
        <v>#N/A</v>
      </c>
      <c r="Q1089" s="33" t="e">
        <f ca="1"/>
        <v>#N/A</v>
      </c>
      <c r="R1089" s="33" t="e">
        <f ca="1"/>
        <v>#N/A</v>
      </c>
    </row>
    <row r="1090" spans="1:18" x14ac:dyDescent="0.2">
      <c r="A1090" s="2">
        <v>1089</v>
      </c>
      <c r="B1090" s="65">
        <v>45734</v>
      </c>
      <c r="C1090" s="70">
        <v>0.63184027777777774</v>
      </c>
      <c r="D1090" s="66" t="s">
        <v>98</v>
      </c>
      <c r="G1090" s="66" t="s">
        <v>113</v>
      </c>
      <c r="H1090" s="66" t="s">
        <v>100</v>
      </c>
      <c r="I1090" s="33" t="str">
        <f ca="1"/>
        <v>24,98</v>
      </c>
      <c r="J1090" s="2">
        <v>1090</v>
      </c>
      <c r="K1090" s="2" t="str">
        <v>No Match</v>
      </c>
      <c r="M1090" s="33">
        <f ca="1"/>
        <v>24.98</v>
      </c>
      <c r="N1090" s="2" t="e">
        <f ca="1"/>
        <v>#N/A</v>
      </c>
      <c r="O1090" s="2" t="e">
        <f ca="1"/>
        <v>#N/A</v>
      </c>
      <c r="P1090" s="2" t="e">
        <f ca="1"/>
        <v>#N/A</v>
      </c>
      <c r="Q1090" s="33" t="e">
        <f ca="1"/>
        <v>#N/A</v>
      </c>
      <c r="R1090" s="33" t="e">
        <f ca="1"/>
        <v>#N/A</v>
      </c>
    </row>
    <row r="1091" spans="1:18" x14ac:dyDescent="0.2">
      <c r="A1091" s="2">
        <v>1090</v>
      </c>
      <c r="B1091" s="65">
        <v>45734</v>
      </c>
      <c r="C1091" s="70">
        <v>0.63415509259259262</v>
      </c>
      <c r="D1091" s="66" t="s">
        <v>98</v>
      </c>
      <c r="G1091" s="66" t="s">
        <v>138</v>
      </c>
      <c r="H1091" s="66" t="s">
        <v>100</v>
      </c>
      <c r="I1091" s="33" t="str">
        <f ca="1"/>
        <v>25,32</v>
      </c>
      <c r="J1091" s="2">
        <v>1091</v>
      </c>
      <c r="K1091" s="2" t="str">
        <v>No Match</v>
      </c>
      <c r="M1091" s="33">
        <f ca="1"/>
        <v>25.32</v>
      </c>
      <c r="N1091" s="2">
        <f ca="1"/>
        <v>25</v>
      </c>
      <c r="O1091" s="2">
        <f ca="1"/>
        <v>24.625</v>
      </c>
      <c r="P1091" s="2">
        <f ca="1"/>
        <v>25.375</v>
      </c>
      <c r="Q1091" s="33">
        <f ca="1"/>
        <v>25.357825688073397</v>
      </c>
      <c r="R1091" s="33">
        <f ca="1"/>
        <v>25.086000000000002</v>
      </c>
    </row>
    <row r="1092" spans="1:18" x14ac:dyDescent="0.2">
      <c r="A1092" s="2">
        <v>1091</v>
      </c>
      <c r="B1092" s="65">
        <v>45734</v>
      </c>
      <c r="C1092" s="70">
        <v>0.63533564814814814</v>
      </c>
      <c r="D1092" s="66" t="s">
        <v>98</v>
      </c>
      <c r="G1092" s="66" t="s">
        <v>147</v>
      </c>
      <c r="H1092" s="66" t="s">
        <v>100</v>
      </c>
      <c r="I1092" s="33" t="str">
        <f ca="1"/>
        <v>25,00</v>
      </c>
      <c r="J1092" s="2">
        <v>1092</v>
      </c>
      <c r="K1092" s="2" t="str">
        <v>No Match</v>
      </c>
      <c r="M1092" s="33">
        <f ca="1"/>
        <v>25</v>
      </c>
      <c r="N1092" s="2" t="e">
        <f ca="1"/>
        <v>#N/A</v>
      </c>
      <c r="O1092" s="2" t="e">
        <f ca="1"/>
        <v>#N/A</v>
      </c>
      <c r="P1092" s="2" t="e">
        <f ca="1"/>
        <v>#N/A</v>
      </c>
      <c r="Q1092" s="33" t="e">
        <f ca="1"/>
        <v>#N/A</v>
      </c>
      <c r="R1092" s="33" t="e">
        <f ca="1"/>
        <v>#N/A</v>
      </c>
    </row>
    <row r="1093" spans="1:18" x14ac:dyDescent="0.2">
      <c r="A1093" s="2">
        <v>1092</v>
      </c>
      <c r="B1093" s="65">
        <v>45734</v>
      </c>
      <c r="C1093" s="70">
        <v>0.63645833333333335</v>
      </c>
      <c r="D1093" s="66" t="s">
        <v>98</v>
      </c>
      <c r="G1093" s="66" t="s">
        <v>112</v>
      </c>
      <c r="H1093" s="66" t="s">
        <v>100</v>
      </c>
      <c r="I1093" s="33" t="str">
        <f ca="1"/>
        <v>25,36</v>
      </c>
      <c r="J1093" s="2">
        <v>1093</v>
      </c>
      <c r="K1093" s="2" t="str">
        <v>No Match</v>
      </c>
      <c r="M1093" s="33">
        <f ca="1"/>
        <v>25.36</v>
      </c>
      <c r="N1093" s="2" t="e">
        <f ca="1"/>
        <v>#N/A</v>
      </c>
      <c r="O1093" s="2" t="e">
        <f ca="1"/>
        <v>#N/A</v>
      </c>
      <c r="P1093" s="2" t="e">
        <f ca="1"/>
        <v>#N/A</v>
      </c>
      <c r="Q1093" s="33" t="e">
        <f ca="1"/>
        <v>#N/A</v>
      </c>
      <c r="R1093" s="33" t="e">
        <f ca="1"/>
        <v>#N/A</v>
      </c>
    </row>
    <row r="1094" spans="1:18" x14ac:dyDescent="0.2">
      <c r="A1094" s="2">
        <v>1093</v>
      </c>
      <c r="B1094" s="65">
        <v>45734</v>
      </c>
      <c r="C1094" s="70">
        <v>0.63756944444444441</v>
      </c>
      <c r="D1094" s="66" t="s">
        <v>98</v>
      </c>
      <c r="G1094" s="66" t="s">
        <v>110</v>
      </c>
      <c r="H1094" s="66" t="s">
        <v>100</v>
      </c>
      <c r="I1094" s="33" t="str">
        <f ca="1"/>
        <v>25,12</v>
      </c>
      <c r="J1094" s="2">
        <v>1094</v>
      </c>
      <c r="K1094" s="2" t="str">
        <v>No Match</v>
      </c>
      <c r="M1094" s="33">
        <f ca="1"/>
        <v>25.12</v>
      </c>
      <c r="N1094" s="2" t="e">
        <f ca="1"/>
        <v>#N/A</v>
      </c>
      <c r="O1094" s="2" t="e">
        <f ca="1"/>
        <v>#N/A</v>
      </c>
      <c r="P1094" s="2" t="e">
        <f ca="1"/>
        <v>#N/A</v>
      </c>
      <c r="Q1094" s="33" t="e">
        <f ca="1"/>
        <v>#N/A</v>
      </c>
      <c r="R1094" s="33" t="e">
        <f ca="1"/>
        <v>#N/A</v>
      </c>
    </row>
    <row r="1095" spans="1:18" x14ac:dyDescent="0.2">
      <c r="A1095" s="2">
        <v>1094</v>
      </c>
      <c r="B1095" s="65">
        <v>45734</v>
      </c>
      <c r="C1095" s="70">
        <v>0.63821759259259259</v>
      </c>
      <c r="D1095" s="66" t="s">
        <v>98</v>
      </c>
      <c r="G1095" s="66" t="s">
        <v>127</v>
      </c>
      <c r="H1095" s="66" t="s">
        <v>100</v>
      </c>
      <c r="I1095" s="33" t="str">
        <f ca="1"/>
        <v>25,28</v>
      </c>
      <c r="J1095" s="2">
        <v>1095</v>
      </c>
      <c r="K1095" s="2" t="str">
        <v>No Match</v>
      </c>
      <c r="M1095" s="33">
        <f ca="1"/>
        <v>25.28</v>
      </c>
      <c r="N1095" s="2" t="e">
        <f ca="1"/>
        <v>#N/A</v>
      </c>
      <c r="O1095" s="2" t="e">
        <f ca="1"/>
        <v>#N/A</v>
      </c>
      <c r="P1095" s="2" t="e">
        <f ca="1"/>
        <v>#N/A</v>
      </c>
      <c r="Q1095" s="33" t="e">
        <f ca="1"/>
        <v>#N/A</v>
      </c>
      <c r="R1095" s="33" t="e">
        <f ca="1"/>
        <v>#N/A</v>
      </c>
    </row>
    <row r="1096" spans="1:18" x14ac:dyDescent="0.2">
      <c r="A1096" s="2">
        <v>1095</v>
      </c>
      <c r="B1096" s="65">
        <v>45734</v>
      </c>
      <c r="C1096" s="70">
        <v>0.63902777777777775</v>
      </c>
      <c r="D1096" s="66" t="s">
        <v>98</v>
      </c>
      <c r="G1096" s="66" t="s">
        <v>145</v>
      </c>
      <c r="H1096" s="66" t="s">
        <v>100</v>
      </c>
      <c r="I1096" s="33" t="str">
        <f ca="1"/>
        <v>25,30</v>
      </c>
      <c r="J1096" s="2">
        <v>1096</v>
      </c>
      <c r="K1096" s="2" t="str">
        <v>No Match</v>
      </c>
      <c r="M1096" s="33">
        <f ca="1"/>
        <v>25.3</v>
      </c>
      <c r="N1096" s="2" t="e">
        <f ca="1"/>
        <v>#N/A</v>
      </c>
      <c r="O1096" s="2" t="e">
        <f ca="1"/>
        <v>#N/A</v>
      </c>
      <c r="P1096" s="2" t="e">
        <f ca="1"/>
        <v>#N/A</v>
      </c>
      <c r="Q1096" s="33" t="e">
        <f ca="1"/>
        <v>#N/A</v>
      </c>
      <c r="R1096" s="33" t="e">
        <f ca="1"/>
        <v>#N/A</v>
      </c>
    </row>
    <row r="1097" spans="1:18" x14ac:dyDescent="0.2">
      <c r="A1097" s="2">
        <v>1096</v>
      </c>
      <c r="B1097" s="65">
        <v>45734</v>
      </c>
      <c r="C1097" s="70">
        <v>0.63991898148148152</v>
      </c>
      <c r="D1097" s="66" t="s">
        <v>98</v>
      </c>
      <c r="G1097" s="66" t="s">
        <v>159</v>
      </c>
      <c r="H1097" s="66" t="s">
        <v>100</v>
      </c>
      <c r="I1097" s="33" t="str">
        <f ca="1"/>
        <v>25,26</v>
      </c>
      <c r="J1097" s="2">
        <v>1097</v>
      </c>
      <c r="K1097" s="2" t="str">
        <v>No Match</v>
      </c>
      <c r="M1097" s="33">
        <f ca="1"/>
        <v>25.26</v>
      </c>
      <c r="N1097" s="2" t="e">
        <f ca="1"/>
        <v>#N/A</v>
      </c>
      <c r="O1097" s="2" t="e">
        <f ca="1"/>
        <v>#N/A</v>
      </c>
      <c r="P1097" s="2" t="e">
        <f ca="1"/>
        <v>#N/A</v>
      </c>
      <c r="Q1097" s="33" t="e">
        <f ca="1"/>
        <v>#N/A</v>
      </c>
      <c r="R1097" s="33" t="e">
        <f ca="1"/>
        <v>#N/A</v>
      </c>
    </row>
    <row r="1098" spans="1:18" x14ac:dyDescent="0.2">
      <c r="A1098" s="2">
        <v>1097</v>
      </c>
      <c r="B1098" s="65">
        <v>45734</v>
      </c>
      <c r="C1098" s="70">
        <v>0.64059027777777777</v>
      </c>
      <c r="D1098" s="66" t="s">
        <v>98</v>
      </c>
      <c r="G1098" s="66" t="s">
        <v>136</v>
      </c>
      <c r="H1098" s="66" t="s">
        <v>100</v>
      </c>
      <c r="I1098" s="33" t="str">
        <f ca="1"/>
        <v>25,22</v>
      </c>
      <c r="J1098" s="2">
        <v>1098</v>
      </c>
      <c r="K1098" s="2" t="str">
        <v>No Match</v>
      </c>
      <c r="M1098" s="33">
        <f ca="1"/>
        <v>25.22</v>
      </c>
      <c r="N1098" s="2" t="e">
        <f ca="1"/>
        <v>#N/A</v>
      </c>
      <c r="O1098" s="2" t="e">
        <f ca="1"/>
        <v>#N/A</v>
      </c>
      <c r="P1098" s="2" t="e">
        <f ca="1"/>
        <v>#N/A</v>
      </c>
      <c r="Q1098" s="33" t="e">
        <f ca="1"/>
        <v>#N/A</v>
      </c>
      <c r="R1098" s="33" t="e">
        <f ca="1"/>
        <v>#N/A</v>
      </c>
    </row>
    <row r="1099" spans="1:18" x14ac:dyDescent="0.2">
      <c r="A1099" s="2">
        <v>1098</v>
      </c>
      <c r="B1099" s="65">
        <v>45734</v>
      </c>
      <c r="C1099" s="70">
        <v>0.6426736111111111</v>
      </c>
      <c r="D1099" s="66" t="s">
        <v>98</v>
      </c>
      <c r="G1099" s="66" t="s">
        <v>155</v>
      </c>
      <c r="H1099" s="66" t="s">
        <v>100</v>
      </c>
      <c r="I1099" s="33" t="str">
        <f ca="1"/>
        <v>25,49</v>
      </c>
      <c r="J1099" s="2">
        <v>1099</v>
      </c>
      <c r="K1099" s="2" t="str">
        <v>No Match</v>
      </c>
      <c r="M1099" s="33">
        <f ca="1"/>
        <v>25.49</v>
      </c>
      <c r="N1099" s="2" t="e">
        <f ca="1"/>
        <v>#N/A</v>
      </c>
      <c r="O1099" s="2" t="e">
        <f ca="1"/>
        <v>#N/A</v>
      </c>
      <c r="P1099" s="2" t="e">
        <f ca="1"/>
        <v>#N/A</v>
      </c>
      <c r="Q1099" s="33" t="e">
        <f ca="1"/>
        <v>#N/A</v>
      </c>
      <c r="R1099" s="33" t="e">
        <f ca="1"/>
        <v>#N/A</v>
      </c>
    </row>
    <row r="1100" spans="1:18" x14ac:dyDescent="0.2">
      <c r="A1100" s="2">
        <v>1099</v>
      </c>
      <c r="B1100" s="65">
        <v>45734</v>
      </c>
      <c r="C1100" s="70">
        <v>0.64446759259259256</v>
      </c>
      <c r="D1100" s="66" t="s">
        <v>98</v>
      </c>
      <c r="G1100" s="66" t="s">
        <v>129</v>
      </c>
      <c r="H1100" s="66" t="s">
        <v>100</v>
      </c>
      <c r="I1100" s="33" t="str">
        <f ca="1"/>
        <v>25,08</v>
      </c>
      <c r="J1100" s="2">
        <v>1100</v>
      </c>
      <c r="K1100" s="2" t="str">
        <v>No Match</v>
      </c>
      <c r="M1100" s="33">
        <f ca="1"/>
        <v>25.08</v>
      </c>
      <c r="N1100" s="2" t="e">
        <f ca="1"/>
        <v>#N/A</v>
      </c>
      <c r="O1100" s="2" t="e">
        <f ca="1"/>
        <v>#N/A</v>
      </c>
      <c r="P1100" s="2" t="e">
        <f ca="1"/>
        <v>#N/A</v>
      </c>
      <c r="Q1100" s="33" t="e">
        <f ca="1"/>
        <v>#N/A</v>
      </c>
      <c r="R1100" s="33" t="e">
        <f ca="1"/>
        <v>#N/A</v>
      </c>
    </row>
    <row r="1101" spans="1:18" x14ac:dyDescent="0.2">
      <c r="A1101" s="2">
        <v>1100</v>
      </c>
      <c r="B1101" s="65">
        <v>45734</v>
      </c>
      <c r="C1101" s="70">
        <v>0.6474537037037037</v>
      </c>
      <c r="D1101" s="66" t="s">
        <v>98</v>
      </c>
      <c r="G1101" s="66" t="s">
        <v>176</v>
      </c>
      <c r="H1101" s="66" t="s">
        <v>100</v>
      </c>
      <c r="I1101" s="33" t="str">
        <f ca="1"/>
        <v>25,18</v>
      </c>
      <c r="J1101" s="2">
        <v>1101</v>
      </c>
      <c r="K1101" s="2" t="str">
        <v>No Match</v>
      </c>
      <c r="M1101" s="33">
        <f ca="1"/>
        <v>25.18</v>
      </c>
      <c r="N1101" s="2">
        <f ca="1"/>
        <v>25</v>
      </c>
      <c r="O1101" s="2">
        <f ca="1"/>
        <v>24.625</v>
      </c>
      <c r="P1101" s="2">
        <f ca="1"/>
        <v>25.375</v>
      </c>
      <c r="Q1101" s="33">
        <f ca="1"/>
        <v>25.35665454545455</v>
      </c>
      <c r="R1101" s="33">
        <f ca="1"/>
        <v>25.229000000000003</v>
      </c>
    </row>
    <row r="1102" spans="1:18" x14ac:dyDescent="0.2">
      <c r="A1102" s="2">
        <v>1101</v>
      </c>
      <c r="B1102" s="65">
        <v>45734</v>
      </c>
      <c r="C1102" s="70">
        <v>0.65112268518518523</v>
      </c>
      <c r="D1102" s="66" t="s">
        <v>98</v>
      </c>
      <c r="G1102" s="66" t="s">
        <v>113</v>
      </c>
      <c r="H1102" s="66" t="s">
        <v>100</v>
      </c>
      <c r="I1102" s="33" t="str">
        <f ca="1"/>
        <v>24,98</v>
      </c>
      <c r="J1102" s="2">
        <v>1102</v>
      </c>
      <c r="K1102" s="2" t="str">
        <v>No Match</v>
      </c>
      <c r="M1102" s="33">
        <f ca="1"/>
        <v>24.98</v>
      </c>
      <c r="N1102" s="2" t="e">
        <f ca="1"/>
        <v>#N/A</v>
      </c>
      <c r="O1102" s="2" t="e">
        <f ca="1"/>
        <v>#N/A</v>
      </c>
      <c r="P1102" s="2" t="e">
        <f ca="1"/>
        <v>#N/A</v>
      </c>
      <c r="Q1102" s="33" t="e">
        <f ca="1"/>
        <v>#N/A</v>
      </c>
      <c r="R1102" s="33" t="e">
        <f ca="1"/>
        <v>#N/A</v>
      </c>
    </row>
    <row r="1103" spans="1:18" x14ac:dyDescent="0.2">
      <c r="A1103" s="2">
        <v>1102</v>
      </c>
      <c r="B1103" s="65">
        <v>45734</v>
      </c>
      <c r="C1103" s="70">
        <v>0.65150462962962963</v>
      </c>
      <c r="D1103" s="66" t="s">
        <v>98</v>
      </c>
      <c r="G1103" s="66" t="s">
        <v>111</v>
      </c>
      <c r="H1103" s="66" t="s">
        <v>100</v>
      </c>
      <c r="I1103" s="33" t="str">
        <f ca="1"/>
        <v>25,44</v>
      </c>
      <c r="J1103" s="2">
        <v>1103</v>
      </c>
      <c r="K1103" s="2" t="str">
        <v>No Match</v>
      </c>
      <c r="M1103" s="33">
        <f ca="1"/>
        <v>25.44</v>
      </c>
      <c r="N1103" s="2" t="e">
        <f ca="1"/>
        <v>#N/A</v>
      </c>
      <c r="O1103" s="2" t="e">
        <f ca="1"/>
        <v>#N/A</v>
      </c>
      <c r="P1103" s="2" t="e">
        <f ca="1"/>
        <v>#N/A</v>
      </c>
      <c r="Q1103" s="33" t="e">
        <f ca="1"/>
        <v>#N/A</v>
      </c>
      <c r="R1103" s="33" t="e">
        <f ca="1"/>
        <v>#N/A</v>
      </c>
    </row>
    <row r="1104" spans="1:18" x14ac:dyDescent="0.2">
      <c r="A1104" s="2">
        <v>1103</v>
      </c>
      <c r="B1104" s="65">
        <v>45734</v>
      </c>
      <c r="C1104" s="70">
        <v>0.65212962962962961</v>
      </c>
      <c r="D1104" s="66" t="s">
        <v>98</v>
      </c>
      <c r="G1104" s="66" t="s">
        <v>139</v>
      </c>
      <c r="H1104" s="66" t="s">
        <v>100</v>
      </c>
      <c r="I1104" s="33" t="str">
        <f ca="1"/>
        <v>25,35</v>
      </c>
      <c r="J1104" s="2">
        <v>1104</v>
      </c>
      <c r="K1104" s="2" t="str">
        <v>No Match</v>
      </c>
      <c r="M1104" s="33">
        <f ca="1"/>
        <v>25.35</v>
      </c>
      <c r="N1104" s="2" t="e">
        <f ca="1"/>
        <v>#N/A</v>
      </c>
      <c r="O1104" s="2" t="e">
        <f ca="1"/>
        <v>#N/A</v>
      </c>
      <c r="P1104" s="2" t="e">
        <f ca="1"/>
        <v>#N/A</v>
      </c>
      <c r="Q1104" s="33" t="e">
        <f ca="1"/>
        <v>#N/A</v>
      </c>
      <c r="R1104" s="33" t="e">
        <f ca="1"/>
        <v>#N/A</v>
      </c>
    </row>
    <row r="1105" spans="1:18" x14ac:dyDescent="0.2">
      <c r="A1105" s="2">
        <v>1104</v>
      </c>
      <c r="B1105" s="65">
        <v>45734</v>
      </c>
      <c r="C1105" s="70">
        <v>0.65500000000000003</v>
      </c>
      <c r="D1105" s="66" t="s">
        <v>98</v>
      </c>
      <c r="G1105" s="66" t="s">
        <v>226</v>
      </c>
      <c r="H1105" s="66" t="s">
        <v>100</v>
      </c>
      <c r="I1105" s="33" t="str">
        <f ca="1"/>
        <v>25,68</v>
      </c>
      <c r="J1105" s="2">
        <v>1105</v>
      </c>
      <c r="K1105" s="2" t="str">
        <v>No Match</v>
      </c>
      <c r="M1105" s="33">
        <f ca="1"/>
        <v>25.68</v>
      </c>
      <c r="N1105" s="2" t="e">
        <f ca="1"/>
        <v>#N/A</v>
      </c>
      <c r="O1105" s="2" t="e">
        <f ca="1"/>
        <v>#N/A</v>
      </c>
      <c r="P1105" s="2" t="e">
        <f ca="1"/>
        <v>#N/A</v>
      </c>
      <c r="Q1105" s="33" t="e">
        <f ca="1"/>
        <v>#N/A</v>
      </c>
      <c r="R1105" s="33" t="e">
        <f ca="1"/>
        <v>#N/A</v>
      </c>
    </row>
    <row r="1106" spans="1:18" x14ac:dyDescent="0.2">
      <c r="A1106" s="2">
        <v>1105</v>
      </c>
      <c r="B1106" s="65">
        <v>45734</v>
      </c>
      <c r="C1106" s="70">
        <v>0.65574074074074074</v>
      </c>
      <c r="D1106" s="66" t="s">
        <v>98</v>
      </c>
      <c r="G1106" s="66" t="s">
        <v>190</v>
      </c>
      <c r="H1106" s="66" t="s">
        <v>100</v>
      </c>
      <c r="I1106" s="33" t="str">
        <f ca="1"/>
        <v>25,19</v>
      </c>
      <c r="J1106" s="2">
        <v>1106</v>
      </c>
      <c r="K1106" s="2" t="str">
        <v>No Match</v>
      </c>
      <c r="M1106" s="33">
        <f ca="1"/>
        <v>25.19</v>
      </c>
      <c r="N1106" s="2" t="e">
        <f ca="1"/>
        <v>#N/A</v>
      </c>
      <c r="O1106" s="2" t="e">
        <f ca="1"/>
        <v>#N/A</v>
      </c>
      <c r="P1106" s="2" t="e">
        <f ca="1"/>
        <v>#N/A</v>
      </c>
      <c r="Q1106" s="33" t="e">
        <f ca="1"/>
        <v>#N/A</v>
      </c>
      <c r="R1106" s="33" t="e">
        <f ca="1"/>
        <v>#N/A</v>
      </c>
    </row>
    <row r="1107" spans="1:18" x14ac:dyDescent="0.2">
      <c r="A1107" s="2">
        <v>1106</v>
      </c>
      <c r="B1107" s="65">
        <v>45734</v>
      </c>
      <c r="C1107" s="70">
        <v>0.65612268518518524</v>
      </c>
      <c r="D1107" s="66" t="s">
        <v>98</v>
      </c>
      <c r="G1107" s="66" t="s">
        <v>226</v>
      </c>
      <c r="H1107" s="66" t="s">
        <v>100</v>
      </c>
      <c r="I1107" s="33" t="str">
        <f ca="1"/>
        <v>25,68</v>
      </c>
      <c r="J1107" s="2">
        <v>1107</v>
      </c>
      <c r="K1107" s="2" t="str">
        <v>No Match</v>
      </c>
      <c r="M1107" s="33">
        <f ca="1"/>
        <v>25.68</v>
      </c>
      <c r="N1107" s="2" t="e">
        <f ca="1"/>
        <v>#N/A</v>
      </c>
      <c r="O1107" s="2" t="e">
        <f ca="1"/>
        <v>#N/A</v>
      </c>
      <c r="P1107" s="2" t="e">
        <f ca="1"/>
        <v>#N/A</v>
      </c>
      <c r="Q1107" s="33" t="e">
        <f ca="1"/>
        <v>#N/A</v>
      </c>
      <c r="R1107" s="33" t="e">
        <f ca="1"/>
        <v>#N/A</v>
      </c>
    </row>
    <row r="1108" spans="1:18" x14ac:dyDescent="0.2">
      <c r="A1108" s="2">
        <v>1107</v>
      </c>
      <c r="B1108" s="65">
        <v>45734</v>
      </c>
      <c r="C1108" s="70">
        <v>0.6574768518518519</v>
      </c>
      <c r="D1108" s="66" t="s">
        <v>98</v>
      </c>
      <c r="G1108" s="66" t="s">
        <v>170</v>
      </c>
      <c r="H1108" s="66" t="s">
        <v>100</v>
      </c>
      <c r="I1108" s="33" t="str">
        <f ca="1"/>
        <v>25,52</v>
      </c>
      <c r="J1108" s="2">
        <v>1108</v>
      </c>
      <c r="K1108" s="2" t="str">
        <v>No Match</v>
      </c>
      <c r="M1108" s="33">
        <f ca="1"/>
        <v>25.52</v>
      </c>
      <c r="N1108" s="2" t="e">
        <f ca="1"/>
        <v>#N/A</v>
      </c>
      <c r="O1108" s="2" t="e">
        <f ca="1"/>
        <v>#N/A</v>
      </c>
      <c r="P1108" s="2" t="e">
        <f ca="1"/>
        <v>#N/A</v>
      </c>
      <c r="Q1108" s="33" t="e">
        <f ca="1"/>
        <v>#N/A</v>
      </c>
      <c r="R1108" s="33" t="e">
        <f ca="1"/>
        <v>#N/A</v>
      </c>
    </row>
    <row r="1109" spans="1:18" x14ac:dyDescent="0.2">
      <c r="A1109" s="2">
        <v>1108</v>
      </c>
      <c r="B1109" s="65">
        <v>45734</v>
      </c>
      <c r="C1109" s="70">
        <v>0.66001157407407407</v>
      </c>
      <c r="D1109" s="66" t="s">
        <v>98</v>
      </c>
      <c r="G1109" s="66" t="s">
        <v>135</v>
      </c>
      <c r="H1109" s="66" t="s">
        <v>100</v>
      </c>
      <c r="I1109" s="33" t="str">
        <f ca="1"/>
        <v>25,15</v>
      </c>
      <c r="J1109" s="2">
        <v>1109</v>
      </c>
      <c r="K1109" s="2" t="str">
        <v>No Match</v>
      </c>
      <c r="M1109" s="33">
        <f ca="1"/>
        <v>25.15</v>
      </c>
      <c r="N1109" s="2" t="e">
        <f ca="1"/>
        <v>#N/A</v>
      </c>
      <c r="O1109" s="2" t="e">
        <f ca="1"/>
        <v>#N/A</v>
      </c>
      <c r="P1109" s="2" t="e">
        <f ca="1"/>
        <v>#N/A</v>
      </c>
      <c r="Q1109" s="33" t="e">
        <f ca="1"/>
        <v>#N/A</v>
      </c>
      <c r="R1109" s="33" t="e">
        <f ca="1"/>
        <v>#N/A</v>
      </c>
    </row>
    <row r="1110" spans="1:18" x14ac:dyDescent="0.2">
      <c r="A1110" s="2">
        <v>1109</v>
      </c>
      <c r="B1110" s="65">
        <v>45734</v>
      </c>
      <c r="C1110" s="70">
        <v>0.66246527777777775</v>
      </c>
      <c r="D1110" s="66" t="s">
        <v>98</v>
      </c>
      <c r="G1110" s="66" t="s">
        <v>204</v>
      </c>
      <c r="H1110" s="66" t="s">
        <v>100</v>
      </c>
      <c r="I1110" s="33" t="str">
        <f ca="1"/>
        <v>25,01</v>
      </c>
      <c r="J1110" s="2">
        <v>1110</v>
      </c>
      <c r="K1110" s="2" t="str">
        <v>No Match</v>
      </c>
      <c r="M1110" s="33">
        <f ca="1"/>
        <v>25.01</v>
      </c>
      <c r="N1110" s="2" t="e">
        <f ca="1"/>
        <v>#N/A</v>
      </c>
      <c r="O1110" s="2" t="e">
        <f ca="1"/>
        <v>#N/A</v>
      </c>
      <c r="P1110" s="2" t="e">
        <f ca="1"/>
        <v>#N/A</v>
      </c>
      <c r="Q1110" s="33" t="e">
        <f ca="1"/>
        <v>#N/A</v>
      </c>
      <c r="R1110" s="33" t="e">
        <f ca="1"/>
        <v>#N/A</v>
      </c>
    </row>
    <row r="1111" spans="1:18" x14ac:dyDescent="0.2">
      <c r="A1111" s="2">
        <v>1110</v>
      </c>
      <c r="B1111" s="65">
        <v>45734</v>
      </c>
      <c r="C1111" s="70">
        <v>0.66303240740740743</v>
      </c>
      <c r="D1111" s="66" t="s">
        <v>98</v>
      </c>
      <c r="G1111" s="66" t="s">
        <v>176</v>
      </c>
      <c r="H1111" s="66" t="s">
        <v>100</v>
      </c>
      <c r="I1111" s="33" t="str">
        <f ca="1"/>
        <v>25,18</v>
      </c>
      <c r="J1111" s="2">
        <v>1111</v>
      </c>
      <c r="K1111" s="2" t="str">
        <v>No Match</v>
      </c>
      <c r="M1111" s="33">
        <f ca="1"/>
        <v>25.18</v>
      </c>
      <c r="N1111" s="2">
        <f ca="1"/>
        <v>25</v>
      </c>
      <c r="O1111" s="2">
        <f ca="1"/>
        <v>24.625</v>
      </c>
      <c r="P1111" s="2">
        <f ca="1"/>
        <v>25.375</v>
      </c>
      <c r="Q1111" s="33">
        <f ca="1"/>
        <v>25.356306306306305</v>
      </c>
      <c r="R1111" s="33">
        <f ca="1"/>
        <v>25.318000000000005</v>
      </c>
    </row>
    <row r="1112" spans="1:18" x14ac:dyDescent="0.2">
      <c r="A1112" s="2">
        <v>1111</v>
      </c>
      <c r="B1112" s="65">
        <v>45734</v>
      </c>
      <c r="C1112" s="70">
        <v>0.68631944444444448</v>
      </c>
      <c r="D1112" s="66" t="s">
        <v>98</v>
      </c>
      <c r="G1112" s="66" t="s">
        <v>110</v>
      </c>
      <c r="H1112" s="66" t="s">
        <v>100</v>
      </c>
      <c r="I1112" s="33" t="str">
        <f ca="1"/>
        <v>25,12</v>
      </c>
      <c r="J1112" s="2">
        <v>1112</v>
      </c>
      <c r="K1112" s="2" t="str">
        <v>No Match</v>
      </c>
      <c r="M1112" s="33">
        <f ca="1"/>
        <v>25.12</v>
      </c>
      <c r="N1112" s="2" t="e">
        <f ca="1"/>
        <v>#N/A</v>
      </c>
      <c r="O1112" s="2" t="e">
        <f ca="1"/>
        <v>#N/A</v>
      </c>
      <c r="P1112" s="2" t="e">
        <f ca="1"/>
        <v>#N/A</v>
      </c>
      <c r="Q1112" s="33" t="e">
        <f ca="1"/>
        <v>#N/A</v>
      </c>
      <c r="R1112" s="33" t="e">
        <f ca="1"/>
        <v>#N/A</v>
      </c>
    </row>
    <row r="1113" spans="1:18" x14ac:dyDescent="0.2">
      <c r="A1113" s="2">
        <v>1112</v>
      </c>
      <c r="B1113" s="65">
        <v>45734</v>
      </c>
      <c r="C1113" s="70">
        <v>0.68685185185185182</v>
      </c>
      <c r="D1113" s="66" t="s">
        <v>98</v>
      </c>
      <c r="G1113" s="66" t="s">
        <v>246</v>
      </c>
      <c r="H1113" s="66" t="s">
        <v>100</v>
      </c>
      <c r="I1113" s="33" t="str">
        <f ca="1"/>
        <v>24,74</v>
      </c>
      <c r="J1113" s="2">
        <v>1113</v>
      </c>
      <c r="K1113" s="2" t="str">
        <v>No Match</v>
      </c>
      <c r="M1113" s="33">
        <f ca="1"/>
        <v>24.74</v>
      </c>
      <c r="N1113" s="2" t="e">
        <f ca="1"/>
        <v>#N/A</v>
      </c>
      <c r="O1113" s="2" t="e">
        <f ca="1"/>
        <v>#N/A</v>
      </c>
      <c r="P1113" s="2" t="e">
        <f ca="1"/>
        <v>#N/A</v>
      </c>
      <c r="Q1113" s="33" t="e">
        <f ca="1"/>
        <v>#N/A</v>
      </c>
      <c r="R1113" s="33" t="e">
        <f ca="1"/>
        <v>#N/A</v>
      </c>
    </row>
    <row r="1114" spans="1:18" x14ac:dyDescent="0.2">
      <c r="A1114" s="2">
        <v>1113</v>
      </c>
      <c r="B1114" s="65">
        <v>45734</v>
      </c>
      <c r="C1114" s="70">
        <v>0.68744212962962958</v>
      </c>
      <c r="D1114" s="66" t="s">
        <v>98</v>
      </c>
      <c r="G1114" s="66" t="s">
        <v>253</v>
      </c>
      <c r="H1114" s="66" t="s">
        <v>100</v>
      </c>
      <c r="I1114" s="33" t="str">
        <f ca="1"/>
        <v>24,69</v>
      </c>
      <c r="J1114" s="2">
        <v>1114</v>
      </c>
      <c r="K1114" s="2" t="str">
        <v>No Match</v>
      </c>
      <c r="M1114" s="33">
        <f ca="1"/>
        <v>24.69</v>
      </c>
      <c r="N1114" s="2" t="e">
        <f ca="1"/>
        <v>#N/A</v>
      </c>
      <c r="O1114" s="2" t="e">
        <f ca="1"/>
        <v>#N/A</v>
      </c>
      <c r="P1114" s="2" t="e">
        <f ca="1"/>
        <v>#N/A</v>
      </c>
      <c r="Q1114" s="33" t="e">
        <f ca="1"/>
        <v>#N/A</v>
      </c>
      <c r="R1114" s="33" t="e">
        <f ca="1"/>
        <v>#N/A</v>
      </c>
    </row>
    <row r="1115" spans="1:18" x14ac:dyDescent="0.2">
      <c r="A1115" s="2">
        <v>1114</v>
      </c>
      <c r="B1115" s="65">
        <v>45734</v>
      </c>
      <c r="C1115" s="70">
        <v>0.6878009259259259</v>
      </c>
      <c r="D1115" s="66" t="s">
        <v>98</v>
      </c>
      <c r="G1115" s="66" t="s">
        <v>105</v>
      </c>
      <c r="H1115" s="66" t="s">
        <v>100</v>
      </c>
      <c r="I1115" s="33" t="str">
        <f ca="1"/>
        <v>25,39</v>
      </c>
      <c r="J1115" s="2">
        <v>1115</v>
      </c>
      <c r="K1115" s="2" t="str">
        <v>No Match</v>
      </c>
      <c r="M1115" s="33">
        <f ca="1"/>
        <v>25.39</v>
      </c>
      <c r="N1115" s="2" t="e">
        <f ca="1"/>
        <v>#N/A</v>
      </c>
      <c r="O1115" s="2" t="e">
        <f ca="1"/>
        <v>#N/A</v>
      </c>
      <c r="P1115" s="2" t="e">
        <f ca="1"/>
        <v>#N/A</v>
      </c>
      <c r="Q1115" s="33" t="e">
        <f ca="1"/>
        <v>#N/A</v>
      </c>
      <c r="R1115" s="33" t="e">
        <f ca="1"/>
        <v>#N/A</v>
      </c>
    </row>
    <row r="1116" spans="1:18" x14ac:dyDescent="0.2">
      <c r="A1116" s="2">
        <v>1115</v>
      </c>
      <c r="B1116" s="65">
        <v>45734</v>
      </c>
      <c r="C1116" s="70">
        <v>0.68895833333333334</v>
      </c>
      <c r="D1116" s="66" t="s">
        <v>98</v>
      </c>
      <c r="G1116" s="66" t="s">
        <v>220</v>
      </c>
      <c r="H1116" s="66" t="s">
        <v>100</v>
      </c>
      <c r="I1116" s="33" t="str">
        <f ca="1"/>
        <v>25,54</v>
      </c>
      <c r="J1116" s="2">
        <v>1116</v>
      </c>
      <c r="K1116" s="2" t="str">
        <v>No Match</v>
      </c>
      <c r="M1116" s="33">
        <f ca="1"/>
        <v>25.54</v>
      </c>
      <c r="N1116" s="2" t="e">
        <f ca="1"/>
        <v>#N/A</v>
      </c>
      <c r="O1116" s="2" t="e">
        <f ca="1"/>
        <v>#N/A</v>
      </c>
      <c r="P1116" s="2" t="e">
        <f ca="1"/>
        <v>#N/A</v>
      </c>
      <c r="Q1116" s="33" t="e">
        <f ca="1"/>
        <v>#N/A</v>
      </c>
      <c r="R1116" s="33" t="e">
        <f ca="1"/>
        <v>#N/A</v>
      </c>
    </row>
    <row r="1117" spans="1:18" x14ac:dyDescent="0.2">
      <c r="A1117" s="2">
        <v>1116</v>
      </c>
      <c r="B1117" s="65">
        <v>45734</v>
      </c>
      <c r="C1117" s="70">
        <v>0.68969907407407405</v>
      </c>
      <c r="D1117" s="66" t="s">
        <v>98</v>
      </c>
      <c r="G1117" s="66" t="s">
        <v>141</v>
      </c>
      <c r="H1117" s="66" t="s">
        <v>100</v>
      </c>
      <c r="I1117" s="33" t="str">
        <f ca="1"/>
        <v>25,50</v>
      </c>
      <c r="J1117" s="2">
        <v>1117</v>
      </c>
      <c r="K1117" s="2" t="str">
        <v>No Match</v>
      </c>
      <c r="M1117" s="33">
        <f ca="1"/>
        <v>25.5</v>
      </c>
      <c r="N1117" s="2" t="e">
        <f ca="1"/>
        <v>#N/A</v>
      </c>
      <c r="O1117" s="2" t="e">
        <f ca="1"/>
        <v>#N/A</v>
      </c>
      <c r="P1117" s="2" t="e">
        <f ca="1"/>
        <v>#N/A</v>
      </c>
      <c r="Q1117" s="33" t="e">
        <f ca="1"/>
        <v>#N/A</v>
      </c>
      <c r="R1117" s="33" t="e">
        <f ca="1"/>
        <v>#N/A</v>
      </c>
    </row>
    <row r="1118" spans="1:18" x14ac:dyDescent="0.2">
      <c r="A1118" s="2">
        <v>1117</v>
      </c>
      <c r="B1118" s="65">
        <v>45734</v>
      </c>
      <c r="C1118" s="70">
        <v>0.69556712962962963</v>
      </c>
      <c r="D1118" s="66" t="s">
        <v>98</v>
      </c>
      <c r="G1118" s="66" t="s">
        <v>162</v>
      </c>
      <c r="H1118" s="66" t="s">
        <v>100</v>
      </c>
      <c r="I1118" s="33" t="str">
        <f ca="1"/>
        <v>25,51</v>
      </c>
      <c r="J1118" s="2">
        <v>1118</v>
      </c>
      <c r="K1118" s="2" t="str">
        <v>No Match</v>
      </c>
      <c r="M1118" s="33">
        <f ca="1"/>
        <v>25.51</v>
      </c>
      <c r="N1118" s="2" t="e">
        <f ca="1"/>
        <v>#N/A</v>
      </c>
      <c r="O1118" s="2" t="e">
        <f ca="1"/>
        <v>#N/A</v>
      </c>
      <c r="P1118" s="2" t="e">
        <f ca="1"/>
        <v>#N/A</v>
      </c>
      <c r="Q1118" s="33" t="e">
        <f ca="1"/>
        <v>#N/A</v>
      </c>
      <c r="R1118" s="33" t="e">
        <f ca="1"/>
        <v>#N/A</v>
      </c>
    </row>
    <row r="1119" spans="1:18" x14ac:dyDescent="0.2">
      <c r="A1119" s="2">
        <v>1118</v>
      </c>
      <c r="B1119" s="65">
        <v>45734</v>
      </c>
      <c r="C1119" s="70">
        <v>0.69593749999999999</v>
      </c>
      <c r="D1119" s="66" t="s">
        <v>98</v>
      </c>
      <c r="G1119" s="66" t="s">
        <v>157</v>
      </c>
      <c r="H1119" s="66" t="s">
        <v>100</v>
      </c>
      <c r="I1119" s="33" t="str">
        <f ca="1"/>
        <v>25,72</v>
      </c>
      <c r="J1119" s="2">
        <v>1119</v>
      </c>
      <c r="K1119" s="2" t="str">
        <v>No Match</v>
      </c>
      <c r="M1119" s="33">
        <f ca="1"/>
        <v>25.72</v>
      </c>
      <c r="N1119" s="2" t="e">
        <f ca="1"/>
        <v>#N/A</v>
      </c>
      <c r="O1119" s="2" t="e">
        <f ca="1"/>
        <v>#N/A</v>
      </c>
      <c r="P1119" s="2" t="e">
        <f ca="1"/>
        <v>#N/A</v>
      </c>
      <c r="Q1119" s="33" t="e">
        <f ca="1"/>
        <v>#N/A</v>
      </c>
      <c r="R1119" s="33" t="e">
        <f ca="1"/>
        <v>#N/A</v>
      </c>
    </row>
    <row r="1120" spans="1:18" x14ac:dyDescent="0.2">
      <c r="A1120" s="2">
        <v>1119</v>
      </c>
      <c r="B1120" s="65">
        <v>45734</v>
      </c>
      <c r="C1120" s="70">
        <v>0.69690972222222225</v>
      </c>
      <c r="D1120" s="66" t="s">
        <v>98</v>
      </c>
      <c r="G1120" s="66" t="s">
        <v>165</v>
      </c>
      <c r="H1120" s="66" t="s">
        <v>100</v>
      </c>
      <c r="I1120" s="33" t="str">
        <f ca="1"/>
        <v>25,42</v>
      </c>
      <c r="J1120" s="2">
        <v>1120</v>
      </c>
      <c r="K1120" s="2" t="str">
        <v>No Match</v>
      </c>
      <c r="M1120" s="33">
        <f ca="1"/>
        <v>25.42</v>
      </c>
      <c r="N1120" s="2" t="e">
        <f ca="1"/>
        <v>#N/A</v>
      </c>
      <c r="O1120" s="2" t="e">
        <f ca="1"/>
        <v>#N/A</v>
      </c>
      <c r="P1120" s="2" t="e">
        <f ca="1"/>
        <v>#N/A</v>
      </c>
      <c r="Q1120" s="33" t="e">
        <f ca="1"/>
        <v>#N/A</v>
      </c>
      <c r="R1120" s="33" t="e">
        <f ca="1"/>
        <v>#N/A</v>
      </c>
    </row>
    <row r="1121" spans="1:18" x14ac:dyDescent="0.2">
      <c r="A1121" s="2">
        <v>1120</v>
      </c>
      <c r="B1121" s="65">
        <v>45734</v>
      </c>
      <c r="C1121" s="70">
        <v>0.69763888888888892</v>
      </c>
      <c r="D1121" s="66" t="s">
        <v>98</v>
      </c>
      <c r="G1121" s="66" t="s">
        <v>110</v>
      </c>
      <c r="H1121" s="66" t="s">
        <v>100</v>
      </c>
      <c r="I1121" s="33" t="str">
        <f ca="1"/>
        <v>25,12</v>
      </c>
      <c r="J1121" s="2">
        <v>1121</v>
      </c>
      <c r="K1121" s="2" t="str">
        <v>No Match</v>
      </c>
      <c r="M1121" s="33">
        <f ca="1"/>
        <v>25.12</v>
      </c>
      <c r="N1121" s="2">
        <f ca="1"/>
        <v>25</v>
      </c>
      <c r="O1121" s="2">
        <f ca="1"/>
        <v>24.625</v>
      </c>
      <c r="P1121" s="2">
        <f ca="1"/>
        <v>25.375</v>
      </c>
      <c r="Q1121" s="33">
        <f ca="1"/>
        <v>25.355580357142856</v>
      </c>
      <c r="R1121" s="33">
        <f ca="1"/>
        <v>25.274999999999999</v>
      </c>
    </row>
    <row r="1122" spans="1:18" x14ac:dyDescent="0.2">
      <c r="A1122" s="2">
        <v>1121</v>
      </c>
      <c r="B1122" s="65">
        <v>45734</v>
      </c>
      <c r="C1122" s="70">
        <v>0.69805555555555554</v>
      </c>
      <c r="D1122" s="66" t="s">
        <v>98</v>
      </c>
      <c r="G1122" s="66" t="s">
        <v>214</v>
      </c>
      <c r="H1122" s="66" t="s">
        <v>100</v>
      </c>
      <c r="I1122" s="33" t="str">
        <f ca="1"/>
        <v>24,91</v>
      </c>
      <c r="J1122" s="2">
        <v>1122</v>
      </c>
      <c r="K1122" s="2" t="str">
        <v>No Match</v>
      </c>
      <c r="M1122" s="33">
        <f ca="1"/>
        <v>24.91</v>
      </c>
      <c r="N1122" s="2" t="e">
        <f ca="1"/>
        <v>#N/A</v>
      </c>
      <c r="O1122" s="2" t="e">
        <f ca="1"/>
        <v>#N/A</v>
      </c>
      <c r="P1122" s="2" t="e">
        <f ca="1"/>
        <v>#N/A</v>
      </c>
      <c r="Q1122" s="33" t="e">
        <f ca="1"/>
        <v>#N/A</v>
      </c>
      <c r="R1122" s="33" t="e">
        <f ca="1"/>
        <v>#N/A</v>
      </c>
    </row>
    <row r="1123" spans="1:18" x14ac:dyDescent="0.2">
      <c r="A1123" s="2">
        <v>1122</v>
      </c>
      <c r="B1123" s="65">
        <v>45734</v>
      </c>
      <c r="C1123" s="70">
        <v>0.69833333333333336</v>
      </c>
      <c r="D1123" s="66" t="s">
        <v>98</v>
      </c>
      <c r="G1123" s="66" t="s">
        <v>138</v>
      </c>
      <c r="H1123" s="66" t="s">
        <v>100</v>
      </c>
      <c r="I1123" s="33" t="str">
        <f ca="1"/>
        <v>25,32</v>
      </c>
      <c r="J1123" s="2">
        <v>1123</v>
      </c>
      <c r="K1123" s="2" t="str">
        <v>No Match</v>
      </c>
      <c r="M1123" s="33">
        <f ca="1"/>
        <v>25.32</v>
      </c>
      <c r="N1123" s="2" t="e">
        <f ca="1"/>
        <v>#N/A</v>
      </c>
      <c r="O1123" s="2" t="e">
        <f ca="1"/>
        <v>#N/A</v>
      </c>
      <c r="P1123" s="2" t="e">
        <f ca="1"/>
        <v>#N/A</v>
      </c>
      <c r="Q1123" s="33" t="e">
        <f ca="1"/>
        <v>#N/A</v>
      </c>
      <c r="R1123" s="33" t="e">
        <f ca="1"/>
        <v>#N/A</v>
      </c>
    </row>
    <row r="1124" spans="1:18" x14ac:dyDescent="0.2">
      <c r="A1124" s="2">
        <v>1123</v>
      </c>
      <c r="B1124" s="65">
        <v>45734</v>
      </c>
      <c r="C1124" s="70">
        <v>0.7006944444444444</v>
      </c>
      <c r="D1124" s="66" t="s">
        <v>98</v>
      </c>
      <c r="G1124" s="66" t="s">
        <v>160</v>
      </c>
      <c r="H1124" s="66" t="s">
        <v>100</v>
      </c>
      <c r="I1124" s="33" t="str">
        <f ca="1"/>
        <v>25,14</v>
      </c>
      <c r="J1124" s="2">
        <v>1124</v>
      </c>
      <c r="K1124" s="2" t="str">
        <v>No Match</v>
      </c>
      <c r="M1124" s="33">
        <f ca="1"/>
        <v>25.14</v>
      </c>
      <c r="N1124" s="2" t="e">
        <f ca="1"/>
        <v>#N/A</v>
      </c>
      <c r="O1124" s="2" t="e">
        <f ca="1"/>
        <v>#N/A</v>
      </c>
      <c r="P1124" s="2" t="e">
        <f ca="1"/>
        <v>#N/A</v>
      </c>
      <c r="Q1124" s="33" t="e">
        <f ca="1"/>
        <v>#N/A</v>
      </c>
      <c r="R1124" s="33" t="e">
        <f ca="1"/>
        <v>#N/A</v>
      </c>
    </row>
    <row r="1125" spans="1:18" x14ac:dyDescent="0.2">
      <c r="A1125" s="2">
        <v>1124</v>
      </c>
      <c r="B1125" s="65">
        <v>45734</v>
      </c>
      <c r="C1125" s="70">
        <v>0.7016782407407407</v>
      </c>
      <c r="D1125" s="66" t="s">
        <v>98</v>
      </c>
      <c r="G1125" s="66" t="s">
        <v>104</v>
      </c>
      <c r="H1125" s="66" t="s">
        <v>100</v>
      </c>
      <c r="I1125" s="33" t="str">
        <f ca="1"/>
        <v>25,40</v>
      </c>
      <c r="J1125" s="2">
        <v>1125</v>
      </c>
      <c r="K1125" s="2" t="str">
        <v>No Match</v>
      </c>
      <c r="M1125" s="33">
        <f ca="1"/>
        <v>25.4</v>
      </c>
      <c r="N1125" s="2" t="e">
        <f ca="1"/>
        <v>#N/A</v>
      </c>
      <c r="O1125" s="2" t="e">
        <f ca="1"/>
        <v>#N/A</v>
      </c>
      <c r="P1125" s="2" t="e">
        <f ca="1"/>
        <v>#N/A</v>
      </c>
      <c r="Q1125" s="33" t="e">
        <f ca="1"/>
        <v>#N/A</v>
      </c>
      <c r="R1125" s="33" t="e">
        <f ca="1"/>
        <v>#N/A</v>
      </c>
    </row>
    <row r="1126" spans="1:18" x14ac:dyDescent="0.2">
      <c r="A1126" s="2">
        <v>1125</v>
      </c>
      <c r="B1126" s="65">
        <v>45734</v>
      </c>
      <c r="C1126" s="70">
        <v>0.70553240740740741</v>
      </c>
      <c r="D1126" s="66" t="s">
        <v>98</v>
      </c>
      <c r="G1126" s="66" t="s">
        <v>217</v>
      </c>
      <c r="H1126" s="66" t="s">
        <v>100</v>
      </c>
      <c r="I1126" s="33" t="str">
        <f ca="1"/>
        <v>25,74</v>
      </c>
      <c r="J1126" s="2">
        <v>1126</v>
      </c>
      <c r="K1126" s="2" t="str">
        <v>No Match</v>
      </c>
      <c r="M1126" s="33">
        <f ca="1"/>
        <v>25.74</v>
      </c>
      <c r="N1126" s="2" t="e">
        <f ca="1"/>
        <v>#N/A</v>
      </c>
      <c r="O1126" s="2" t="e">
        <f ca="1"/>
        <v>#N/A</v>
      </c>
      <c r="P1126" s="2" t="e">
        <f ca="1"/>
        <v>#N/A</v>
      </c>
      <c r="Q1126" s="33" t="e">
        <f ca="1"/>
        <v>#N/A</v>
      </c>
      <c r="R1126" s="33" t="e">
        <f ca="1"/>
        <v>#N/A</v>
      </c>
    </row>
    <row r="1127" spans="1:18" x14ac:dyDescent="0.2">
      <c r="A1127" s="2">
        <v>1126</v>
      </c>
      <c r="B1127" s="65">
        <v>45734</v>
      </c>
      <c r="C1127" s="70">
        <v>0.70598379629629626</v>
      </c>
      <c r="D1127" s="66" t="s">
        <v>98</v>
      </c>
      <c r="G1127" s="66" t="s">
        <v>160</v>
      </c>
      <c r="H1127" s="66" t="s">
        <v>100</v>
      </c>
      <c r="I1127" s="33" t="str">
        <f ca="1"/>
        <v>25,14</v>
      </c>
      <c r="J1127" s="2">
        <v>1127</v>
      </c>
      <c r="K1127" s="2" t="str">
        <v>No Match</v>
      </c>
      <c r="M1127" s="33">
        <f ca="1"/>
        <v>25.14</v>
      </c>
      <c r="N1127" s="2" t="e">
        <f ca="1"/>
        <v>#N/A</v>
      </c>
      <c r="O1127" s="2" t="e">
        <f ca="1"/>
        <v>#N/A</v>
      </c>
      <c r="P1127" s="2" t="e">
        <f ca="1"/>
        <v>#N/A</v>
      </c>
      <c r="Q1127" s="33" t="e">
        <f ca="1"/>
        <v>#N/A</v>
      </c>
      <c r="R1127" s="33" t="e">
        <f ca="1"/>
        <v>#N/A</v>
      </c>
    </row>
    <row r="1128" spans="1:18" x14ac:dyDescent="0.2">
      <c r="A1128" s="2">
        <v>1127</v>
      </c>
      <c r="B1128" s="65">
        <v>45734</v>
      </c>
      <c r="C1128" s="70">
        <v>0.70638888888888884</v>
      </c>
      <c r="D1128" s="66" t="s">
        <v>98</v>
      </c>
      <c r="G1128" s="66" t="s">
        <v>129</v>
      </c>
      <c r="H1128" s="66" t="s">
        <v>100</v>
      </c>
      <c r="I1128" s="33" t="str">
        <f ca="1"/>
        <v>25,08</v>
      </c>
      <c r="J1128" s="2">
        <v>1128</v>
      </c>
      <c r="K1128" s="2" t="str">
        <v>No Match</v>
      </c>
      <c r="M1128" s="33">
        <f ca="1"/>
        <v>25.08</v>
      </c>
      <c r="N1128" s="2" t="e">
        <f ca="1"/>
        <v>#N/A</v>
      </c>
      <c r="O1128" s="2" t="e">
        <f ca="1"/>
        <v>#N/A</v>
      </c>
      <c r="P1128" s="2" t="e">
        <f ca="1"/>
        <v>#N/A</v>
      </c>
      <c r="Q1128" s="33" t="e">
        <f ca="1"/>
        <v>#N/A</v>
      </c>
      <c r="R1128" s="33" t="e">
        <f ca="1"/>
        <v>#N/A</v>
      </c>
    </row>
    <row r="1129" spans="1:18" x14ac:dyDescent="0.2">
      <c r="A1129" s="2">
        <v>1128</v>
      </c>
      <c r="B1129" s="65">
        <v>45734</v>
      </c>
      <c r="C1129" s="70">
        <v>0.70650462962962968</v>
      </c>
      <c r="D1129" s="66" t="s">
        <v>98</v>
      </c>
      <c r="G1129" s="66" t="s">
        <v>136</v>
      </c>
      <c r="H1129" s="66" t="s">
        <v>100</v>
      </c>
      <c r="I1129" s="33" t="str">
        <f ca="1"/>
        <v>25,22</v>
      </c>
      <c r="J1129" s="2">
        <v>1129</v>
      </c>
      <c r="K1129" s="2" t="str">
        <v>No Match</v>
      </c>
      <c r="M1129" s="33">
        <f ca="1"/>
        <v>25.22</v>
      </c>
      <c r="N1129" s="2" t="e">
        <f ca="1"/>
        <v>#N/A</v>
      </c>
      <c r="O1129" s="2" t="e">
        <f ca="1"/>
        <v>#N/A</v>
      </c>
      <c r="P1129" s="2" t="e">
        <f ca="1"/>
        <v>#N/A</v>
      </c>
      <c r="Q1129" s="33" t="e">
        <f ca="1"/>
        <v>#N/A</v>
      </c>
      <c r="R1129" s="33" t="e">
        <f ca="1"/>
        <v>#N/A</v>
      </c>
    </row>
    <row r="1130" spans="1:18" x14ac:dyDescent="0.2">
      <c r="A1130" s="2">
        <v>1129</v>
      </c>
      <c r="B1130" s="65">
        <v>45734</v>
      </c>
      <c r="C1130" s="70">
        <v>0.70690972222222226</v>
      </c>
      <c r="D1130" s="66" t="s">
        <v>98</v>
      </c>
      <c r="G1130" s="66" t="s">
        <v>201</v>
      </c>
      <c r="H1130" s="66" t="s">
        <v>100</v>
      </c>
      <c r="I1130" s="33" t="str">
        <f ca="1"/>
        <v>25,02</v>
      </c>
      <c r="J1130" s="2">
        <v>1130</v>
      </c>
      <c r="K1130" s="2" t="str">
        <v>No Match</v>
      </c>
      <c r="M1130" s="33">
        <f ca="1"/>
        <v>25.02</v>
      </c>
      <c r="N1130" s="2" t="e">
        <f ca="1"/>
        <v>#N/A</v>
      </c>
      <c r="O1130" s="2" t="e">
        <f ca="1"/>
        <v>#N/A</v>
      </c>
      <c r="P1130" s="2" t="e">
        <f ca="1"/>
        <v>#N/A</v>
      </c>
      <c r="Q1130" s="33" t="e">
        <f ca="1"/>
        <v>#N/A</v>
      </c>
      <c r="R1130" s="33" t="e">
        <f ca="1"/>
        <v>#N/A</v>
      </c>
    </row>
    <row r="1131" spans="1:18" x14ac:dyDescent="0.2">
      <c r="A1131" s="2">
        <v>1130</v>
      </c>
      <c r="B1131" s="65">
        <v>45734</v>
      </c>
      <c r="C1131" s="70">
        <v>0.70697916666666671</v>
      </c>
      <c r="D1131" s="66" t="s">
        <v>98</v>
      </c>
      <c r="G1131" s="66" t="s">
        <v>124</v>
      </c>
      <c r="H1131" s="66" t="s">
        <v>100</v>
      </c>
      <c r="I1131" s="33" t="str">
        <f ca="1"/>
        <v>25,09</v>
      </c>
      <c r="J1131" s="2">
        <v>1131</v>
      </c>
      <c r="K1131" s="2" t="str">
        <v>No Match</v>
      </c>
      <c r="M1131" s="33">
        <f ca="1"/>
        <v>25.09</v>
      </c>
      <c r="N1131" s="2">
        <f ca="1"/>
        <v>25</v>
      </c>
      <c r="O1131" s="2">
        <f ca="1"/>
        <v>24.625</v>
      </c>
      <c r="P1131" s="2">
        <f ca="1"/>
        <v>25.375</v>
      </c>
      <c r="Q1131" s="33">
        <f ca="1"/>
        <v>25.354256637168142</v>
      </c>
      <c r="R1131" s="33">
        <f ca="1"/>
        <v>25.206000000000003</v>
      </c>
    </row>
    <row r="1132" spans="1:18" x14ac:dyDescent="0.2">
      <c r="A1132" s="2">
        <v>1131</v>
      </c>
      <c r="B1132" s="65">
        <v>45734</v>
      </c>
      <c r="C1132" s="70">
        <v>0.70734953703703707</v>
      </c>
      <c r="D1132" s="66" t="s">
        <v>98</v>
      </c>
      <c r="G1132" s="66" t="s">
        <v>202</v>
      </c>
      <c r="H1132" s="66" t="s">
        <v>100</v>
      </c>
      <c r="I1132" s="33" t="str">
        <f ca="1"/>
        <v>25,31</v>
      </c>
      <c r="J1132" s="2">
        <v>1132</v>
      </c>
      <c r="K1132" s="2" t="str">
        <v>No Match</v>
      </c>
      <c r="M1132" s="33">
        <f ca="1"/>
        <v>25.31</v>
      </c>
      <c r="N1132" s="2" t="e">
        <f ca="1"/>
        <v>#N/A</v>
      </c>
      <c r="O1132" s="2" t="e">
        <f ca="1"/>
        <v>#N/A</v>
      </c>
      <c r="P1132" s="2" t="e">
        <f ca="1"/>
        <v>#N/A</v>
      </c>
      <c r="Q1132" s="33" t="e">
        <f ca="1"/>
        <v>#N/A</v>
      </c>
      <c r="R1132" s="33" t="e">
        <f ca="1"/>
        <v>#N/A</v>
      </c>
    </row>
    <row r="1133" spans="1:18" x14ac:dyDescent="0.2">
      <c r="A1133" s="2">
        <v>1132</v>
      </c>
      <c r="B1133" s="65">
        <v>45734</v>
      </c>
      <c r="C1133" s="70">
        <v>0.70743055555555556</v>
      </c>
      <c r="D1133" s="66" t="s">
        <v>98</v>
      </c>
      <c r="G1133" s="66" t="s">
        <v>124</v>
      </c>
      <c r="H1133" s="66" t="s">
        <v>100</v>
      </c>
      <c r="I1133" s="33" t="str">
        <f ca="1"/>
        <v>25,09</v>
      </c>
      <c r="J1133" s="2">
        <v>1133</v>
      </c>
      <c r="K1133" s="2" t="str">
        <v>No Match</v>
      </c>
      <c r="M1133" s="33">
        <f ca="1"/>
        <v>25.09</v>
      </c>
      <c r="N1133" s="2" t="e">
        <f ca="1"/>
        <v>#N/A</v>
      </c>
      <c r="O1133" s="2" t="e">
        <f ca="1"/>
        <v>#N/A</v>
      </c>
      <c r="P1133" s="2" t="e">
        <f ca="1"/>
        <v>#N/A</v>
      </c>
      <c r="Q1133" s="33" t="e">
        <f ca="1"/>
        <v>#N/A</v>
      </c>
      <c r="R1133" s="33" t="e">
        <f ca="1"/>
        <v>#N/A</v>
      </c>
    </row>
    <row r="1134" spans="1:18" x14ac:dyDescent="0.2">
      <c r="A1134" s="2">
        <v>1133</v>
      </c>
      <c r="B1134" s="65">
        <v>45734</v>
      </c>
      <c r="C1134" s="70">
        <v>0.70751157407407406</v>
      </c>
      <c r="D1134" s="66" t="s">
        <v>98</v>
      </c>
      <c r="G1134" s="66" t="s">
        <v>135</v>
      </c>
      <c r="H1134" s="66" t="s">
        <v>100</v>
      </c>
      <c r="I1134" s="33" t="str">
        <f ca="1"/>
        <v>25,15</v>
      </c>
      <c r="J1134" s="2">
        <v>1134</v>
      </c>
      <c r="K1134" s="2" t="str">
        <v>No Match</v>
      </c>
      <c r="M1134" s="33">
        <f ca="1"/>
        <v>25.15</v>
      </c>
      <c r="N1134" s="2" t="e">
        <f ca="1"/>
        <v>#N/A</v>
      </c>
      <c r="O1134" s="2" t="e">
        <f ca="1"/>
        <v>#N/A</v>
      </c>
      <c r="P1134" s="2" t="e">
        <f ca="1"/>
        <v>#N/A</v>
      </c>
      <c r="Q1134" s="33" t="e">
        <f ca="1"/>
        <v>#N/A</v>
      </c>
      <c r="R1134" s="33" t="e">
        <f ca="1"/>
        <v>#N/A</v>
      </c>
    </row>
    <row r="1135" spans="1:18" x14ac:dyDescent="0.2">
      <c r="A1135" s="2">
        <v>1134</v>
      </c>
      <c r="B1135" s="65">
        <v>45734</v>
      </c>
      <c r="C1135" s="70">
        <v>0.70759259259259255</v>
      </c>
      <c r="D1135" s="66" t="s">
        <v>98</v>
      </c>
      <c r="G1135" s="66" t="s">
        <v>102</v>
      </c>
      <c r="H1135" s="66" t="s">
        <v>100</v>
      </c>
      <c r="I1135" s="33" t="str">
        <f ca="1"/>
        <v>25,06</v>
      </c>
      <c r="J1135" s="2">
        <v>1135</v>
      </c>
      <c r="K1135" s="2" t="str">
        <v>No Match</v>
      </c>
      <c r="M1135" s="33">
        <f ca="1"/>
        <v>25.06</v>
      </c>
      <c r="N1135" s="2" t="e">
        <f ca="1"/>
        <v>#N/A</v>
      </c>
      <c r="O1135" s="2" t="e">
        <f ca="1"/>
        <v>#N/A</v>
      </c>
      <c r="P1135" s="2" t="e">
        <f ca="1"/>
        <v>#N/A</v>
      </c>
      <c r="Q1135" s="33" t="e">
        <f ca="1"/>
        <v>#N/A</v>
      </c>
      <c r="R1135" s="33" t="e">
        <f ca="1"/>
        <v>#N/A</v>
      </c>
    </row>
    <row r="1136" spans="1:18" x14ac:dyDescent="0.2">
      <c r="A1136" s="2">
        <v>1135</v>
      </c>
      <c r="B1136" s="65">
        <v>45734</v>
      </c>
      <c r="C1136" s="70">
        <v>0.70768518518518519</v>
      </c>
      <c r="D1136" s="66" t="s">
        <v>98</v>
      </c>
      <c r="G1136" s="66" t="s">
        <v>116</v>
      </c>
      <c r="H1136" s="66" t="s">
        <v>100</v>
      </c>
      <c r="I1136" s="33" t="str">
        <f ca="1"/>
        <v>25,33</v>
      </c>
      <c r="J1136" s="2">
        <v>1136</v>
      </c>
      <c r="K1136" s="2" t="str">
        <v>No Match</v>
      </c>
      <c r="M1136" s="33">
        <f ca="1"/>
        <v>25.33</v>
      </c>
      <c r="N1136" s="2" t="e">
        <f ca="1"/>
        <v>#N/A</v>
      </c>
      <c r="O1136" s="2" t="e">
        <f ca="1"/>
        <v>#N/A</v>
      </c>
      <c r="P1136" s="2" t="e">
        <f ca="1"/>
        <v>#N/A</v>
      </c>
      <c r="Q1136" s="33" t="e">
        <f ca="1"/>
        <v>#N/A</v>
      </c>
      <c r="R1136" s="33" t="e">
        <f ca="1"/>
        <v>#N/A</v>
      </c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tabSelected="1" zoomScale="61" zoomScaleNormal="80" workbookViewId="0"/>
  </sheetViews>
  <sheetFormatPr baseColWidth="10" defaultRowHeight="16" x14ac:dyDescent="0.2"/>
  <cols>
    <col min="1" max="1" width="3.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9.6640625" customWidth="1"/>
    <col min="12" max="13" width="9" customWidth="1"/>
  </cols>
  <sheetData>
    <row r="1" spans="1:14" x14ac:dyDescent="0.2">
      <c r="B1" s="2"/>
      <c r="I1" s="2"/>
      <c r="J1" s="2"/>
      <c r="K1" s="2"/>
      <c r="L1" s="2"/>
      <c r="M1" s="2"/>
      <c r="N1" s="2"/>
    </row>
    <row r="2" spans="1:14" x14ac:dyDescent="0.2">
      <c r="B2" s="2" t="s">
        <v>0</v>
      </c>
      <c r="C2" s="1">
        <f ca="1">NOW()</f>
        <v>45737.365918634256</v>
      </c>
      <c r="E2" s="25"/>
      <c r="F2" s="25"/>
      <c r="H2" s="25"/>
      <c r="I2" s="2"/>
      <c r="K2" s="2" t="s">
        <v>70</v>
      </c>
      <c r="L2" s="2"/>
      <c r="M2" s="49">
        <f ca="1">calculs_intermediaires!AB3</f>
        <v>25.187999999999999</v>
      </c>
      <c r="N2" s="30"/>
    </row>
    <row r="3" spans="1:14" x14ac:dyDescent="0.2">
      <c r="B3" s="2" t="s">
        <v>1</v>
      </c>
      <c r="C3" s="77" t="s">
        <v>231</v>
      </c>
      <c r="E3" s="25"/>
      <c r="F3" s="25"/>
      <c r="I3" s="2"/>
      <c r="K3" s="2" t="s">
        <v>69</v>
      </c>
      <c r="L3" s="11"/>
      <c r="M3" s="72">
        <f ca="1">calculs_intermediaires!AB5</f>
        <v>25.353524229074896</v>
      </c>
      <c r="N3" s="33"/>
    </row>
    <row r="4" spans="1:14" x14ac:dyDescent="0.2">
      <c r="B4" s="2" t="s">
        <v>2</v>
      </c>
      <c r="C4" s="78" t="s">
        <v>232</v>
      </c>
      <c r="E4" s="25"/>
      <c r="F4" s="25"/>
      <c r="I4" s="2"/>
      <c r="K4" s="9" t="s">
        <v>5</v>
      </c>
      <c r="L4" s="2">
        <f>calculs_intermediaires!C18</f>
        <v>22.75</v>
      </c>
      <c r="M4" s="9">
        <f ca="1">calculs_intermediaires!BC3</f>
        <v>0</v>
      </c>
      <c r="N4" s="2"/>
    </row>
    <row r="5" spans="1:14" x14ac:dyDescent="0.2">
      <c r="B5" s="2" t="s">
        <v>7</v>
      </c>
      <c r="C5" s="79">
        <v>25</v>
      </c>
      <c r="I5" s="2"/>
      <c r="K5" s="9" t="s">
        <v>9</v>
      </c>
      <c r="L5" s="71">
        <f>calculs_intermediaires!C19</f>
        <v>20.5</v>
      </c>
      <c r="M5" s="11">
        <f ca="1">calculs_intermediaires!BL3</f>
        <v>0</v>
      </c>
      <c r="N5" s="2"/>
    </row>
    <row r="6" spans="1:14" x14ac:dyDescent="0.2">
      <c r="B6" s="25" t="s">
        <v>75</v>
      </c>
      <c r="C6" s="2" t="s">
        <v>97</v>
      </c>
      <c r="I6" s="2"/>
      <c r="K6" s="2"/>
      <c r="M6" s="2"/>
      <c r="N6" s="2"/>
    </row>
    <row r="7" spans="1:14" x14ac:dyDescent="0.2">
      <c r="B7" s="2"/>
      <c r="I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1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1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1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3</xdr:col>
                    <xdr:colOff>368300</xdr:colOff>
                    <xdr:row>3</xdr:row>
                    <xdr:rowOff>152400</xdr:rowOff>
                  </from>
                  <to>
                    <xdr:col>5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3</xdr:col>
                    <xdr:colOff>368300</xdr:colOff>
                    <xdr:row>1</xdr:row>
                    <xdr:rowOff>50800</xdr:rowOff>
                  </from>
                  <to>
                    <xdr:col>5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5</xdr:col>
                    <xdr:colOff>254000</xdr:colOff>
                    <xdr:row>1</xdr:row>
                    <xdr:rowOff>50800</xdr:rowOff>
                  </from>
                  <to>
                    <xdr:col>6</xdr:col>
                    <xdr:colOff>647700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5</xdr:col>
                    <xdr:colOff>254000</xdr:colOff>
                    <xdr:row>3</xdr:row>
                    <xdr:rowOff>139700</xdr:rowOff>
                  </from>
                  <to>
                    <xdr:col>6</xdr:col>
                    <xdr:colOff>647700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6</xdr:col>
                    <xdr:colOff>723900</xdr:colOff>
                    <xdr:row>1</xdr:row>
                    <xdr:rowOff>50800</xdr:rowOff>
                  </from>
                  <to>
                    <xdr:col>8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6</xdr:col>
                    <xdr:colOff>723900</xdr:colOff>
                    <xdr:row>3</xdr:row>
                    <xdr:rowOff>139700</xdr:rowOff>
                  </from>
                  <to>
                    <xdr:col>8</xdr:col>
                    <xdr:colOff>101600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CallRecentrer">
                <anchor moveWithCells="1" sizeWithCells="1">
                  <from>
                    <xdr:col>8</xdr:col>
                    <xdr:colOff>1447800</xdr:colOff>
                    <xdr:row>3</xdr:row>
                    <xdr:rowOff>127000</xdr:rowOff>
                  </from>
                  <to>
                    <xdr:col>9</xdr:col>
                    <xdr:colOff>1193800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CursorToLastRow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8</xdr:col>
                    <xdr:colOff>1308100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lean_data_brute" altText="Clean">
                <anchor moveWithCells="1" sizeWithCells="1">
                  <from>
                    <xdr:col>13</xdr:col>
                    <xdr:colOff>419100</xdr:colOff>
                    <xdr:row>0</xdr:row>
                    <xdr:rowOff>76200</xdr:rowOff>
                  </from>
                  <to>
                    <xdr:col>14</xdr:col>
                    <xdr:colOff>787400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2" name="Button 40">
              <controlPr defaultSize="0" print="0" autoFill="0" autoPict="0" macro="[0]!CallVueGlobale" altText="TARE">
                <anchor moveWithCells="1" sizeWithCells="1">
                  <from>
                    <xdr:col>8</xdr:col>
                    <xdr:colOff>1422400</xdr:colOff>
                    <xdr:row>1</xdr:row>
                    <xdr:rowOff>25400</xdr:rowOff>
                  </from>
                  <to>
                    <xdr:col>9</xdr:col>
                    <xdr:colOff>1181100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Y1000"/>
  <sheetViews>
    <sheetView workbookViewId="0"/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/>
    <col min="13" max="17" width="10.83203125" customWidth="1"/>
    <col min="18" max="18" width="12.83203125" customWidth="1"/>
    <col min="19" max="19" width="7.5" style="29" customWidth="1"/>
    <col min="20" max="20" width="8.1640625" customWidth="1"/>
    <col min="21" max="26" width="10.83203125" style="2"/>
    <col min="27" max="27" width="23" style="2" bestFit="1" customWidth="1"/>
    <col min="28" max="28" width="10.83203125" style="33"/>
    <col min="29" max="29" width="8.33203125" style="29" customWidth="1"/>
    <col min="30" max="30" width="7.5" customWidth="1"/>
    <col min="33" max="33" width="10.83203125" style="32"/>
    <col min="35" max="35" width="10.83203125" style="29"/>
    <col min="36" max="36" width="15.1640625" bestFit="1" customWidth="1"/>
    <col min="40" max="40" width="11.5" bestFit="1" customWidth="1"/>
    <col min="41" max="41" width="14.5" style="29" bestFit="1" customWidth="1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6" width="6" bestFit="1" customWidth="1"/>
    <col min="47" max="47" width="7.33203125" bestFit="1" customWidth="1"/>
    <col min="48" max="48" width="9.33203125" style="29" customWidth="1"/>
    <col min="49" max="49" width="8.33203125" customWidth="1"/>
    <col min="51" max="51" width="10.83203125" style="60"/>
    <col min="52" max="52" width="10.83203125" style="62"/>
    <col min="59" max="59" width="10.83203125" style="2"/>
    <col min="60" max="60" width="10.83203125" style="43"/>
    <col min="61" max="61" width="10.83203125" style="44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5.33203125" style="2" bestFit="1" customWidth="1"/>
    <col min="76" max="76" width="12" bestFit="1" customWidth="1"/>
    <col min="77" max="77" width="10.1640625" bestFit="1" customWidth="1"/>
  </cols>
  <sheetData>
    <row r="1" spans="2:77" x14ac:dyDescent="0.2">
      <c r="U1"/>
      <c r="V1"/>
      <c r="W1"/>
      <c r="X1"/>
      <c r="Y1"/>
      <c r="Z1"/>
      <c r="AA1"/>
      <c r="AB1" s="32"/>
    </row>
    <row r="2" spans="2:77" x14ac:dyDescent="0.2">
      <c r="B2" s="6" t="s">
        <v>10</v>
      </c>
      <c r="M2" s="27" t="s">
        <v>77</v>
      </c>
      <c r="U2" s="26" t="s">
        <v>55</v>
      </c>
      <c r="V2" s="3">
        <v>10</v>
      </c>
      <c r="Z2"/>
      <c r="AA2" s="2" t="s">
        <v>93</v>
      </c>
      <c r="AB2" s="33" t="e">
        <f>INDEX(W:W,MATCH(TRUE,Y:Y,0))</f>
        <v>#N/A</v>
      </c>
      <c r="AE2" s="6" t="s">
        <v>36</v>
      </c>
      <c r="AG2" s="37">
        <v>10</v>
      </c>
      <c r="AJ2" s="6" t="s">
        <v>56</v>
      </c>
      <c r="AL2" s="46"/>
      <c r="AQ2" s="5" t="s">
        <v>71</v>
      </c>
      <c r="AS2" t="s">
        <v>76</v>
      </c>
      <c r="AT2" s="76" t="b">
        <v>1</v>
      </c>
      <c r="AX2" s="6" t="s">
        <v>73</v>
      </c>
      <c r="AZ2" s="44" t="s">
        <v>5</v>
      </c>
      <c r="BA2" s="22">
        <f>C18</f>
        <v>22.75</v>
      </c>
      <c r="BI2" s="44" t="s">
        <v>9</v>
      </c>
      <c r="BJ2" s="22">
        <f>C19</f>
        <v>20.5</v>
      </c>
    </row>
    <row r="3" spans="2:77" x14ac:dyDescent="0.2">
      <c r="E3" s="14" t="s">
        <v>35</v>
      </c>
      <c r="F3" s="35">
        <f>ROW(data_brute!A2)</f>
        <v>2</v>
      </c>
      <c r="U3"/>
      <c r="V3"/>
      <c r="W3"/>
      <c r="Z3"/>
      <c r="AA3" s="2" t="s">
        <v>92</v>
      </c>
      <c r="AB3" s="33">
        <f ca="1">INDEX(W:W,MATCH(TRUE,Z:Z,0))</f>
        <v>25.187999999999999</v>
      </c>
      <c r="AL3" s="32"/>
      <c r="AZ3" s="44" t="s">
        <v>74</v>
      </c>
      <c r="BA3" s="24">
        <f>COUNTA(BE:BE)-1</f>
        <v>0</v>
      </c>
      <c r="BB3" s="14" t="s">
        <v>96</v>
      </c>
      <c r="BC3" s="84">
        <f ca="1">COUNTIFS(data_brute!M:M,"&lt;="&amp;BA2,data_brute!M:M,"&gt;"&amp;BJ2,data_brute!M:M,"&gt;0")</f>
        <v>0</v>
      </c>
      <c r="BI3" s="44" t="s">
        <v>74</v>
      </c>
      <c r="BJ3" s="24">
        <f>COUNTA(BN:BN)-1</f>
        <v>0</v>
      </c>
      <c r="BK3" s="2" t="s">
        <v>96</v>
      </c>
      <c r="BL3" s="84">
        <f ca="1">COUNTIFS(data_brute!M:M,"&lt;="&amp;BJ2,data_brute!M:M,"&gt;0")</f>
        <v>0</v>
      </c>
    </row>
    <row r="4" spans="2:77" ht="16" customHeight="1" x14ac:dyDescent="0.2">
      <c r="B4" s="2" t="s">
        <v>6</v>
      </c>
      <c r="C4" s="20">
        <f>interface!C5</f>
        <v>25</v>
      </c>
      <c r="E4" s="14" t="s">
        <v>37</v>
      </c>
      <c r="F4" s="36">
        <f>COUNTA(data_brute!B:B)-1</f>
        <v>1135</v>
      </c>
      <c r="M4" s="14"/>
      <c r="N4" s="94" t="s">
        <v>75</v>
      </c>
      <c r="O4" s="85" t="s">
        <v>84</v>
      </c>
      <c r="P4" s="86"/>
      <c r="Q4" s="86"/>
      <c r="R4" s="87"/>
      <c r="AA4" s="2" t="s">
        <v>94</v>
      </c>
      <c r="AB4" s="33" t="e">
        <f>INDEX(AL:AL,MATCH(TRUE,AN:AN,0))</f>
        <v>#N/A</v>
      </c>
      <c r="AL4" s="32"/>
      <c r="AQ4" s="2" t="s">
        <v>72</v>
      </c>
      <c r="AR4" t="b">
        <f>IF(calculs_intermediaires!F4&gt;=10,TRUE,FALSE)</f>
        <v>1</v>
      </c>
      <c r="AZ4" s="62" t="s">
        <v>72</v>
      </c>
      <c r="BA4" t="b">
        <f>BA3&gt;0</f>
        <v>0</v>
      </c>
      <c r="BI4" s="44" t="s">
        <v>72</v>
      </c>
      <c r="BJ4" s="2" t="b">
        <f>BJ3&gt;0</f>
        <v>0</v>
      </c>
    </row>
    <row r="5" spans="2:77" x14ac:dyDescent="0.2">
      <c r="E5" s="14" t="s">
        <v>38</v>
      </c>
      <c r="F5" s="2">
        <f>F3+F4-1</f>
        <v>1136</v>
      </c>
      <c r="N5" s="94"/>
      <c r="O5" s="88"/>
      <c r="P5" s="89"/>
      <c r="Q5" s="89"/>
      <c r="R5" s="90"/>
      <c r="AA5" s="83" t="s">
        <v>95</v>
      </c>
      <c r="AB5" s="83">
        <f ca="1">INDEX(AL:AL,MATCH(TRUE,AO:AO,0))</f>
        <v>25.353524229074896</v>
      </c>
      <c r="AL5" s="32"/>
      <c r="AY5" s="43"/>
      <c r="AZ5" s="44"/>
    </row>
    <row r="6" spans="2:77" ht="17" thickBot="1" x14ac:dyDescent="0.25">
      <c r="B6" s="26" t="s">
        <v>20</v>
      </c>
      <c r="C6" s="27">
        <f>MATCH(TRUE,$D$10:$D$16,0)</f>
        <v>1</v>
      </c>
      <c r="M6" s="4"/>
      <c r="N6" s="94"/>
      <c r="O6" s="91"/>
      <c r="P6" s="92"/>
      <c r="Q6" s="92"/>
      <c r="R6" s="93"/>
      <c r="U6" s="45" t="s">
        <v>34</v>
      </c>
      <c r="V6" s="45" t="s">
        <v>32</v>
      </c>
      <c r="W6" s="47" t="s">
        <v>33</v>
      </c>
      <c r="X6" s="45" t="s">
        <v>39</v>
      </c>
      <c r="Y6" s="47" t="s">
        <v>90</v>
      </c>
      <c r="Z6" s="47" t="s">
        <v>91</v>
      </c>
      <c r="AE6" s="45" t="s">
        <v>34</v>
      </c>
      <c r="AF6" s="45" t="s">
        <v>32</v>
      </c>
      <c r="AG6" s="47" t="s">
        <v>33</v>
      </c>
      <c r="AH6" s="45" t="s">
        <v>39</v>
      </c>
      <c r="AJ6" s="45" t="s">
        <v>34</v>
      </c>
      <c r="AK6" s="45" t="s">
        <v>32</v>
      </c>
      <c r="AL6" s="47" t="s">
        <v>33</v>
      </c>
      <c r="AM6" s="45" t="s">
        <v>39</v>
      </c>
      <c r="AN6" s="47" t="s">
        <v>90</v>
      </c>
      <c r="AO6" s="47" t="s">
        <v>91</v>
      </c>
      <c r="AQ6" s="51" t="s">
        <v>6</v>
      </c>
      <c r="AR6" s="52">
        <f>C4</f>
        <v>25</v>
      </c>
      <c r="AS6" s="52"/>
      <c r="AT6" s="52"/>
      <c r="AU6" s="53">
        <f>C4</f>
        <v>25</v>
      </c>
      <c r="BW6" s="2" t="s">
        <v>87</v>
      </c>
      <c r="BX6" s="20">
        <v>1.5</v>
      </c>
    </row>
    <row r="7" spans="2:77" ht="18" thickTop="1" thickBot="1" x14ac:dyDescent="0.25">
      <c r="M7" s="2"/>
      <c r="N7" s="14" t="s">
        <v>83</v>
      </c>
      <c r="O7" s="80" t="b">
        <v>0</v>
      </c>
      <c r="P7" s="2"/>
      <c r="Q7" s="2"/>
      <c r="R7" s="2"/>
      <c r="U7" s="2">
        <f>F3</f>
        <v>2</v>
      </c>
      <c r="V7" s="46">
        <f>U7+$AG$2-1</f>
        <v>11</v>
      </c>
      <c r="W7" s="33">
        <f ca="1">IFERROR(AVERAGEIFS(data_brute!M:M,data_brute!J:J,"&lt;="&amp;V7,data_brute!J:J,"&gt;="&amp;U7),NA())</f>
        <v>25.670999999999999</v>
      </c>
      <c r="X7" s="46">
        <f ca="1">IF(W7&lt;&gt;"",$AG$2*(ROW()-ROW($AH$6)),NA())</f>
        <v>10</v>
      </c>
      <c r="Y7" s="2" t="b">
        <f>IF(AND($F$5&gt;=U7,$F$5&lt;=V7,V7=$F$5),TRUE,FALSE)</f>
        <v>0</v>
      </c>
      <c r="Z7" s="2" t="b">
        <f>IF(AND($F$5&gt;=U7,$F$5&lt;=V7),TRUE,FALSE)</f>
        <v>0</v>
      </c>
      <c r="AE7" s="2">
        <f>F3</f>
        <v>2</v>
      </c>
      <c r="AF7" s="46">
        <f>AE7+$AG$2-1</f>
        <v>11</v>
      </c>
      <c r="AG7" s="33">
        <f ca="1">IFERROR(AVERAGEIFS(data_brute!M:M,data_brute!J:J,"&gt;="&amp;AE7,data_brute!J:J,"&lt;="&amp;AF7),NA())</f>
        <v>25.670999999999999</v>
      </c>
      <c r="AH7" s="46">
        <f ca="1">IF(AG7&lt;&gt;"",$AG$2*(ROW()-ROW($AH$6)),NA())</f>
        <v>10</v>
      </c>
      <c r="AJ7" s="2">
        <f>F3</f>
        <v>2</v>
      </c>
      <c r="AK7" s="46">
        <f>AJ7+$AG$2-1</f>
        <v>11</v>
      </c>
      <c r="AL7" s="33">
        <f ca="1">IFERROR(AVERAGEIFS(data_brute!M:M,data_brute!J:J,"&lt;="&amp;AK7),NA())</f>
        <v>25.670999999999999</v>
      </c>
      <c r="AM7" s="46">
        <f ca="1">IF(AL7&lt;&gt;"",$AG$2*(ROW()-ROW($AH$6)),NA())</f>
        <v>10</v>
      </c>
      <c r="AN7" s="46" t="b">
        <f>IF(AND($F$5&gt;=AJ7,$F$5&lt;=AK7,AK7=$F$5),TRUE,FALSE)</f>
        <v>0</v>
      </c>
      <c r="AO7" s="50" t="b">
        <f>IF(AND($F$5&gt;=AJ7,$F$5&lt;=AK7),TRUE,FALSE)</f>
        <v>0</v>
      </c>
      <c r="AP7" s="2"/>
      <c r="AQ7" s="54" t="s">
        <v>52</v>
      </c>
      <c r="AR7" s="31" t="e">
        <f>AB2</f>
        <v>#N/A</v>
      </c>
      <c r="AS7" s="31" t="e">
        <f>AB2</f>
        <v>#N/A</v>
      </c>
      <c r="AT7" s="31">
        <v>25</v>
      </c>
      <c r="AU7" s="55"/>
      <c r="AX7" s="45" t="str">
        <f>data_brute!A$1</f>
        <v>Pesée</v>
      </c>
      <c r="AY7" s="61" t="str">
        <f>data_brute!B$1</f>
        <v>Date</v>
      </c>
      <c r="AZ7" s="63" t="str">
        <f>data_brute!C$1</f>
        <v>Heure</v>
      </c>
      <c r="BA7" s="47" t="str">
        <f>data_brute!I$1</f>
        <v>Poids Brut</v>
      </c>
      <c r="BB7" s="47" t="str">
        <f>data_brute!J$1</f>
        <v>Ligne</v>
      </c>
      <c r="BC7" s="47" t="str">
        <f>data_brute!K$1</f>
        <v>Bobine</v>
      </c>
      <c r="BD7" s="47" t="str">
        <f>data_brute!L$1</f>
        <v>Tare</v>
      </c>
      <c r="BE7" s="47" t="str">
        <f>data_brute!M$1</f>
        <v>Poids net</v>
      </c>
      <c r="BG7" s="45" t="str">
        <f>data_brute!A$1</f>
        <v>Pesée</v>
      </c>
      <c r="BH7" s="61" t="str">
        <f>data_brute!B$1</f>
        <v>Date</v>
      </c>
      <c r="BI7" s="63" t="str">
        <f>data_brute!C$1</f>
        <v>Heure</v>
      </c>
      <c r="BJ7" s="47" t="str">
        <f>data_brute!I$1</f>
        <v>Poids Brut</v>
      </c>
      <c r="BK7" s="47" t="str">
        <f>data_brute!J$1</f>
        <v>Ligne</v>
      </c>
      <c r="BL7" s="47" t="str">
        <f>data_brute!K$1</f>
        <v>Bobine</v>
      </c>
      <c r="BM7" s="47" t="str">
        <f>data_brute!L$1</f>
        <v>Tare</v>
      </c>
      <c r="BN7" s="47" t="str">
        <f>data_brute!M$1</f>
        <v>Poids net</v>
      </c>
      <c r="BR7" s="47" t="str">
        <f>data_brute!N$1</f>
        <v>QN</v>
      </c>
      <c r="BS7" s="47" t="str">
        <f>data_brute!O$1</f>
        <v>LCI</v>
      </c>
      <c r="BT7" s="47" t="str">
        <f>data_brute!P$1</f>
        <v>LCS</v>
      </c>
      <c r="BU7" s="47" t="str">
        <f>data_brute!Q$1</f>
        <v>Moyenne Longue</v>
      </c>
      <c r="BV7" s="47" t="str">
        <f>data_brute!R$1</f>
        <v>Moyenne 10E</v>
      </c>
      <c r="BW7" s="33"/>
      <c r="BX7" t="s">
        <v>88</v>
      </c>
      <c r="BY7" t="s">
        <v>89</v>
      </c>
    </row>
    <row r="8" spans="2:77" ht="17" thickTop="1" x14ac:dyDescent="0.2">
      <c r="B8" s="96" t="s">
        <v>6</v>
      </c>
      <c r="C8" s="97"/>
      <c r="D8" s="98" t="s">
        <v>16</v>
      </c>
      <c r="E8" s="96" t="s">
        <v>14</v>
      </c>
      <c r="F8" s="97"/>
      <c r="G8" s="7" t="s">
        <v>17</v>
      </c>
      <c r="H8" s="98" t="s">
        <v>19</v>
      </c>
      <c r="I8" s="96"/>
      <c r="J8" s="97"/>
      <c r="M8" s="2"/>
      <c r="N8" s="2"/>
      <c r="O8" s="2"/>
      <c r="P8" s="2"/>
      <c r="Q8" s="2"/>
      <c r="R8" s="2"/>
      <c r="U8" s="46">
        <f>V7+1</f>
        <v>12</v>
      </c>
      <c r="V8" s="46">
        <f>U8+$AG$2-1</f>
        <v>21</v>
      </c>
      <c r="W8" s="33">
        <f ca="1">IFERROR(AVERAGEIFS(data_brute!M:M,data_brute!J:J,"&lt;="&amp;V8,data_brute!J:J,"&gt;="&amp;U8),NA())</f>
        <v>25.12</v>
      </c>
      <c r="X8" s="46">
        <f ca="1">IF(W8&lt;&gt;"",$AG$2*(ROW()-ROW($AH$6)),NA())</f>
        <v>20</v>
      </c>
      <c r="Y8" s="2" t="b">
        <f t="shared" ref="Y8:Y71" si="0">IF(AND($F$5&gt;=U8,$F$5&lt;=V8,V8=$F$5),TRUE,FALSE)</f>
        <v>0</v>
      </c>
      <c r="Z8" s="2" t="b">
        <f t="shared" ref="Z8:Z71" si="1">IF(AND($F$5&gt;=U8,$F$5&lt;=V8),TRUE,FALSE)</f>
        <v>0</v>
      </c>
      <c r="AE8" s="46">
        <f>AF7+1</f>
        <v>12</v>
      </c>
      <c r="AF8" s="46">
        <f>AE8+$AG$2-1</f>
        <v>21</v>
      </c>
      <c r="AG8" s="33">
        <f ca="1">IFERROR(AVERAGEIFS(data_brute!M:M,data_brute!J:J,"&gt;="&amp;AE8,data_brute!J:J,"&lt;="&amp;AF8),NA())</f>
        <v>25.12</v>
      </c>
      <c r="AH8" s="46">
        <f ca="1">IF(AG8&lt;&gt;"",$AG$2*(ROW()-ROW($AH$6)),NA())</f>
        <v>20</v>
      </c>
      <c r="AJ8" s="46">
        <f>AK7+1</f>
        <v>12</v>
      </c>
      <c r="AK8" s="46">
        <f>AJ8+$AG$2-1</f>
        <v>21</v>
      </c>
      <c r="AL8" s="33">
        <f ca="1">IFERROR(AVERAGEIFS(data_brute!M:M,data_brute!J:J,"&lt;="&amp;AK8),NA())</f>
        <v>25.395499999999998</v>
      </c>
      <c r="AM8" s="46">
        <f ca="1">IF(AL8&lt;&gt;"",$AG$2*(ROW()-ROW($AH$6)),NA())</f>
        <v>20</v>
      </c>
      <c r="AN8" s="46" t="b">
        <f t="shared" ref="AN8:AN71" si="2">IF(AND($F$5&gt;=AJ8,$F$5&lt;=AK8,AK8=$F$5),TRUE,FALSE)</f>
        <v>0</v>
      </c>
      <c r="AO8" s="50" t="b">
        <f t="shared" ref="AO8:AO71" si="3">IF(AND($F$5&gt;=AJ8,$F$5&lt;=AK8),TRUE,FALSE)</f>
        <v>0</v>
      </c>
      <c r="AP8" s="2"/>
      <c r="AQ8" s="54" t="s">
        <v>54</v>
      </c>
      <c r="AR8" s="25"/>
      <c r="AS8" s="25"/>
      <c r="AT8" s="25"/>
      <c r="AU8" s="56" t="e">
        <f>AB4</f>
        <v>#N/A</v>
      </c>
      <c r="AX8" s="2" t="str" cm="1">
        <f t="array" aca="1" ref="AX8" ca="1">_xlfn._xlws.FILTER(data_brute!A:C,(data_brute!M:M&lt;=BA2)*(data_brute!M:M&gt;BJ2)*(data_brute!M:M&gt;0)*(data_brute!J:J=$F$5),"")</f>
        <v/>
      </c>
      <c r="AY8" s="43"/>
      <c r="AZ8" s="44"/>
      <c r="BA8" s="2" t="str" cm="1">
        <f t="array" aca="1" ref="BA8" ca="1">_xlfn._xlws.FILTER(data_brute!I:M,(data_brute!M:M&lt;=BA2)*(data_brute!M:M&gt;BJ2)*(data_brute!M:M&gt;0)*(data_brute!J:J=$F$5),"")</f>
        <v/>
      </c>
      <c r="BB8" s="2"/>
      <c r="BC8" s="2"/>
      <c r="BD8" s="2"/>
      <c r="BE8" s="2"/>
      <c r="BG8" s="2" t="str" cm="1">
        <f t="array" aca="1" ref="BG8" ca="1">_xlfn._xlws.FILTER(data_brute!A:C,(data_brute!M:M&lt;=BJ2)*(data_brute!M:M&gt;0)*(data_brute!J:J=$F$5),"")</f>
        <v/>
      </c>
      <c r="BJ8" s="2" t="str" cm="1">
        <f t="array" aca="1" ref="BJ8" ca="1">_xlfn._xlws.FILTER(data_brute!I:M,(data_brute!M:M&lt;=BJ2)*(data_brute!M:M&gt;0)*(data_brute!J:J=$F$5),"")</f>
        <v/>
      </c>
      <c r="BQ8" s="2" t="s">
        <v>12</v>
      </c>
      <c r="BR8" s="2" cm="1">
        <f t="array" aca="1" ref="BR8" ca="1">MIN(IF(ISNUMBER(data_brute!N:N),data_brute!N:N))</f>
        <v>25</v>
      </c>
      <c r="BS8" s="2" cm="1">
        <f t="array" aca="1" ref="BS8" ca="1">MIN(IF(ISNUMBER(data_brute!O:O),data_brute!O:O))</f>
        <v>24.625</v>
      </c>
      <c r="BT8" s="2" cm="1">
        <f t="array" aca="1" ref="BT8" ca="1">MIN(IF(ISNUMBER(data_brute!P:P),data_brute!P:P))</f>
        <v>25.375</v>
      </c>
      <c r="BU8" s="33" cm="1">
        <f t="array" aca="1" ref="BU8" ca="1">MIN(IF(ISNUMBER(data_brute!Q:Q),data_brute!Q:Q))</f>
        <v>25.177923076923069</v>
      </c>
      <c r="BV8" s="33" cm="1">
        <f t="array" aca="1" ref="BV8" ca="1">MIN(IF(ISNUMBER(data_brute!R:R),data_brute!R:R))</f>
        <v>24.970999999999997</v>
      </c>
      <c r="BX8" s="81">
        <f ca="1">BS8-BX6</f>
        <v>23.125</v>
      </c>
      <c r="BY8" s="17">
        <f ca="1">MIN(BR8:BV8)-BX6</f>
        <v>23.125</v>
      </c>
    </row>
    <row r="9" spans="2:77" x14ac:dyDescent="0.2">
      <c r="B9" s="18" t="s">
        <v>11</v>
      </c>
      <c r="C9" s="19" t="s">
        <v>12</v>
      </c>
      <c r="D9" s="99"/>
      <c r="E9" s="18" t="s">
        <v>13</v>
      </c>
      <c r="F9" s="19" t="s">
        <v>15</v>
      </c>
      <c r="G9" s="21" t="s">
        <v>18</v>
      </c>
      <c r="H9" s="99"/>
      <c r="I9" s="18" t="s">
        <v>5</v>
      </c>
      <c r="J9" s="19" t="s">
        <v>9</v>
      </c>
      <c r="M9" s="2"/>
      <c r="N9" s="2"/>
      <c r="O9" s="95"/>
      <c r="P9" s="95"/>
      <c r="Q9" s="95"/>
      <c r="R9" s="95"/>
      <c r="U9" s="46">
        <f t="shared" ref="U9:U72" si="4">V8+1</f>
        <v>22</v>
      </c>
      <c r="V9" s="46">
        <f t="shared" ref="V9:V72" si="5">U9+$AG$2-1</f>
        <v>31</v>
      </c>
      <c r="W9" s="33">
        <f ca="1">IFERROR(AVERAGEIFS(data_brute!M:M,data_brute!J:J,"&lt;="&amp;V9,data_brute!J:J,"&gt;="&amp;U9),NA())</f>
        <v>25.214999999999996</v>
      </c>
      <c r="X9" s="46">
        <f t="shared" ref="X9:X72" ca="1" si="6">IF(W9&lt;&gt;"",$AG$2*(ROW()-ROW($AH$6)),NA())</f>
        <v>30</v>
      </c>
      <c r="Y9" s="2" t="b">
        <f t="shared" si="0"/>
        <v>0</v>
      </c>
      <c r="Z9" s="2" t="b">
        <f t="shared" si="1"/>
        <v>0</v>
      </c>
      <c r="AE9" s="46">
        <f t="shared" ref="AE9:AE42" si="7">AF8+1</f>
        <v>22</v>
      </c>
      <c r="AF9" s="46">
        <f t="shared" ref="AF9:AF42" si="8">AE9+$AG$2-1</f>
        <v>31</v>
      </c>
      <c r="AG9" s="33">
        <f ca="1">IFERROR(AVERAGEIFS(data_brute!M:M,data_brute!J:J,"&gt;="&amp;AE9,data_brute!J:J,"&lt;="&amp;AF9),NA())</f>
        <v>25.214999999999996</v>
      </c>
      <c r="AH9" s="46">
        <f t="shared" ref="AH9:AH42" ca="1" si="9">IF(AG9&lt;&gt;"",$AG$2*(ROW()-ROW($AH$6)),NA())</f>
        <v>30</v>
      </c>
      <c r="AJ9" s="46">
        <f t="shared" ref="AJ9:AJ42" si="10">AK8+1</f>
        <v>22</v>
      </c>
      <c r="AK9" s="46">
        <f t="shared" ref="AK9:AK42" si="11">AJ9+$AG$2-1</f>
        <v>31</v>
      </c>
      <c r="AL9" s="33">
        <f ca="1">IFERROR(AVERAGEIFS(data_brute!M:M,data_brute!J:J,"&lt;="&amp;AK9),NA())</f>
        <v>25.335333333333335</v>
      </c>
      <c r="AM9" s="46">
        <f t="shared" ref="AM9:AM42" ca="1" si="12">IF(AL9&lt;&gt;"",$AG$2*(ROW()-ROW($AH$6)),NA())</f>
        <v>30</v>
      </c>
      <c r="AN9" s="46" t="b">
        <f t="shared" si="2"/>
        <v>0</v>
      </c>
      <c r="AO9" s="50" t="b">
        <f t="shared" si="3"/>
        <v>0</v>
      </c>
      <c r="AP9" s="2"/>
      <c r="AQ9" s="54" t="s">
        <v>24</v>
      </c>
      <c r="AR9" s="25"/>
      <c r="AS9" s="31">
        <f>C25</f>
        <v>24.625</v>
      </c>
      <c r="AT9" s="25"/>
      <c r="AU9" s="55"/>
      <c r="AX9" s="2"/>
      <c r="AY9" s="43"/>
      <c r="AZ9" s="44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25</v>
      </c>
      <c r="BS9" s="2" cm="1">
        <f t="array" aca="1" ref="BS9" ca="1">MIN(IF(ISNUMBER(data_brute!O:O),data_brute!O:O))</f>
        <v>24.625</v>
      </c>
      <c r="BT9" s="2" cm="1">
        <f t="array" aca="1" ref="BT9" ca="1">MIN(IF(ISNUMBER(data_brute!P:P),data_brute!P:P))</f>
        <v>25.375</v>
      </c>
      <c r="BU9" s="33" cm="1">
        <f t="array" aca="1" ref="BU9" ca="1">MAX(IF(ISNUMBER(data_brute!Q:Q),data_brute!Q:Q))</f>
        <v>25.670999999999999</v>
      </c>
      <c r="BV9" s="2" cm="1">
        <f t="array" aca="1" ref="BV9" ca="1">MAX(IF(ISNUMBER(data_brute!R:R),data_brute!R:R))</f>
        <v>25.850999999999999</v>
      </c>
      <c r="BX9" s="82">
        <f ca="1">BT9+BX6</f>
        <v>26.875</v>
      </c>
      <c r="BY9" s="34">
        <f ca="1">MAX(BR9:BV9)+BX6</f>
        <v>27.350999999999999</v>
      </c>
    </row>
    <row r="10" spans="2:77" x14ac:dyDescent="0.2">
      <c r="B10" s="8">
        <v>5</v>
      </c>
      <c r="C10" s="9">
        <v>50</v>
      </c>
      <c r="D10" s="12" t="b">
        <f t="shared" ref="D10:D16" si="13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2.25</v>
      </c>
      <c r="J10" s="9">
        <f>IF(I10="","",2*I10)</f>
        <v>4.5</v>
      </c>
      <c r="M10" s="2"/>
      <c r="N10" s="2"/>
      <c r="O10" s="2"/>
      <c r="P10" s="2"/>
      <c r="Q10" s="2"/>
      <c r="R10" s="2"/>
      <c r="U10" s="46">
        <f t="shared" si="4"/>
        <v>32</v>
      </c>
      <c r="V10" s="46">
        <f t="shared" si="5"/>
        <v>41</v>
      </c>
      <c r="W10" s="33">
        <f ca="1">IFERROR(AVERAGEIFS(data_brute!M:M,data_brute!J:J,"&lt;="&amp;V10,data_brute!J:J,"&gt;="&amp;U10),NA())</f>
        <v>25.277999999999999</v>
      </c>
      <c r="X10" s="46">
        <f t="shared" ca="1" si="6"/>
        <v>40</v>
      </c>
      <c r="Y10" s="2" t="b">
        <f t="shared" si="0"/>
        <v>0</v>
      </c>
      <c r="Z10" s="2" t="b">
        <f t="shared" si="1"/>
        <v>0</v>
      </c>
      <c r="AE10" s="46">
        <f t="shared" si="7"/>
        <v>32</v>
      </c>
      <c r="AF10" s="46">
        <f t="shared" si="8"/>
        <v>41</v>
      </c>
      <c r="AG10" s="33">
        <f ca="1">IFERROR(AVERAGEIFS(data_brute!M:M,data_brute!J:J,"&gt;="&amp;AE10,data_brute!J:J,"&lt;="&amp;AF10),NA())</f>
        <v>25.277999999999999</v>
      </c>
      <c r="AH10" s="46">
        <f t="shared" ca="1" si="9"/>
        <v>40</v>
      </c>
      <c r="AJ10" s="46">
        <f t="shared" si="10"/>
        <v>32</v>
      </c>
      <c r="AK10" s="46">
        <f t="shared" si="11"/>
        <v>41</v>
      </c>
      <c r="AL10" s="33">
        <f ca="1">IFERROR(AVERAGEIFS(data_brute!M:M,data_brute!J:J,"&lt;="&amp;AK10),NA())</f>
        <v>25.321000000000005</v>
      </c>
      <c r="AM10" s="46">
        <f t="shared" ca="1" si="12"/>
        <v>40</v>
      </c>
      <c r="AN10" s="46" t="b">
        <f t="shared" si="2"/>
        <v>0</v>
      </c>
      <c r="AO10" s="50" t="b">
        <f t="shared" si="3"/>
        <v>0</v>
      </c>
      <c r="AP10" s="2"/>
      <c r="AQ10" s="54" t="s">
        <v>25</v>
      </c>
      <c r="AR10" s="25"/>
      <c r="AS10" s="25"/>
      <c r="AT10" s="31">
        <f>C26</f>
        <v>25.375</v>
      </c>
      <c r="AU10" s="55"/>
      <c r="AX10" s="2"/>
      <c r="AY10" s="43"/>
      <c r="AZ10" s="44"/>
      <c r="BA10" s="2"/>
      <c r="BB10" s="2"/>
      <c r="BC10" s="2"/>
      <c r="BD10" s="2"/>
      <c r="BE10" s="2"/>
    </row>
    <row r="11" spans="2:77" x14ac:dyDescent="0.2">
      <c r="B11" s="8">
        <v>50</v>
      </c>
      <c r="C11" s="9">
        <v>100</v>
      </c>
      <c r="D11" s="12" t="b">
        <f t="shared" si="13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14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15">IF(I11="","",2*I11)</f>
        <v/>
      </c>
      <c r="K11" s="9"/>
      <c r="L11" s="2"/>
      <c r="M11" s="2"/>
      <c r="N11" s="2"/>
      <c r="O11" s="2"/>
      <c r="P11" s="2"/>
      <c r="Q11" s="2"/>
      <c r="R11" s="2"/>
      <c r="U11" s="46">
        <f t="shared" si="4"/>
        <v>42</v>
      </c>
      <c r="V11" s="46">
        <f t="shared" si="5"/>
        <v>51</v>
      </c>
      <c r="W11" s="33">
        <f ca="1">IFERROR(AVERAGEIFS(data_brute!M:M,data_brute!J:J,"&lt;="&amp;V11,data_brute!J:J,"&gt;="&amp;U11),NA())</f>
        <v>25.173000000000002</v>
      </c>
      <c r="X11" s="46">
        <f t="shared" ca="1" si="6"/>
        <v>50</v>
      </c>
      <c r="Y11" s="2" t="b">
        <f t="shared" si="0"/>
        <v>0</v>
      </c>
      <c r="Z11" s="2" t="b">
        <f t="shared" si="1"/>
        <v>0</v>
      </c>
      <c r="AE11" s="46">
        <f t="shared" si="7"/>
        <v>42</v>
      </c>
      <c r="AF11" s="46">
        <f t="shared" si="8"/>
        <v>51</v>
      </c>
      <c r="AG11" s="33">
        <f ca="1">IFERROR(AVERAGEIFS(data_brute!M:M,data_brute!J:J,"&gt;="&amp;AE11,data_brute!J:J,"&lt;="&amp;AF11),NA())</f>
        <v>25.173000000000002</v>
      </c>
      <c r="AH11" s="46">
        <f t="shared" ca="1" si="9"/>
        <v>50</v>
      </c>
      <c r="AJ11" s="46">
        <f t="shared" si="10"/>
        <v>42</v>
      </c>
      <c r="AK11" s="46">
        <f t="shared" si="11"/>
        <v>51</v>
      </c>
      <c r="AL11" s="33">
        <f ca="1">IFERROR(AVERAGEIFS(data_brute!M:M,data_brute!J:J,"&lt;="&amp;AK11),NA())</f>
        <v>25.291400000000003</v>
      </c>
      <c r="AM11" s="46">
        <f t="shared" ca="1" si="12"/>
        <v>50</v>
      </c>
      <c r="AN11" s="46" t="b">
        <f t="shared" si="2"/>
        <v>0</v>
      </c>
      <c r="AO11" s="50" t="b">
        <f t="shared" si="3"/>
        <v>0</v>
      </c>
      <c r="AP11" s="2"/>
      <c r="AQ11" s="54" t="s">
        <v>5</v>
      </c>
      <c r="AR11" s="25"/>
      <c r="AS11" s="25"/>
      <c r="AT11" s="25"/>
      <c r="AU11" s="55"/>
      <c r="AX11" s="2"/>
      <c r="AY11" s="43"/>
      <c r="AZ11" s="44"/>
      <c r="BA11" s="2"/>
      <c r="BB11" s="2"/>
      <c r="BC11" s="2"/>
      <c r="BD11" s="2"/>
      <c r="BE11" s="2"/>
    </row>
    <row r="12" spans="2:77" x14ac:dyDescent="0.2">
      <c r="B12" s="8">
        <v>100</v>
      </c>
      <c r="C12" s="9">
        <v>200</v>
      </c>
      <c r="D12" s="12" t="b">
        <f t="shared" si="13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1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46">
        <f t="shared" si="4"/>
        <v>52</v>
      </c>
      <c r="V12" s="46">
        <f t="shared" si="5"/>
        <v>61</v>
      </c>
      <c r="W12" s="33">
        <f ca="1">IFERROR(AVERAGEIFS(data_brute!M:M,data_brute!J:J,"&lt;="&amp;V12,data_brute!J:J,"&gt;="&amp;U12),NA())</f>
        <v>25.126000000000001</v>
      </c>
      <c r="X12" s="46">
        <f t="shared" ca="1" si="6"/>
        <v>60</v>
      </c>
      <c r="Y12" s="2" t="b">
        <f t="shared" si="0"/>
        <v>0</v>
      </c>
      <c r="Z12" s="2" t="b">
        <f t="shared" si="1"/>
        <v>0</v>
      </c>
      <c r="AE12" s="46">
        <f t="shared" si="7"/>
        <v>52</v>
      </c>
      <c r="AF12" s="46">
        <f t="shared" si="8"/>
        <v>61</v>
      </c>
      <c r="AG12" s="33">
        <f ca="1">IFERROR(AVERAGEIFS(data_brute!M:M,data_brute!J:J,"&gt;="&amp;AE12,data_brute!J:J,"&lt;="&amp;AF12),NA())</f>
        <v>25.126000000000001</v>
      </c>
      <c r="AH12" s="46">
        <f t="shared" ca="1" si="9"/>
        <v>60</v>
      </c>
      <c r="AJ12" s="46">
        <f t="shared" si="10"/>
        <v>52</v>
      </c>
      <c r="AK12" s="46">
        <f t="shared" si="11"/>
        <v>61</v>
      </c>
      <c r="AL12" s="33">
        <f ca="1">IFERROR(AVERAGEIFS(data_brute!M:M,data_brute!J:J,"&lt;="&amp;AK12),NA())</f>
        <v>25.263833333333334</v>
      </c>
      <c r="AM12" s="46">
        <f t="shared" ca="1" si="12"/>
        <v>60</v>
      </c>
      <c r="AN12" s="46" t="b">
        <f t="shared" si="2"/>
        <v>0</v>
      </c>
      <c r="AO12" s="50" t="b">
        <f t="shared" si="3"/>
        <v>0</v>
      </c>
      <c r="AP12" s="2"/>
      <c r="AQ12" s="57" t="s">
        <v>9</v>
      </c>
      <c r="AR12" s="58"/>
      <c r="AS12" s="58"/>
      <c r="AT12" s="58"/>
      <c r="AU12" s="59"/>
      <c r="AX12" s="2"/>
      <c r="AY12" s="43"/>
      <c r="AZ12" s="44"/>
      <c r="BA12" s="2"/>
      <c r="BB12" s="2"/>
      <c r="BC12" s="2"/>
      <c r="BD12" s="2"/>
      <c r="BE12" s="2"/>
    </row>
    <row r="13" spans="2:77" x14ac:dyDescent="0.2">
      <c r="B13" s="8">
        <v>200</v>
      </c>
      <c r="C13" s="9">
        <v>300</v>
      </c>
      <c r="D13" s="12" t="b">
        <f t="shared" si="13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14"/>
        <v>9</v>
      </c>
      <c r="I13" s="8" t="str" cm="1">
        <f t="array" ref="I13">_xlfn.IFS(AND(D13,G13=1),H13*$C$4/100,AND(D13,G13=2),H13,NOT(D13),"")</f>
        <v/>
      </c>
      <c r="J13" s="9" t="str">
        <f t="shared" si="15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46">
        <f t="shared" si="4"/>
        <v>62</v>
      </c>
      <c r="V13" s="46">
        <f t="shared" si="5"/>
        <v>71</v>
      </c>
      <c r="W13" s="33">
        <f ca="1">IFERROR(AVERAGEIFS(data_brute!M:M,data_brute!J:J,"&lt;="&amp;V13,data_brute!J:J,"&gt;="&amp;U13),NA())</f>
        <v>25.03</v>
      </c>
      <c r="X13" s="46">
        <f t="shared" ca="1" si="6"/>
        <v>70</v>
      </c>
      <c r="Y13" s="2" t="b">
        <f t="shared" si="0"/>
        <v>0</v>
      </c>
      <c r="Z13" s="2" t="b">
        <f t="shared" si="1"/>
        <v>0</v>
      </c>
      <c r="AE13" s="46">
        <f t="shared" si="7"/>
        <v>62</v>
      </c>
      <c r="AF13" s="46">
        <f t="shared" si="8"/>
        <v>71</v>
      </c>
      <c r="AG13" s="33">
        <f ca="1">IFERROR(AVERAGEIFS(data_brute!M:M,data_brute!J:J,"&gt;="&amp;AE13,data_brute!J:J,"&lt;="&amp;AF13),NA())</f>
        <v>25.03</v>
      </c>
      <c r="AH13" s="46">
        <f t="shared" ca="1" si="9"/>
        <v>70</v>
      </c>
      <c r="AJ13" s="46">
        <f t="shared" si="10"/>
        <v>62</v>
      </c>
      <c r="AK13" s="46">
        <f t="shared" si="11"/>
        <v>71</v>
      </c>
      <c r="AL13" s="33">
        <f ca="1">IFERROR(AVERAGEIFS(data_brute!M:M,data_brute!J:J,"&lt;="&amp;AK13),NA())</f>
        <v>25.230428571428575</v>
      </c>
      <c r="AM13" s="46">
        <f t="shared" ca="1" si="12"/>
        <v>70</v>
      </c>
      <c r="AN13" s="46" t="b">
        <f t="shared" si="2"/>
        <v>0</v>
      </c>
      <c r="AO13" s="50" t="b">
        <f t="shared" si="3"/>
        <v>0</v>
      </c>
      <c r="AP13" s="2"/>
      <c r="AQ13" s="25" t="s">
        <v>53</v>
      </c>
      <c r="AR13" s="25" t="b">
        <f>IFERROR(AR7&lt;AR6,FALSE)</f>
        <v>0</v>
      </c>
      <c r="AS13" s="25" t="b">
        <f>IFERROR(AS7&lt;AS9,FALSE)</f>
        <v>0</v>
      </c>
      <c r="AT13" s="25" t="b">
        <f>IFERROR(AT7&gt;AT10,FALSE)</f>
        <v>0</v>
      </c>
      <c r="AU13" s="25" t="b">
        <f>IFERROR(AU8&lt;AU6,FALSE)</f>
        <v>0</v>
      </c>
      <c r="AX13" s="2"/>
      <c r="AY13" s="43"/>
      <c r="AZ13" s="44"/>
      <c r="BA13" s="2"/>
      <c r="BB13" s="2"/>
      <c r="BC13" s="2"/>
      <c r="BD13" s="2"/>
      <c r="BE13" s="2"/>
    </row>
    <row r="14" spans="2:77" x14ac:dyDescent="0.2">
      <c r="B14" s="8">
        <v>300</v>
      </c>
      <c r="C14" s="9">
        <v>500</v>
      </c>
      <c r="D14" s="12" t="b">
        <f t="shared" si="13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14"/>
        <v>3</v>
      </c>
      <c r="I14" s="8" t="str" cm="1">
        <f t="array" ref="I14">_xlfn.IFS(AND(D14,G14=1),H14*$C$4/100,AND(D14,G14=2),H14,NOT(D14),"")</f>
        <v/>
      </c>
      <c r="J14" s="9" t="str">
        <f t="shared" si="15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46">
        <f t="shared" si="4"/>
        <v>72</v>
      </c>
      <c r="V14" s="46">
        <f t="shared" si="5"/>
        <v>81</v>
      </c>
      <c r="W14" s="33">
        <f ca="1">IFERROR(AVERAGEIFS(data_brute!M:M,data_brute!J:J,"&lt;="&amp;V14,data_brute!J:J,"&gt;="&amp;U14),NA())</f>
        <v>25.077000000000002</v>
      </c>
      <c r="X14" s="46">
        <f t="shared" ca="1" si="6"/>
        <v>80</v>
      </c>
      <c r="Y14" s="2" t="b">
        <f t="shared" si="0"/>
        <v>0</v>
      </c>
      <c r="Z14" s="2" t="b">
        <f t="shared" si="1"/>
        <v>0</v>
      </c>
      <c r="AE14" s="46">
        <f t="shared" si="7"/>
        <v>72</v>
      </c>
      <c r="AF14" s="46">
        <f t="shared" si="8"/>
        <v>81</v>
      </c>
      <c r="AG14" s="33">
        <f ca="1">IFERROR(AVERAGEIFS(data_brute!M:M,data_brute!J:J,"&gt;="&amp;AE14,data_brute!J:J,"&lt;="&amp;AF14),NA())</f>
        <v>25.077000000000002</v>
      </c>
      <c r="AH14" s="46">
        <f t="shared" ca="1" si="9"/>
        <v>80</v>
      </c>
      <c r="AJ14" s="46">
        <f t="shared" si="10"/>
        <v>72</v>
      </c>
      <c r="AK14" s="46">
        <f t="shared" si="11"/>
        <v>81</v>
      </c>
      <c r="AL14" s="33">
        <f ca="1">IFERROR(AVERAGEIFS(data_brute!M:M,data_brute!J:J,"&lt;="&amp;AK14),NA())</f>
        <v>25.211250000000007</v>
      </c>
      <c r="AM14" s="46">
        <f t="shared" ca="1" si="12"/>
        <v>80</v>
      </c>
      <c r="AN14" s="46" t="b">
        <f t="shared" si="2"/>
        <v>0</v>
      </c>
      <c r="AO14" s="50" t="b">
        <f t="shared" si="3"/>
        <v>0</v>
      </c>
      <c r="AP14" s="2"/>
      <c r="AQ14" s="2"/>
      <c r="AR14" s="2"/>
      <c r="AS14" s="2"/>
      <c r="AT14" s="2"/>
      <c r="AU14" s="2"/>
      <c r="AX14" s="2"/>
      <c r="AY14" s="43"/>
      <c r="AZ14" s="44"/>
      <c r="BA14" s="2"/>
      <c r="BB14" s="2"/>
      <c r="BC14" s="2"/>
      <c r="BD14" s="2"/>
      <c r="BE14" s="2"/>
    </row>
    <row r="15" spans="2:77" x14ac:dyDescent="0.2">
      <c r="B15" s="8">
        <v>500</v>
      </c>
      <c r="C15" s="9">
        <v>1000</v>
      </c>
      <c r="D15" s="12" t="b">
        <f t="shared" si="13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14"/>
        <v>15</v>
      </c>
      <c r="I15" s="8" t="str" cm="1">
        <f t="array" ref="I15">_xlfn.IFS(AND(D15,G15=1),H15*$C$4/100,AND(D15,G15=2),H15,NOT(D15),"")</f>
        <v/>
      </c>
      <c r="J15" s="9" t="str">
        <f t="shared" si="15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46">
        <f t="shared" si="4"/>
        <v>82</v>
      </c>
      <c r="V15" s="46">
        <f t="shared" si="5"/>
        <v>91</v>
      </c>
      <c r="W15" s="33">
        <f ca="1">IFERROR(AVERAGEIFS(data_brute!M:M,data_brute!J:J,"&lt;="&amp;V15,data_brute!J:J,"&gt;="&amp;U15),NA())</f>
        <v>25.139000000000003</v>
      </c>
      <c r="X15" s="46">
        <f t="shared" ca="1" si="6"/>
        <v>90</v>
      </c>
      <c r="Y15" s="2" t="b">
        <f t="shared" si="0"/>
        <v>0</v>
      </c>
      <c r="Z15" s="2" t="b">
        <f t="shared" si="1"/>
        <v>0</v>
      </c>
      <c r="AE15" s="46">
        <f t="shared" si="7"/>
        <v>82</v>
      </c>
      <c r="AF15" s="46">
        <f t="shared" si="8"/>
        <v>91</v>
      </c>
      <c r="AG15" s="33">
        <f ca="1">IFERROR(AVERAGEIFS(data_brute!M:M,data_brute!J:J,"&gt;="&amp;AE15,data_brute!J:J,"&lt;="&amp;AF15),NA())</f>
        <v>25.139000000000003</v>
      </c>
      <c r="AH15" s="46">
        <f t="shared" ca="1" si="9"/>
        <v>90</v>
      </c>
      <c r="AJ15" s="46">
        <f t="shared" si="10"/>
        <v>82</v>
      </c>
      <c r="AK15" s="46">
        <f t="shared" si="11"/>
        <v>91</v>
      </c>
      <c r="AL15" s="33">
        <f ca="1">IFERROR(AVERAGEIFS(data_brute!M:M,data_brute!J:J,"&lt;="&amp;AK15),NA())</f>
        <v>25.203222222222223</v>
      </c>
      <c r="AM15" s="46">
        <f t="shared" ca="1" si="12"/>
        <v>90</v>
      </c>
      <c r="AN15" s="46" t="b">
        <f t="shared" si="2"/>
        <v>0</v>
      </c>
      <c r="AO15" s="50" t="b">
        <f t="shared" si="3"/>
        <v>0</v>
      </c>
      <c r="AP15" s="2"/>
      <c r="AQ15" s="2"/>
      <c r="AR15" s="2"/>
      <c r="AS15" s="2"/>
      <c r="AT15" s="2"/>
      <c r="AU15" s="2"/>
      <c r="AX15" s="2"/>
      <c r="AY15" s="43"/>
      <c r="AZ15" s="44"/>
      <c r="BA15" s="2"/>
      <c r="BB15" s="2"/>
      <c r="BC15" s="2"/>
      <c r="BD15" s="2"/>
      <c r="BE15" s="2"/>
    </row>
    <row r="16" spans="2:77" x14ac:dyDescent="0.2">
      <c r="B16" s="10">
        <v>1000</v>
      </c>
      <c r="C16" s="11">
        <v>10000</v>
      </c>
      <c r="D16" s="13" t="b">
        <f t="shared" si="13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14"/>
        <v>1.5</v>
      </c>
      <c r="I16" s="10" t="str" cm="1">
        <f t="array" ref="I16">_xlfn.IFS(AND(D16,G16=1),H16*$C$4/100,AND(D16,G16=2),H16,NOT(D16),"")</f>
        <v/>
      </c>
      <c r="J16" s="11" t="str">
        <f t="shared" si="15"/>
        <v/>
      </c>
      <c r="K16" s="9" t="str" cm="1">
        <f t="array" ref="K16">_xlfn.IFS(AND(D16,G16=1),H16*$C$4/100,AND(D16,G16=2),H16,NOT(D16),"")</f>
        <v/>
      </c>
      <c r="L16" s="2"/>
      <c r="M16" s="2"/>
      <c r="U16" s="46">
        <f t="shared" si="4"/>
        <v>92</v>
      </c>
      <c r="V16" s="46">
        <f t="shared" si="5"/>
        <v>101</v>
      </c>
      <c r="W16" s="33">
        <f ca="1">IFERROR(AVERAGEIFS(data_brute!M:M,data_brute!J:J,"&lt;="&amp;V16,data_brute!J:J,"&gt;="&amp;U16),NA())</f>
        <v>25.033000000000001</v>
      </c>
      <c r="X16" s="46">
        <f t="shared" ca="1" si="6"/>
        <v>100</v>
      </c>
      <c r="Y16" s="2" t="b">
        <f t="shared" si="0"/>
        <v>0</v>
      </c>
      <c r="Z16" s="2" t="b">
        <f t="shared" si="1"/>
        <v>0</v>
      </c>
      <c r="AE16" s="46">
        <f t="shared" si="7"/>
        <v>92</v>
      </c>
      <c r="AF16" s="46">
        <f t="shared" si="8"/>
        <v>101</v>
      </c>
      <c r="AG16" s="33">
        <f ca="1">IFERROR(AVERAGEIFS(data_brute!M:M,data_brute!J:J,"&gt;="&amp;AE16,data_brute!J:J,"&lt;="&amp;AF16),NA())</f>
        <v>25.033000000000001</v>
      </c>
      <c r="AH16" s="46">
        <f t="shared" ca="1" si="9"/>
        <v>100</v>
      </c>
      <c r="AJ16" s="46">
        <f t="shared" si="10"/>
        <v>92</v>
      </c>
      <c r="AK16" s="46">
        <f t="shared" si="11"/>
        <v>101</v>
      </c>
      <c r="AL16" s="33">
        <f ca="1">IFERROR(AVERAGEIFS(data_brute!M:M,data_brute!J:J,"&lt;="&amp;AK16),NA())</f>
        <v>25.186200000000003</v>
      </c>
      <c r="AM16" s="46">
        <f t="shared" ca="1" si="12"/>
        <v>100</v>
      </c>
      <c r="AN16" s="46" t="b">
        <f t="shared" si="2"/>
        <v>0</v>
      </c>
      <c r="AO16" s="50" t="b">
        <f t="shared" si="3"/>
        <v>0</v>
      </c>
      <c r="AP16" s="2"/>
      <c r="AQ16" s="2"/>
      <c r="AR16" s="2"/>
      <c r="AS16" s="2"/>
      <c r="AT16" s="2"/>
      <c r="AU16" s="2"/>
      <c r="AX16" s="2"/>
      <c r="AY16" s="43"/>
      <c r="AZ16" s="44"/>
      <c r="BA16" s="2"/>
      <c r="BB16" s="2"/>
      <c r="BC16" s="2"/>
      <c r="BD16" s="2"/>
      <c r="BE16" s="2"/>
    </row>
    <row r="17" spans="2:57" x14ac:dyDescent="0.2">
      <c r="U17" s="46">
        <f t="shared" si="4"/>
        <v>102</v>
      </c>
      <c r="V17" s="46">
        <f t="shared" si="5"/>
        <v>111</v>
      </c>
      <c r="W17" s="33">
        <f ca="1">IFERROR(AVERAGEIFS(data_brute!M:M,data_brute!J:J,"&lt;="&amp;V17,data_brute!J:J,"&gt;="&amp;U17),NA())</f>
        <v>25.124000000000002</v>
      </c>
      <c r="X17" s="46">
        <f t="shared" ca="1" si="6"/>
        <v>110</v>
      </c>
      <c r="Y17" s="2" t="b">
        <f t="shared" si="0"/>
        <v>0</v>
      </c>
      <c r="Z17" s="2" t="b">
        <f t="shared" si="1"/>
        <v>0</v>
      </c>
      <c r="AE17" s="46">
        <f t="shared" si="7"/>
        <v>102</v>
      </c>
      <c r="AF17" s="46">
        <f t="shared" si="8"/>
        <v>111</v>
      </c>
      <c r="AG17" s="33">
        <f ca="1">IFERROR(AVERAGEIFS(data_brute!M:M,data_brute!J:J,"&gt;="&amp;AE17,data_brute!J:J,"&lt;="&amp;AF17),NA())</f>
        <v>25.124000000000002</v>
      </c>
      <c r="AH17" s="46">
        <f t="shared" ca="1" si="9"/>
        <v>110</v>
      </c>
      <c r="AJ17" s="46">
        <f t="shared" si="10"/>
        <v>102</v>
      </c>
      <c r="AK17" s="46">
        <f t="shared" si="11"/>
        <v>111</v>
      </c>
      <c r="AL17" s="33">
        <f ca="1">IFERROR(AVERAGEIFS(data_brute!M:M,data_brute!J:J,"&lt;="&amp;AK17),NA())</f>
        <v>25.180545454545452</v>
      </c>
      <c r="AM17" s="46">
        <f t="shared" ca="1" si="12"/>
        <v>110</v>
      </c>
      <c r="AN17" s="46" t="b">
        <f t="shared" si="2"/>
        <v>0</v>
      </c>
      <c r="AO17" s="50" t="b">
        <f t="shared" si="3"/>
        <v>0</v>
      </c>
      <c r="AP17" s="2"/>
      <c r="AQ17" s="2"/>
      <c r="AR17" s="2"/>
      <c r="AS17" s="2"/>
      <c r="AT17" s="2"/>
      <c r="AU17" s="2"/>
      <c r="AX17" s="2"/>
      <c r="AY17" s="43"/>
      <c r="AZ17" s="44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22.75</v>
      </c>
      <c r="U18" s="46">
        <f t="shared" si="4"/>
        <v>112</v>
      </c>
      <c r="V18" s="46">
        <f t="shared" si="5"/>
        <v>121</v>
      </c>
      <c r="W18" s="33">
        <f ca="1">IFERROR(AVERAGEIFS(data_brute!M:M,data_brute!J:J,"&lt;="&amp;V18,data_brute!J:J,"&gt;="&amp;U18),NA())</f>
        <v>25.184999999999995</v>
      </c>
      <c r="X18" s="46">
        <f t="shared" ca="1" si="6"/>
        <v>120</v>
      </c>
      <c r="Y18" s="2" t="b">
        <f t="shared" si="0"/>
        <v>0</v>
      </c>
      <c r="Z18" s="2" t="b">
        <f t="shared" si="1"/>
        <v>0</v>
      </c>
      <c r="AE18" s="46">
        <f t="shared" si="7"/>
        <v>112</v>
      </c>
      <c r="AF18" s="46">
        <f t="shared" si="8"/>
        <v>121</v>
      </c>
      <c r="AG18" s="33">
        <f ca="1">IFERROR(AVERAGEIFS(data_brute!M:M,data_brute!J:J,"&gt;="&amp;AE18,data_brute!J:J,"&lt;="&amp;AF18),NA())</f>
        <v>25.184999999999995</v>
      </c>
      <c r="AH18" s="46">
        <f t="shared" ca="1" si="9"/>
        <v>120</v>
      </c>
      <c r="AJ18" s="46">
        <f t="shared" si="10"/>
        <v>112</v>
      </c>
      <c r="AK18" s="46">
        <f t="shared" si="11"/>
        <v>121</v>
      </c>
      <c r="AL18" s="33">
        <f ca="1">IFERROR(AVERAGEIFS(data_brute!M:M,data_brute!J:J,"&lt;="&amp;AK18),NA())</f>
        <v>25.180916666666658</v>
      </c>
      <c r="AM18" s="46">
        <f t="shared" ca="1" si="12"/>
        <v>120</v>
      </c>
      <c r="AN18" s="46" t="b">
        <f t="shared" si="2"/>
        <v>0</v>
      </c>
      <c r="AO18" s="50" t="b">
        <f t="shared" si="3"/>
        <v>0</v>
      </c>
      <c r="AP18" s="2"/>
      <c r="AQ18" s="2"/>
      <c r="AR18" s="2"/>
      <c r="AS18" s="2"/>
      <c r="AT18" s="2"/>
      <c r="AU18" s="2"/>
      <c r="AX18" s="2"/>
      <c r="AY18" s="43"/>
      <c r="AZ18" s="44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20.5</v>
      </c>
      <c r="U19" s="46">
        <f t="shared" si="4"/>
        <v>122</v>
      </c>
      <c r="V19" s="46">
        <f t="shared" si="5"/>
        <v>131</v>
      </c>
      <c r="W19" s="33">
        <f ca="1">IFERROR(AVERAGEIFS(data_brute!M:M,data_brute!J:J,"&lt;="&amp;V19,data_brute!J:J,"&gt;="&amp;U19),NA())</f>
        <v>25.141999999999996</v>
      </c>
      <c r="X19" s="46">
        <f t="shared" ca="1" si="6"/>
        <v>130</v>
      </c>
      <c r="Y19" s="2" t="b">
        <f t="shared" si="0"/>
        <v>0</v>
      </c>
      <c r="Z19" s="2" t="b">
        <f t="shared" si="1"/>
        <v>0</v>
      </c>
      <c r="AE19" s="46">
        <f t="shared" si="7"/>
        <v>122</v>
      </c>
      <c r="AF19" s="46">
        <f t="shared" si="8"/>
        <v>131</v>
      </c>
      <c r="AG19" s="33">
        <f ca="1">IFERROR(AVERAGEIFS(data_brute!M:M,data_brute!J:J,"&gt;="&amp;AE19,data_brute!J:J,"&lt;="&amp;AF19),NA())</f>
        <v>25.141999999999996</v>
      </c>
      <c r="AH19" s="46">
        <f t="shared" ca="1" si="9"/>
        <v>130</v>
      </c>
      <c r="AJ19" s="46">
        <f t="shared" si="10"/>
        <v>122</v>
      </c>
      <c r="AK19" s="46">
        <f t="shared" si="11"/>
        <v>131</v>
      </c>
      <c r="AL19" s="33">
        <f ca="1">IFERROR(AVERAGEIFS(data_brute!M:M,data_brute!J:J,"&lt;="&amp;AK19),NA())</f>
        <v>25.177923076923069</v>
      </c>
      <c r="AM19" s="46">
        <f t="shared" ca="1" si="12"/>
        <v>130</v>
      </c>
      <c r="AN19" s="46" t="b">
        <f t="shared" si="2"/>
        <v>0</v>
      </c>
      <c r="AO19" s="50" t="b">
        <f t="shared" si="3"/>
        <v>0</v>
      </c>
      <c r="AP19" s="2"/>
      <c r="AQ19" s="2"/>
      <c r="AR19" s="2"/>
      <c r="AS19" s="2"/>
      <c r="AT19" s="2"/>
      <c r="AU19" s="2"/>
      <c r="AX19" s="2"/>
      <c r="AY19" s="43"/>
      <c r="AZ19" s="44"/>
      <c r="BA19" s="2"/>
      <c r="BB19" s="2"/>
      <c r="BC19" s="2"/>
      <c r="BD19" s="2"/>
      <c r="BE19" s="2"/>
    </row>
    <row r="20" spans="2:57" x14ac:dyDescent="0.2">
      <c r="U20" s="46">
        <f t="shared" si="4"/>
        <v>132</v>
      </c>
      <c r="V20" s="46">
        <f t="shared" si="5"/>
        <v>141</v>
      </c>
      <c r="W20" s="33">
        <f ca="1">IFERROR(AVERAGEIFS(data_brute!M:M,data_brute!J:J,"&lt;="&amp;V20,data_brute!J:J,"&gt;="&amp;U20),NA())</f>
        <v>25.249000000000002</v>
      </c>
      <c r="X20" s="46">
        <f t="shared" ca="1" si="6"/>
        <v>140</v>
      </c>
      <c r="Y20" s="2" t="b">
        <f t="shared" si="0"/>
        <v>0</v>
      </c>
      <c r="Z20" s="2" t="b">
        <f t="shared" si="1"/>
        <v>0</v>
      </c>
      <c r="AE20" s="46">
        <f t="shared" si="7"/>
        <v>132</v>
      </c>
      <c r="AF20" s="46">
        <f t="shared" si="8"/>
        <v>141</v>
      </c>
      <c r="AG20" s="33">
        <f ca="1">IFERROR(AVERAGEIFS(data_brute!M:M,data_brute!J:J,"&gt;="&amp;AE20,data_brute!J:J,"&lt;="&amp;AF20),NA())</f>
        <v>25.249000000000002</v>
      </c>
      <c r="AH20" s="46">
        <f t="shared" ca="1" si="9"/>
        <v>140</v>
      </c>
      <c r="AJ20" s="46">
        <f t="shared" si="10"/>
        <v>132</v>
      </c>
      <c r="AK20" s="46">
        <f t="shared" si="11"/>
        <v>141</v>
      </c>
      <c r="AL20" s="33">
        <f ca="1">IFERROR(AVERAGEIFS(data_brute!M:M,data_brute!J:J,"&lt;="&amp;AK20),NA())</f>
        <v>25.182999999999989</v>
      </c>
      <c r="AM20" s="46">
        <f t="shared" ca="1" si="12"/>
        <v>140</v>
      </c>
      <c r="AN20" s="46" t="b">
        <f t="shared" si="2"/>
        <v>0</v>
      </c>
      <c r="AO20" s="50" t="b">
        <f t="shared" si="3"/>
        <v>0</v>
      </c>
      <c r="AP20" s="2"/>
      <c r="AQ20" s="2"/>
      <c r="AR20" s="2"/>
      <c r="AS20" s="2"/>
      <c r="AT20" s="2"/>
      <c r="AU20" s="2"/>
      <c r="AX20" s="2"/>
      <c r="AY20" s="43"/>
      <c r="AZ20" s="44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2.25</v>
      </c>
      <c r="U21" s="46">
        <f t="shared" si="4"/>
        <v>142</v>
      </c>
      <c r="V21" s="46">
        <f t="shared" si="5"/>
        <v>151</v>
      </c>
      <c r="W21" s="33">
        <f ca="1">IFERROR(AVERAGEIFS(data_brute!M:M,data_brute!J:J,"&lt;="&amp;V21,data_brute!J:J,"&gt;="&amp;U21),NA())</f>
        <v>25.138999999999999</v>
      </c>
      <c r="X21" s="46">
        <f t="shared" ca="1" si="6"/>
        <v>150</v>
      </c>
      <c r="Y21" s="2" t="b">
        <f t="shared" si="0"/>
        <v>0</v>
      </c>
      <c r="Z21" s="2" t="b">
        <f t="shared" si="1"/>
        <v>0</v>
      </c>
      <c r="AE21" s="46">
        <f t="shared" si="7"/>
        <v>142</v>
      </c>
      <c r="AF21" s="46">
        <f t="shared" si="8"/>
        <v>151</v>
      </c>
      <c r="AG21" s="33">
        <f ca="1">IFERROR(AVERAGEIFS(data_brute!M:M,data_brute!J:J,"&gt;="&amp;AE21,data_brute!J:J,"&lt;="&amp;AF21),NA())</f>
        <v>25.138999999999999</v>
      </c>
      <c r="AH21" s="46">
        <f t="shared" ca="1" si="9"/>
        <v>150</v>
      </c>
      <c r="AJ21" s="46">
        <f t="shared" si="10"/>
        <v>142</v>
      </c>
      <c r="AK21" s="46">
        <f t="shared" si="11"/>
        <v>151</v>
      </c>
      <c r="AL21" s="33">
        <f ca="1">IFERROR(AVERAGEIFS(data_brute!M:M,data_brute!J:J,"&lt;="&amp;AK21),NA())</f>
        <v>25.180066666666654</v>
      </c>
      <c r="AM21" s="46">
        <f t="shared" ca="1" si="12"/>
        <v>150</v>
      </c>
      <c r="AN21" s="46" t="b">
        <f t="shared" si="2"/>
        <v>0</v>
      </c>
      <c r="AO21" s="50" t="b">
        <f t="shared" si="3"/>
        <v>0</v>
      </c>
      <c r="AP21" s="2"/>
      <c r="AQ21" s="2"/>
      <c r="AR21" s="2"/>
      <c r="AS21" s="2"/>
      <c r="AT21" s="2"/>
      <c r="AU21" s="2"/>
      <c r="AX21" s="2"/>
      <c r="AY21" s="43"/>
      <c r="AZ21" s="44"/>
      <c r="BA21" s="2"/>
      <c r="BB21" s="2"/>
      <c r="BC21" s="2"/>
      <c r="BD21" s="2"/>
      <c r="BE21" s="2"/>
    </row>
    <row r="22" spans="2:57" x14ac:dyDescent="0.2">
      <c r="B22" s="8" t="s">
        <v>23</v>
      </c>
      <c r="C22" s="38">
        <f>1/6</f>
        <v>0.16666666666666666</v>
      </c>
      <c r="U22" s="46">
        <f t="shared" si="4"/>
        <v>152</v>
      </c>
      <c r="V22" s="46">
        <f t="shared" si="5"/>
        <v>161</v>
      </c>
      <c r="W22" s="33">
        <f ca="1">IFERROR(AVERAGEIFS(data_brute!M:M,data_brute!J:J,"&lt;="&amp;V22,data_brute!J:J,"&gt;="&amp;U22),NA())</f>
        <v>25.292999999999999</v>
      </c>
      <c r="X22" s="46">
        <f t="shared" ca="1" si="6"/>
        <v>160</v>
      </c>
      <c r="Y22" s="2" t="b">
        <f t="shared" si="0"/>
        <v>0</v>
      </c>
      <c r="Z22" s="2" t="b">
        <f t="shared" si="1"/>
        <v>0</v>
      </c>
      <c r="AE22" s="46">
        <f t="shared" si="7"/>
        <v>152</v>
      </c>
      <c r="AF22" s="46">
        <f t="shared" si="8"/>
        <v>161</v>
      </c>
      <c r="AG22" s="33">
        <f ca="1">IFERROR(AVERAGEIFS(data_brute!M:M,data_brute!J:J,"&gt;="&amp;AE22,data_brute!J:J,"&lt;="&amp;AF22),NA())</f>
        <v>25.292999999999999</v>
      </c>
      <c r="AH22" s="46">
        <f t="shared" ca="1" si="9"/>
        <v>160</v>
      </c>
      <c r="AJ22" s="46">
        <f t="shared" si="10"/>
        <v>152</v>
      </c>
      <c r="AK22" s="46">
        <f t="shared" si="11"/>
        <v>161</v>
      </c>
      <c r="AL22" s="33">
        <f ca="1">IFERROR(AVERAGEIFS(data_brute!M:M,data_brute!J:J,"&lt;="&amp;AK22),NA())</f>
        <v>25.187124999999991</v>
      </c>
      <c r="AM22" s="46">
        <f t="shared" ca="1" si="12"/>
        <v>160</v>
      </c>
      <c r="AN22" s="46" t="b">
        <f t="shared" si="2"/>
        <v>0</v>
      </c>
      <c r="AO22" s="50" t="b">
        <f t="shared" si="3"/>
        <v>0</v>
      </c>
      <c r="AP22" s="2"/>
      <c r="AQ22" s="2"/>
      <c r="AR22" s="2"/>
      <c r="AS22" s="2"/>
      <c r="AT22" s="2"/>
      <c r="AU22" s="2"/>
      <c r="AX22" s="2"/>
      <c r="AY22" s="43"/>
      <c r="AZ22" s="44"/>
      <c r="BA22" s="2"/>
      <c r="BB22" s="2"/>
      <c r="BC22" s="2"/>
      <c r="BD22" s="2"/>
      <c r="BE22" s="2"/>
    </row>
    <row r="23" spans="2:57" x14ac:dyDescent="0.2">
      <c r="B23" s="10" t="s">
        <v>22</v>
      </c>
      <c r="C23" s="34">
        <f>C21*C22</f>
        <v>0.375</v>
      </c>
      <c r="U23" s="46">
        <f t="shared" si="4"/>
        <v>162</v>
      </c>
      <c r="V23" s="46">
        <f t="shared" si="5"/>
        <v>171</v>
      </c>
      <c r="W23" s="33">
        <f ca="1">IFERROR(AVERAGEIFS(data_brute!M:M,data_brute!J:J,"&lt;="&amp;V23,data_brute!J:J,"&gt;="&amp;U23),NA())</f>
        <v>25.293999999999997</v>
      </c>
      <c r="X23" s="46">
        <f t="shared" ca="1" si="6"/>
        <v>170</v>
      </c>
      <c r="Y23" s="2" t="b">
        <f t="shared" si="0"/>
        <v>0</v>
      </c>
      <c r="Z23" s="2" t="b">
        <f t="shared" si="1"/>
        <v>0</v>
      </c>
      <c r="AE23" s="46">
        <f t="shared" si="7"/>
        <v>162</v>
      </c>
      <c r="AF23" s="46">
        <f t="shared" si="8"/>
        <v>171</v>
      </c>
      <c r="AG23" s="33">
        <f ca="1">IFERROR(AVERAGEIFS(data_brute!M:M,data_brute!J:J,"&gt;="&amp;AE23,data_brute!J:J,"&lt;="&amp;AF23),NA())</f>
        <v>25.293999999999997</v>
      </c>
      <c r="AH23" s="46">
        <f t="shared" ca="1" si="9"/>
        <v>170</v>
      </c>
      <c r="AJ23" s="46">
        <f t="shared" si="10"/>
        <v>162</v>
      </c>
      <c r="AK23" s="46">
        <f t="shared" si="11"/>
        <v>171</v>
      </c>
      <c r="AL23" s="33">
        <f ca="1">IFERROR(AVERAGEIFS(data_brute!M:M,data_brute!J:J,"&lt;="&amp;AK23),NA())</f>
        <v>25.193411764705871</v>
      </c>
      <c r="AM23" s="46">
        <f t="shared" ca="1" si="12"/>
        <v>170</v>
      </c>
      <c r="AN23" s="46" t="b">
        <f t="shared" si="2"/>
        <v>0</v>
      </c>
      <c r="AO23" s="50" t="b">
        <f t="shared" si="3"/>
        <v>0</v>
      </c>
      <c r="AP23" s="2"/>
      <c r="AQ23" s="2"/>
      <c r="AR23" s="2"/>
      <c r="AS23" s="2"/>
      <c r="AT23" s="2"/>
      <c r="AU23" s="2"/>
      <c r="AX23" s="2"/>
      <c r="AY23" s="43"/>
      <c r="AZ23" s="44"/>
      <c r="BA23" s="2"/>
      <c r="BB23" s="2"/>
      <c r="BC23" s="2"/>
      <c r="BD23" s="2"/>
      <c r="BE23" s="2"/>
    </row>
    <row r="24" spans="2:57" x14ac:dyDescent="0.2">
      <c r="U24" s="46">
        <f t="shared" si="4"/>
        <v>172</v>
      </c>
      <c r="V24" s="46">
        <f t="shared" si="5"/>
        <v>181</v>
      </c>
      <c r="W24" s="33">
        <f ca="1">IFERROR(AVERAGEIFS(data_brute!M:M,data_brute!J:J,"&lt;="&amp;V24,data_brute!J:J,"&gt;="&amp;U24),NA())</f>
        <v>25.367000000000001</v>
      </c>
      <c r="X24" s="46">
        <f t="shared" ca="1" si="6"/>
        <v>180</v>
      </c>
      <c r="Y24" s="2" t="b">
        <f t="shared" si="0"/>
        <v>0</v>
      </c>
      <c r="Z24" s="2" t="b">
        <f t="shared" si="1"/>
        <v>0</v>
      </c>
      <c r="AE24" s="46">
        <f t="shared" si="7"/>
        <v>172</v>
      </c>
      <c r="AF24" s="46">
        <f t="shared" si="8"/>
        <v>181</v>
      </c>
      <c r="AG24" s="33">
        <f ca="1">IFERROR(AVERAGEIFS(data_brute!M:M,data_brute!J:J,"&gt;="&amp;AE24,data_brute!J:J,"&lt;="&amp;AF24),NA())</f>
        <v>25.367000000000001</v>
      </c>
      <c r="AH24" s="46">
        <f t="shared" ca="1" si="9"/>
        <v>180</v>
      </c>
      <c r="AJ24" s="46">
        <f t="shared" si="10"/>
        <v>172</v>
      </c>
      <c r="AK24" s="46">
        <f t="shared" si="11"/>
        <v>181</v>
      </c>
      <c r="AL24" s="33">
        <f ca="1">IFERROR(AVERAGEIFS(data_brute!M:M,data_brute!J:J,"&lt;="&amp;AK24),NA())</f>
        <v>25.203055555555547</v>
      </c>
      <c r="AM24" s="46">
        <f t="shared" ca="1" si="12"/>
        <v>180</v>
      </c>
      <c r="AN24" s="46" t="b">
        <f t="shared" si="2"/>
        <v>0</v>
      </c>
      <c r="AO24" s="50" t="b">
        <f t="shared" si="3"/>
        <v>0</v>
      </c>
      <c r="AP24" s="2"/>
      <c r="AQ24" s="2"/>
      <c r="AR24" s="2"/>
      <c r="AS24" s="2"/>
      <c r="AT24" s="2"/>
      <c r="AU24" s="2"/>
      <c r="AX24" s="2"/>
      <c r="AY24" s="43"/>
      <c r="AZ24" s="44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24.625</v>
      </c>
      <c r="U25" s="46">
        <f t="shared" si="4"/>
        <v>182</v>
      </c>
      <c r="V25" s="46">
        <f t="shared" si="5"/>
        <v>191</v>
      </c>
      <c r="W25" s="33">
        <f ca="1">IFERROR(AVERAGEIFS(data_brute!M:M,data_brute!J:J,"&lt;="&amp;V25,data_brute!J:J,"&gt;="&amp;U25),NA())</f>
        <v>25.202999999999999</v>
      </c>
      <c r="X25" s="46">
        <f t="shared" ca="1" si="6"/>
        <v>190</v>
      </c>
      <c r="Y25" s="2" t="b">
        <f t="shared" si="0"/>
        <v>0</v>
      </c>
      <c r="Z25" s="2" t="b">
        <f t="shared" si="1"/>
        <v>0</v>
      </c>
      <c r="AE25" s="46">
        <f t="shared" si="7"/>
        <v>182</v>
      </c>
      <c r="AF25" s="46">
        <f t="shared" si="8"/>
        <v>191</v>
      </c>
      <c r="AG25" s="33">
        <f ca="1">IFERROR(AVERAGEIFS(data_brute!M:M,data_brute!J:J,"&gt;="&amp;AE25,data_brute!J:J,"&lt;="&amp;AF25),NA())</f>
        <v>25.202999999999999</v>
      </c>
      <c r="AH25" s="46">
        <f t="shared" ca="1" si="9"/>
        <v>190</v>
      </c>
      <c r="AJ25" s="46">
        <f t="shared" si="10"/>
        <v>182</v>
      </c>
      <c r="AK25" s="46">
        <f t="shared" si="11"/>
        <v>191</v>
      </c>
      <c r="AL25" s="33">
        <f ca="1">IFERROR(AVERAGEIFS(data_brute!M:M,data_brute!J:J,"&lt;="&amp;AK25),NA())</f>
        <v>25.203052631578942</v>
      </c>
      <c r="AM25" s="46">
        <f t="shared" ca="1" si="12"/>
        <v>190</v>
      </c>
      <c r="AN25" s="46" t="b">
        <f t="shared" si="2"/>
        <v>0</v>
      </c>
      <c r="AO25" s="50" t="b">
        <f t="shared" si="3"/>
        <v>0</v>
      </c>
      <c r="AP25" s="2"/>
      <c r="AQ25" s="2"/>
      <c r="AR25" s="2"/>
      <c r="AS25" s="2"/>
      <c r="AT25" s="2"/>
      <c r="AU25" s="2"/>
      <c r="AX25" s="2"/>
      <c r="AY25" s="43"/>
      <c r="AZ25" s="44"/>
      <c r="BA25" s="2"/>
      <c r="BB25" s="2"/>
      <c r="BC25" s="2"/>
      <c r="BD25" s="2"/>
      <c r="BE25" s="2"/>
    </row>
    <row r="26" spans="2:57" x14ac:dyDescent="0.2">
      <c r="B26" s="10" t="s">
        <v>25</v>
      </c>
      <c r="C26" s="34">
        <f>C4+C23</f>
        <v>25.375</v>
      </c>
      <c r="U26" s="46">
        <f t="shared" si="4"/>
        <v>192</v>
      </c>
      <c r="V26" s="46">
        <f t="shared" si="5"/>
        <v>201</v>
      </c>
      <c r="W26" s="33">
        <f ca="1">IFERROR(AVERAGEIFS(data_brute!M:M,data_brute!J:J,"&lt;="&amp;V26,data_brute!J:J,"&gt;="&amp;U26),NA())</f>
        <v>25.059000000000001</v>
      </c>
      <c r="X26" s="46">
        <f t="shared" ca="1" si="6"/>
        <v>200</v>
      </c>
      <c r="Y26" s="2" t="b">
        <f t="shared" si="0"/>
        <v>0</v>
      </c>
      <c r="Z26" s="2" t="b">
        <f t="shared" si="1"/>
        <v>0</v>
      </c>
      <c r="AE26" s="46">
        <f t="shared" si="7"/>
        <v>192</v>
      </c>
      <c r="AF26" s="46">
        <f t="shared" si="8"/>
        <v>201</v>
      </c>
      <c r="AG26" s="33">
        <f ca="1">IFERROR(AVERAGEIFS(data_brute!M:M,data_brute!J:J,"&gt;="&amp;AE26,data_brute!J:J,"&lt;="&amp;AF26),NA())</f>
        <v>25.059000000000001</v>
      </c>
      <c r="AH26" s="46">
        <f t="shared" ca="1" si="9"/>
        <v>200</v>
      </c>
      <c r="AJ26" s="46">
        <f t="shared" si="10"/>
        <v>192</v>
      </c>
      <c r="AK26" s="46">
        <f t="shared" si="11"/>
        <v>201</v>
      </c>
      <c r="AL26" s="33">
        <f ca="1">IFERROR(AVERAGEIFS(data_brute!M:M,data_brute!J:J,"&lt;="&amp;AK26),NA())</f>
        <v>25.195849999999997</v>
      </c>
      <c r="AM26" s="46">
        <f t="shared" ca="1" si="12"/>
        <v>200</v>
      </c>
      <c r="AN26" s="46" t="b">
        <f t="shared" si="2"/>
        <v>0</v>
      </c>
      <c r="AO26" s="50" t="b">
        <f t="shared" si="3"/>
        <v>0</v>
      </c>
      <c r="AP26" s="2"/>
      <c r="AQ26" s="2"/>
      <c r="AR26" s="2"/>
      <c r="AS26" s="2"/>
      <c r="AT26" s="2"/>
      <c r="AU26" s="2"/>
      <c r="AX26" s="2"/>
      <c r="AY26" s="43"/>
      <c r="AZ26" s="44"/>
      <c r="BA26" s="2"/>
      <c r="BB26" s="2"/>
      <c r="BC26" s="2"/>
      <c r="BD26" s="2"/>
      <c r="BE26" s="2"/>
    </row>
    <row r="27" spans="2:57" x14ac:dyDescent="0.2">
      <c r="U27" s="46">
        <f t="shared" si="4"/>
        <v>202</v>
      </c>
      <c r="V27" s="46">
        <f t="shared" si="5"/>
        <v>211</v>
      </c>
      <c r="W27" s="33">
        <f ca="1">IFERROR(AVERAGEIFS(data_brute!M:M,data_brute!J:J,"&lt;="&amp;V27,data_brute!J:J,"&gt;="&amp;U27),NA())</f>
        <v>25.267999999999997</v>
      </c>
      <c r="X27" s="46">
        <f t="shared" ca="1" si="6"/>
        <v>210</v>
      </c>
      <c r="Y27" s="2" t="b">
        <f t="shared" si="0"/>
        <v>0</v>
      </c>
      <c r="Z27" s="2" t="b">
        <f t="shared" si="1"/>
        <v>0</v>
      </c>
      <c r="AE27" s="46">
        <f t="shared" si="7"/>
        <v>202</v>
      </c>
      <c r="AF27" s="46">
        <f t="shared" si="8"/>
        <v>211</v>
      </c>
      <c r="AG27" s="33">
        <f ca="1">IFERROR(AVERAGEIFS(data_brute!M:M,data_brute!J:J,"&gt;="&amp;AE27,data_brute!J:J,"&lt;="&amp;AF27),NA())</f>
        <v>25.267999999999997</v>
      </c>
      <c r="AH27" s="46">
        <f t="shared" ca="1" si="9"/>
        <v>210</v>
      </c>
      <c r="AJ27" s="46">
        <f t="shared" si="10"/>
        <v>202</v>
      </c>
      <c r="AK27" s="46">
        <f t="shared" si="11"/>
        <v>211</v>
      </c>
      <c r="AL27" s="33">
        <f ca="1">IFERROR(AVERAGEIFS(data_brute!M:M,data_brute!J:J,"&lt;="&amp;AK27),NA())</f>
        <v>25.199285714285715</v>
      </c>
      <c r="AM27" s="46">
        <f t="shared" ca="1" si="12"/>
        <v>210</v>
      </c>
      <c r="AN27" s="46" t="b">
        <f t="shared" si="2"/>
        <v>0</v>
      </c>
      <c r="AO27" s="50" t="b">
        <f t="shared" si="3"/>
        <v>0</v>
      </c>
      <c r="AP27" s="2"/>
      <c r="AQ27" s="2"/>
      <c r="AR27" s="2"/>
      <c r="AS27" s="2"/>
      <c r="AT27" s="2"/>
      <c r="AU27" s="2"/>
      <c r="AX27" s="2"/>
      <c r="AY27" s="43"/>
      <c r="AZ27" s="44"/>
      <c r="BA27" s="2"/>
      <c r="BB27" s="2"/>
      <c r="BC27" s="2"/>
      <c r="BD27" s="2"/>
      <c r="BE27" s="2"/>
    </row>
    <row r="28" spans="2:57" x14ac:dyDescent="0.2">
      <c r="B28" s="2"/>
      <c r="C28" s="2"/>
      <c r="U28" s="46">
        <f t="shared" si="4"/>
        <v>212</v>
      </c>
      <c r="V28" s="46">
        <f t="shared" si="5"/>
        <v>221</v>
      </c>
      <c r="W28" s="33">
        <f ca="1">IFERROR(AVERAGEIFS(data_brute!M:M,data_brute!J:J,"&lt;="&amp;V28,data_brute!J:J,"&gt;="&amp;U28),NA())</f>
        <v>25.225000000000001</v>
      </c>
      <c r="X28" s="46">
        <f t="shared" ca="1" si="6"/>
        <v>220</v>
      </c>
      <c r="Y28" s="2" t="b">
        <f t="shared" si="0"/>
        <v>0</v>
      </c>
      <c r="Z28" s="2" t="b">
        <f t="shared" si="1"/>
        <v>0</v>
      </c>
      <c r="AE28" s="46">
        <f t="shared" si="7"/>
        <v>212</v>
      </c>
      <c r="AF28" s="46">
        <f t="shared" si="8"/>
        <v>221</v>
      </c>
      <c r="AG28" s="33">
        <f ca="1">IFERROR(AVERAGEIFS(data_brute!M:M,data_brute!J:J,"&gt;="&amp;AE28,data_brute!J:J,"&lt;="&amp;AF28),NA())</f>
        <v>25.225000000000001</v>
      </c>
      <c r="AH28" s="46">
        <f t="shared" ca="1" si="9"/>
        <v>220</v>
      </c>
      <c r="AJ28" s="46">
        <f t="shared" si="10"/>
        <v>212</v>
      </c>
      <c r="AK28" s="46">
        <f t="shared" si="11"/>
        <v>221</v>
      </c>
      <c r="AL28" s="33">
        <f ca="1">IFERROR(AVERAGEIFS(data_brute!M:M,data_brute!J:J,"&lt;="&amp;AK28),NA())</f>
        <v>25.200454545454548</v>
      </c>
      <c r="AM28" s="46">
        <f t="shared" ca="1" si="12"/>
        <v>220</v>
      </c>
      <c r="AN28" s="46" t="b">
        <f t="shared" si="2"/>
        <v>0</v>
      </c>
      <c r="AO28" s="50" t="b">
        <f t="shared" si="3"/>
        <v>0</v>
      </c>
      <c r="AP28" s="2"/>
      <c r="AQ28" s="2"/>
      <c r="AR28" s="2"/>
      <c r="AS28" s="2"/>
      <c r="AT28" s="2"/>
      <c r="AU28" s="2"/>
      <c r="AX28" s="2"/>
      <c r="AY28" s="43"/>
      <c r="AZ28" s="44"/>
      <c r="BA28" s="2"/>
      <c r="BB28" s="2"/>
      <c r="BC28" s="2"/>
      <c r="BD28" s="2"/>
      <c r="BE28" s="2"/>
    </row>
    <row r="29" spans="2:57" x14ac:dyDescent="0.2">
      <c r="B29" s="2"/>
      <c r="C29" s="2"/>
      <c r="U29" s="46">
        <f t="shared" si="4"/>
        <v>222</v>
      </c>
      <c r="V29" s="46">
        <f t="shared" si="5"/>
        <v>231</v>
      </c>
      <c r="W29" s="33">
        <f ca="1">IFERROR(AVERAGEIFS(data_brute!M:M,data_brute!J:J,"&lt;="&amp;V29,data_brute!J:J,"&gt;="&amp;U29),NA())</f>
        <v>25.147999999999996</v>
      </c>
      <c r="X29" s="46">
        <f t="shared" ca="1" si="6"/>
        <v>230</v>
      </c>
      <c r="Y29" s="2" t="b">
        <f t="shared" si="0"/>
        <v>0</v>
      </c>
      <c r="Z29" s="2" t="b">
        <f t="shared" si="1"/>
        <v>0</v>
      </c>
      <c r="AE29" s="46">
        <f t="shared" si="7"/>
        <v>222</v>
      </c>
      <c r="AF29" s="46">
        <f t="shared" si="8"/>
        <v>231</v>
      </c>
      <c r="AG29" s="33">
        <f ca="1">IFERROR(AVERAGEIFS(data_brute!M:M,data_brute!J:J,"&gt;="&amp;AE29,data_brute!J:J,"&lt;="&amp;AF29),NA())</f>
        <v>25.147999999999996</v>
      </c>
      <c r="AH29" s="46">
        <f t="shared" ca="1" si="9"/>
        <v>230</v>
      </c>
      <c r="AJ29" s="46">
        <f t="shared" si="10"/>
        <v>222</v>
      </c>
      <c r="AK29" s="46">
        <f t="shared" si="11"/>
        <v>231</v>
      </c>
      <c r="AL29" s="33">
        <f ca="1">IFERROR(AVERAGEIFS(data_brute!M:M,data_brute!J:J,"&lt;="&amp;AK29),NA())</f>
        <v>25.198173913043483</v>
      </c>
      <c r="AM29" s="46">
        <f t="shared" ca="1" si="12"/>
        <v>230</v>
      </c>
      <c r="AN29" s="46" t="b">
        <f t="shared" si="2"/>
        <v>0</v>
      </c>
      <c r="AO29" s="50" t="b">
        <f t="shared" si="3"/>
        <v>0</v>
      </c>
      <c r="AP29" s="2"/>
      <c r="AQ29" s="2"/>
      <c r="AR29" s="2"/>
      <c r="AS29" s="2"/>
      <c r="AT29" s="2"/>
      <c r="AU29" s="2"/>
      <c r="AX29" s="2"/>
      <c r="AY29" s="43"/>
      <c r="AZ29" s="44"/>
      <c r="BA29" s="2"/>
      <c r="BB29" s="2"/>
      <c r="BC29" s="2"/>
      <c r="BD29" s="2"/>
      <c r="BE29" s="2"/>
    </row>
    <row r="30" spans="2:57" x14ac:dyDescent="0.2">
      <c r="U30" s="46">
        <f t="shared" si="4"/>
        <v>232</v>
      </c>
      <c r="V30" s="46">
        <f t="shared" si="5"/>
        <v>241</v>
      </c>
      <c r="W30" s="33">
        <f ca="1">IFERROR(AVERAGEIFS(data_brute!M:M,data_brute!J:J,"&lt;="&amp;V30,data_brute!J:J,"&gt;="&amp;U30),NA())</f>
        <v>25.223000000000003</v>
      </c>
      <c r="X30" s="46">
        <f t="shared" ca="1" si="6"/>
        <v>240</v>
      </c>
      <c r="Y30" s="2" t="b">
        <f t="shared" si="0"/>
        <v>0</v>
      </c>
      <c r="Z30" s="2" t="b">
        <f t="shared" si="1"/>
        <v>0</v>
      </c>
      <c r="AE30" s="46">
        <f t="shared" si="7"/>
        <v>232</v>
      </c>
      <c r="AF30" s="46">
        <f t="shared" si="8"/>
        <v>241</v>
      </c>
      <c r="AG30" s="33">
        <f ca="1">IFERROR(AVERAGEIFS(data_brute!M:M,data_brute!J:J,"&gt;="&amp;AE30,data_brute!J:J,"&lt;="&amp;AF30),NA())</f>
        <v>25.223000000000003</v>
      </c>
      <c r="AH30" s="46">
        <f t="shared" ca="1" si="9"/>
        <v>240</v>
      </c>
      <c r="AJ30" s="46">
        <f t="shared" si="10"/>
        <v>232</v>
      </c>
      <c r="AK30" s="46">
        <f t="shared" si="11"/>
        <v>241</v>
      </c>
      <c r="AL30" s="33">
        <f ca="1">IFERROR(AVERAGEIFS(data_brute!M:M,data_brute!J:J,"&lt;="&amp;AK30),NA())</f>
        <v>25.199208333333342</v>
      </c>
      <c r="AM30" s="46">
        <f t="shared" ca="1" si="12"/>
        <v>240</v>
      </c>
      <c r="AN30" s="46" t="b">
        <f t="shared" si="2"/>
        <v>0</v>
      </c>
      <c r="AO30" s="50" t="b">
        <f t="shared" si="3"/>
        <v>0</v>
      </c>
      <c r="AP30" s="2"/>
      <c r="AQ30" s="2"/>
      <c r="AR30" s="2"/>
      <c r="AS30" s="2"/>
      <c r="AT30" s="2"/>
      <c r="AU30" s="2"/>
      <c r="AX30" s="2"/>
      <c r="AY30" s="43"/>
      <c r="AZ30" s="44"/>
      <c r="BA30" s="2"/>
      <c r="BB30" s="2"/>
      <c r="BC30" s="2"/>
      <c r="BD30" s="2"/>
      <c r="BE30" s="2"/>
    </row>
    <row r="31" spans="2:57" x14ac:dyDescent="0.2">
      <c r="B31" s="28"/>
      <c r="U31" s="46">
        <f t="shared" si="4"/>
        <v>242</v>
      </c>
      <c r="V31" s="46">
        <f t="shared" si="5"/>
        <v>251</v>
      </c>
      <c r="W31" s="33">
        <f ca="1">IFERROR(AVERAGEIFS(data_brute!M:M,data_brute!J:J,"&lt;="&amp;V31,data_brute!J:J,"&gt;="&amp;U31),NA())</f>
        <v>25.524000000000004</v>
      </c>
      <c r="X31" s="46">
        <f t="shared" ca="1" si="6"/>
        <v>250</v>
      </c>
      <c r="Y31" s="2" t="b">
        <f t="shared" si="0"/>
        <v>0</v>
      </c>
      <c r="Z31" s="2" t="b">
        <f t="shared" si="1"/>
        <v>0</v>
      </c>
      <c r="AE31" s="46">
        <f t="shared" si="7"/>
        <v>242</v>
      </c>
      <c r="AF31" s="46">
        <f t="shared" si="8"/>
        <v>251</v>
      </c>
      <c r="AG31" s="33">
        <f ca="1">IFERROR(AVERAGEIFS(data_brute!M:M,data_brute!J:J,"&gt;="&amp;AE31,data_brute!J:J,"&lt;="&amp;AF31),NA())</f>
        <v>25.524000000000004</v>
      </c>
      <c r="AH31" s="46">
        <f t="shared" ca="1" si="9"/>
        <v>250</v>
      </c>
      <c r="AJ31" s="46">
        <f t="shared" si="10"/>
        <v>242</v>
      </c>
      <c r="AK31" s="46">
        <f t="shared" si="11"/>
        <v>251</v>
      </c>
      <c r="AL31" s="33">
        <f ca="1">IFERROR(AVERAGEIFS(data_brute!M:M,data_brute!J:J,"&lt;="&amp;AK31),NA())</f>
        <v>25.212200000000017</v>
      </c>
      <c r="AM31" s="46">
        <f t="shared" ca="1" si="12"/>
        <v>250</v>
      </c>
      <c r="AN31" s="46" t="b">
        <f t="shared" si="2"/>
        <v>0</v>
      </c>
      <c r="AO31" s="50" t="b">
        <f t="shared" si="3"/>
        <v>0</v>
      </c>
      <c r="AP31" s="2"/>
      <c r="AQ31" s="2"/>
      <c r="AR31" s="2"/>
      <c r="AS31" s="2"/>
      <c r="AT31" s="2"/>
      <c r="AU31" s="2"/>
      <c r="AX31" s="2"/>
      <c r="AY31" s="43"/>
      <c r="AZ31" s="44"/>
      <c r="BA31" s="2"/>
      <c r="BB31" s="2"/>
      <c r="BC31" s="2"/>
      <c r="BD31" s="2"/>
      <c r="BE31" s="2"/>
    </row>
    <row r="32" spans="2:57" x14ac:dyDescent="0.2">
      <c r="U32" s="46">
        <f t="shared" si="4"/>
        <v>252</v>
      </c>
      <c r="V32" s="46">
        <f t="shared" si="5"/>
        <v>261</v>
      </c>
      <c r="W32" s="33">
        <f ca="1">IFERROR(AVERAGEIFS(data_brute!M:M,data_brute!J:J,"&lt;="&amp;V32,data_brute!J:J,"&gt;="&amp;U32),NA())</f>
        <v>25.445999999999998</v>
      </c>
      <c r="X32" s="46">
        <f t="shared" ca="1" si="6"/>
        <v>260</v>
      </c>
      <c r="Y32" s="2" t="b">
        <f t="shared" si="0"/>
        <v>0</v>
      </c>
      <c r="Z32" s="2" t="b">
        <f t="shared" si="1"/>
        <v>0</v>
      </c>
      <c r="AE32" s="46">
        <f t="shared" si="7"/>
        <v>252</v>
      </c>
      <c r="AF32" s="46">
        <f t="shared" si="8"/>
        <v>261</v>
      </c>
      <c r="AG32" s="33">
        <f ca="1">IFERROR(AVERAGEIFS(data_brute!M:M,data_brute!J:J,"&gt;="&amp;AE32,data_brute!J:J,"&lt;="&amp;AF32),NA())</f>
        <v>25.445999999999998</v>
      </c>
      <c r="AH32" s="46">
        <f t="shared" ca="1" si="9"/>
        <v>260</v>
      </c>
      <c r="AJ32" s="46">
        <f t="shared" si="10"/>
        <v>252</v>
      </c>
      <c r="AK32" s="46">
        <f t="shared" si="11"/>
        <v>261</v>
      </c>
      <c r="AL32" s="33">
        <f ca="1">IFERROR(AVERAGEIFS(data_brute!M:M,data_brute!J:J,"&lt;="&amp;AK32),NA())</f>
        <v>25.22119230769232</v>
      </c>
      <c r="AM32" s="46">
        <f t="shared" ca="1" si="12"/>
        <v>260</v>
      </c>
      <c r="AN32" s="46" t="b">
        <f t="shared" si="2"/>
        <v>0</v>
      </c>
      <c r="AO32" s="50" t="b">
        <f t="shared" si="3"/>
        <v>0</v>
      </c>
      <c r="AP32" s="2"/>
      <c r="AQ32" s="2"/>
      <c r="AR32" s="2"/>
      <c r="AS32" s="2"/>
      <c r="AT32" s="2"/>
      <c r="AU32" s="2"/>
      <c r="AX32" s="2"/>
      <c r="AY32" s="43"/>
      <c r="AZ32" s="44"/>
      <c r="BA32" s="2"/>
      <c r="BB32" s="2"/>
      <c r="BC32" s="2"/>
      <c r="BD32" s="2"/>
      <c r="BE32" s="2"/>
    </row>
    <row r="33" spans="11:67" x14ac:dyDescent="0.2">
      <c r="U33" s="46">
        <f t="shared" si="4"/>
        <v>262</v>
      </c>
      <c r="V33" s="46">
        <f t="shared" si="5"/>
        <v>271</v>
      </c>
      <c r="W33" s="33">
        <f ca="1">IFERROR(AVERAGEIFS(data_brute!M:M,data_brute!J:J,"&lt;="&amp;V33,data_brute!J:J,"&gt;="&amp;U33),NA())</f>
        <v>25.420999999999999</v>
      </c>
      <c r="X33" s="46">
        <f t="shared" ca="1" si="6"/>
        <v>270</v>
      </c>
      <c r="Y33" s="2" t="b">
        <f t="shared" si="0"/>
        <v>0</v>
      </c>
      <c r="Z33" s="2" t="b">
        <f t="shared" si="1"/>
        <v>0</v>
      </c>
      <c r="AE33" s="46">
        <f t="shared" si="7"/>
        <v>262</v>
      </c>
      <c r="AF33" s="46">
        <f t="shared" si="8"/>
        <v>271</v>
      </c>
      <c r="AG33" s="33">
        <f ca="1">IFERROR(AVERAGEIFS(data_brute!M:M,data_brute!J:J,"&gt;="&amp;AE33,data_brute!J:J,"&lt;="&amp;AF33),NA())</f>
        <v>25.420999999999999</v>
      </c>
      <c r="AH33" s="46">
        <f t="shared" ca="1" si="9"/>
        <v>270</v>
      </c>
      <c r="AJ33" s="46">
        <f t="shared" si="10"/>
        <v>262</v>
      </c>
      <c r="AK33" s="46">
        <f t="shared" si="11"/>
        <v>271</v>
      </c>
      <c r="AL33" s="33">
        <f ca="1">IFERROR(AVERAGEIFS(data_brute!M:M,data_brute!J:J,"&lt;="&amp;AK33),NA())</f>
        <v>25.228592592592605</v>
      </c>
      <c r="AM33" s="46">
        <f t="shared" ca="1" si="12"/>
        <v>270</v>
      </c>
      <c r="AN33" s="46" t="b">
        <f t="shared" si="2"/>
        <v>0</v>
      </c>
      <c r="AO33" s="50" t="b">
        <f t="shared" si="3"/>
        <v>0</v>
      </c>
      <c r="AP33" s="2"/>
      <c r="AQ33" s="2"/>
      <c r="AR33" s="2"/>
      <c r="AS33" s="2"/>
      <c r="AT33" s="2"/>
      <c r="AU33" s="2"/>
      <c r="AX33" s="2"/>
      <c r="AY33" s="43"/>
      <c r="AZ33" s="44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U34" s="46">
        <f t="shared" si="4"/>
        <v>272</v>
      </c>
      <c r="V34" s="46">
        <f t="shared" si="5"/>
        <v>281</v>
      </c>
      <c r="W34" s="33">
        <f ca="1">IFERROR(AVERAGEIFS(data_brute!M:M,data_brute!J:J,"&lt;="&amp;V34,data_brute!J:J,"&gt;="&amp;U34),NA())</f>
        <v>25.258000000000003</v>
      </c>
      <c r="X34" s="46">
        <f t="shared" ca="1" si="6"/>
        <v>280</v>
      </c>
      <c r="Y34" s="2" t="b">
        <f t="shared" si="0"/>
        <v>0</v>
      </c>
      <c r="Z34" s="2" t="b">
        <f t="shared" si="1"/>
        <v>0</v>
      </c>
      <c r="AB34" s="33"/>
      <c r="AC34" s="9"/>
      <c r="AE34" s="46">
        <f t="shared" si="7"/>
        <v>272</v>
      </c>
      <c r="AF34" s="46">
        <f t="shared" si="8"/>
        <v>281</v>
      </c>
      <c r="AG34" s="33">
        <f ca="1">IFERROR(AVERAGEIFS(data_brute!M:M,data_brute!J:J,"&gt;="&amp;AE34,data_brute!J:J,"&lt;="&amp;AF34),NA())</f>
        <v>25.258000000000003</v>
      </c>
      <c r="AH34" s="46">
        <f t="shared" ca="1" si="9"/>
        <v>280</v>
      </c>
      <c r="AI34" s="9"/>
      <c r="AJ34" s="46">
        <f t="shared" si="10"/>
        <v>272</v>
      </c>
      <c r="AK34" s="46">
        <f t="shared" si="11"/>
        <v>281</v>
      </c>
      <c r="AL34" s="33">
        <f ca="1">IFERROR(AVERAGEIFS(data_brute!M:M,data_brute!J:J,"&lt;="&amp;AK34),NA())</f>
        <v>25.229642857142867</v>
      </c>
      <c r="AM34" s="46">
        <f t="shared" ca="1" si="12"/>
        <v>280</v>
      </c>
      <c r="AN34" s="46" t="b">
        <f t="shared" si="2"/>
        <v>0</v>
      </c>
      <c r="AO34" s="50" t="b">
        <f t="shared" si="3"/>
        <v>0</v>
      </c>
      <c r="AV34" s="9"/>
      <c r="AY34" s="43"/>
      <c r="AZ34" s="44"/>
      <c r="BH34" s="43"/>
      <c r="BI34" s="44"/>
      <c r="BO34" s="9"/>
    </row>
    <row r="35" spans="11:67" x14ac:dyDescent="0.2">
      <c r="U35" s="46">
        <f t="shared" si="4"/>
        <v>282</v>
      </c>
      <c r="V35" s="46">
        <f t="shared" si="5"/>
        <v>291</v>
      </c>
      <c r="W35" s="33">
        <f ca="1">IFERROR(AVERAGEIFS(data_brute!M:M,data_brute!J:J,"&lt;="&amp;V35,data_brute!J:J,"&gt;="&amp;U35),NA())</f>
        <v>25.271000000000001</v>
      </c>
      <c r="X35" s="46">
        <f t="shared" ca="1" si="6"/>
        <v>290</v>
      </c>
      <c r="Y35" s="2" t="b">
        <f t="shared" si="0"/>
        <v>0</v>
      </c>
      <c r="Z35" s="2" t="b">
        <f t="shared" si="1"/>
        <v>0</v>
      </c>
      <c r="AE35" s="46">
        <f t="shared" si="7"/>
        <v>282</v>
      </c>
      <c r="AF35" s="46">
        <f t="shared" si="8"/>
        <v>291</v>
      </c>
      <c r="AG35" s="33">
        <f ca="1">IFERROR(AVERAGEIFS(data_brute!M:M,data_brute!J:J,"&gt;="&amp;AE35,data_brute!J:J,"&lt;="&amp;AF35),NA())</f>
        <v>25.271000000000001</v>
      </c>
      <c r="AH35" s="46">
        <f t="shared" ca="1" si="9"/>
        <v>290</v>
      </c>
      <c r="AJ35" s="46">
        <f t="shared" si="10"/>
        <v>282</v>
      </c>
      <c r="AK35" s="46">
        <f t="shared" si="11"/>
        <v>291</v>
      </c>
      <c r="AL35" s="33">
        <f ca="1">IFERROR(AVERAGEIFS(data_brute!M:M,data_brute!J:J,"&lt;="&amp;AK35),NA())</f>
        <v>25.231068965517252</v>
      </c>
      <c r="AM35" s="46">
        <f t="shared" ca="1" si="12"/>
        <v>290</v>
      </c>
      <c r="AN35" s="46" t="b">
        <f t="shared" si="2"/>
        <v>0</v>
      </c>
      <c r="AO35" s="50" t="b">
        <f t="shared" si="3"/>
        <v>0</v>
      </c>
      <c r="AP35" s="2"/>
      <c r="AQ35" s="2"/>
      <c r="AR35" s="2"/>
      <c r="AS35" s="2"/>
      <c r="AT35" s="2"/>
      <c r="AU35" s="2"/>
      <c r="AX35" s="2"/>
      <c r="AY35" s="43"/>
      <c r="AZ35" s="44"/>
      <c r="BA35" s="2"/>
      <c r="BB35" s="2"/>
      <c r="BC35" s="2"/>
      <c r="BD35" s="2"/>
      <c r="BE35" s="2"/>
    </row>
    <row r="36" spans="11:67" x14ac:dyDescent="0.2">
      <c r="U36" s="46">
        <f t="shared" si="4"/>
        <v>292</v>
      </c>
      <c r="V36" s="46">
        <f t="shared" si="5"/>
        <v>301</v>
      </c>
      <c r="W36" s="33">
        <f ca="1">IFERROR(AVERAGEIFS(data_brute!M:M,data_brute!J:J,"&lt;="&amp;V36,data_brute!J:J,"&gt;="&amp;U36),NA())</f>
        <v>25.21</v>
      </c>
      <c r="X36" s="46">
        <f t="shared" ca="1" si="6"/>
        <v>300</v>
      </c>
      <c r="Y36" s="2" t="b">
        <f t="shared" si="0"/>
        <v>0</v>
      </c>
      <c r="Z36" s="2" t="b">
        <f t="shared" si="1"/>
        <v>0</v>
      </c>
      <c r="AE36" s="46">
        <f t="shared" si="7"/>
        <v>292</v>
      </c>
      <c r="AF36" s="46">
        <f t="shared" si="8"/>
        <v>301</v>
      </c>
      <c r="AG36" s="33">
        <f ca="1">IFERROR(AVERAGEIFS(data_brute!M:M,data_brute!J:J,"&gt;="&amp;AE36,data_brute!J:J,"&lt;="&amp;AF36),NA())</f>
        <v>25.21</v>
      </c>
      <c r="AH36" s="46">
        <f t="shared" ca="1" si="9"/>
        <v>300</v>
      </c>
      <c r="AJ36" s="46">
        <f t="shared" si="10"/>
        <v>292</v>
      </c>
      <c r="AK36" s="46">
        <f t="shared" si="11"/>
        <v>301</v>
      </c>
      <c r="AL36" s="33">
        <f ca="1">IFERROR(AVERAGEIFS(data_brute!M:M,data_brute!J:J,"&lt;="&amp;AK36),NA())</f>
        <v>25.230366666666679</v>
      </c>
      <c r="AM36" s="46">
        <f t="shared" ca="1" si="12"/>
        <v>300</v>
      </c>
      <c r="AN36" s="46" t="b">
        <f t="shared" si="2"/>
        <v>0</v>
      </c>
      <c r="AO36" s="50" t="b">
        <f t="shared" si="3"/>
        <v>0</v>
      </c>
      <c r="AP36" s="2"/>
      <c r="AQ36" s="2"/>
      <c r="AR36" s="2"/>
      <c r="AS36" s="2"/>
      <c r="AT36" s="2"/>
      <c r="AU36" s="2"/>
      <c r="AX36" s="2"/>
      <c r="AY36" s="43"/>
      <c r="AZ36" s="44"/>
      <c r="BA36" s="2"/>
      <c r="BB36" s="2"/>
      <c r="BC36" s="2"/>
      <c r="BD36" s="2"/>
      <c r="BE36" s="2"/>
    </row>
    <row r="37" spans="11:67" x14ac:dyDescent="0.2">
      <c r="U37" s="46">
        <f t="shared" si="4"/>
        <v>302</v>
      </c>
      <c r="V37" s="46">
        <f t="shared" si="5"/>
        <v>311</v>
      </c>
      <c r="W37" s="33">
        <f ca="1">IFERROR(AVERAGEIFS(data_brute!M:M,data_brute!J:J,"&lt;="&amp;V37,data_brute!J:J,"&gt;="&amp;U37),NA())</f>
        <v>25.170999999999999</v>
      </c>
      <c r="X37" s="46">
        <f t="shared" ca="1" si="6"/>
        <v>310</v>
      </c>
      <c r="Y37" s="2" t="b">
        <f t="shared" si="0"/>
        <v>0</v>
      </c>
      <c r="Z37" s="2" t="b">
        <f t="shared" si="1"/>
        <v>0</v>
      </c>
      <c r="AE37" s="46">
        <f t="shared" si="7"/>
        <v>302</v>
      </c>
      <c r="AF37" s="46">
        <f t="shared" si="8"/>
        <v>311</v>
      </c>
      <c r="AG37" s="33">
        <f ca="1">IFERROR(AVERAGEIFS(data_brute!M:M,data_brute!J:J,"&gt;="&amp;AE37,data_brute!J:J,"&lt;="&amp;AF37),NA())</f>
        <v>25.170999999999999</v>
      </c>
      <c r="AH37" s="46">
        <f t="shared" ca="1" si="9"/>
        <v>310</v>
      </c>
      <c r="AJ37" s="46">
        <f t="shared" si="10"/>
        <v>302</v>
      </c>
      <c r="AK37" s="46">
        <f t="shared" si="11"/>
        <v>311</v>
      </c>
      <c r="AL37" s="33">
        <f ca="1">IFERROR(AVERAGEIFS(data_brute!M:M,data_brute!J:J,"&lt;="&amp;AK37),NA())</f>
        <v>25.228451612903235</v>
      </c>
      <c r="AM37" s="46">
        <f t="shared" ca="1" si="12"/>
        <v>310</v>
      </c>
      <c r="AN37" s="46" t="b">
        <f t="shared" si="2"/>
        <v>0</v>
      </c>
      <c r="AO37" s="50" t="b">
        <f t="shared" si="3"/>
        <v>0</v>
      </c>
      <c r="AP37" s="2"/>
      <c r="AQ37" s="2"/>
      <c r="AR37" s="2"/>
      <c r="AS37" s="2"/>
      <c r="AT37" s="2"/>
      <c r="AU37" s="2"/>
      <c r="AX37" s="2"/>
      <c r="AY37" s="43"/>
      <c r="AZ37" s="44"/>
      <c r="BA37" s="2"/>
      <c r="BB37" s="2"/>
      <c r="BC37" s="2"/>
      <c r="BD37" s="2"/>
      <c r="BE37" s="2"/>
    </row>
    <row r="38" spans="11:67" x14ac:dyDescent="0.2">
      <c r="U38" s="46">
        <f t="shared" si="4"/>
        <v>312</v>
      </c>
      <c r="V38" s="46">
        <f t="shared" si="5"/>
        <v>321</v>
      </c>
      <c r="W38" s="33">
        <f ca="1">IFERROR(AVERAGEIFS(data_brute!M:M,data_brute!J:J,"&lt;="&amp;V38,data_brute!J:J,"&gt;="&amp;U38),NA())</f>
        <v>25.240000000000002</v>
      </c>
      <c r="X38" s="46">
        <f t="shared" ca="1" si="6"/>
        <v>320</v>
      </c>
      <c r="Y38" s="2" t="b">
        <f t="shared" si="0"/>
        <v>0</v>
      </c>
      <c r="Z38" s="2" t="b">
        <f t="shared" si="1"/>
        <v>0</v>
      </c>
      <c r="AE38" s="46">
        <f t="shared" si="7"/>
        <v>312</v>
      </c>
      <c r="AF38" s="46">
        <f t="shared" si="8"/>
        <v>321</v>
      </c>
      <c r="AG38" s="33">
        <f ca="1">IFERROR(AVERAGEIFS(data_brute!M:M,data_brute!J:J,"&gt;="&amp;AE38,data_brute!J:J,"&lt;="&amp;AF38),NA())</f>
        <v>25.240000000000002</v>
      </c>
      <c r="AH38" s="46">
        <f t="shared" ca="1" si="9"/>
        <v>320</v>
      </c>
      <c r="AJ38" s="46">
        <f t="shared" si="10"/>
        <v>312</v>
      </c>
      <c r="AK38" s="46">
        <f t="shared" si="11"/>
        <v>321</v>
      </c>
      <c r="AL38" s="33">
        <f ca="1">IFERROR(AVERAGEIFS(data_brute!M:M,data_brute!J:J,"&lt;="&amp;AK38),NA())</f>
        <v>25.228812500000011</v>
      </c>
      <c r="AM38" s="46">
        <f t="shared" ca="1" si="12"/>
        <v>320</v>
      </c>
      <c r="AN38" s="46" t="b">
        <f t="shared" si="2"/>
        <v>0</v>
      </c>
      <c r="AO38" s="50" t="b">
        <f t="shared" si="3"/>
        <v>0</v>
      </c>
      <c r="AP38" s="2"/>
      <c r="AQ38" s="2"/>
      <c r="AR38" s="2"/>
      <c r="AS38" s="2"/>
      <c r="AT38" s="2"/>
      <c r="AU38" s="2"/>
      <c r="AX38" s="2"/>
      <c r="AY38" s="43"/>
      <c r="AZ38" s="44"/>
      <c r="BA38" s="2"/>
      <c r="BB38" s="2"/>
      <c r="BC38" s="2"/>
      <c r="BD38" s="2"/>
      <c r="BE38" s="2"/>
    </row>
    <row r="39" spans="11:67" x14ac:dyDescent="0.2">
      <c r="U39" s="46">
        <f t="shared" si="4"/>
        <v>322</v>
      </c>
      <c r="V39" s="46">
        <f t="shared" si="5"/>
        <v>331</v>
      </c>
      <c r="W39" s="33">
        <f ca="1">IFERROR(AVERAGEIFS(data_brute!M:M,data_brute!J:J,"&lt;="&amp;V39,data_brute!J:J,"&gt;="&amp;U39),NA())</f>
        <v>25.404</v>
      </c>
      <c r="X39" s="46">
        <f t="shared" ca="1" si="6"/>
        <v>330</v>
      </c>
      <c r="Y39" s="2" t="b">
        <f t="shared" si="0"/>
        <v>0</v>
      </c>
      <c r="Z39" s="2" t="b">
        <f t="shared" si="1"/>
        <v>0</v>
      </c>
      <c r="AE39" s="46">
        <f t="shared" si="7"/>
        <v>322</v>
      </c>
      <c r="AF39" s="46">
        <f t="shared" si="8"/>
        <v>331</v>
      </c>
      <c r="AG39" s="33">
        <f ca="1">IFERROR(AVERAGEIFS(data_brute!M:M,data_brute!J:J,"&gt;="&amp;AE39,data_brute!J:J,"&lt;="&amp;AF39),NA())</f>
        <v>25.404</v>
      </c>
      <c r="AH39" s="46">
        <f t="shared" ca="1" si="9"/>
        <v>330</v>
      </c>
      <c r="AJ39" s="46">
        <f t="shared" si="10"/>
        <v>322</v>
      </c>
      <c r="AK39" s="46">
        <f t="shared" si="11"/>
        <v>331</v>
      </c>
      <c r="AL39" s="33">
        <f ca="1">IFERROR(AVERAGEIFS(data_brute!M:M,data_brute!J:J,"&lt;="&amp;AK39),NA())</f>
        <v>25.234121212121231</v>
      </c>
      <c r="AM39" s="46">
        <f t="shared" ca="1" si="12"/>
        <v>330</v>
      </c>
      <c r="AN39" s="46" t="b">
        <f t="shared" si="2"/>
        <v>0</v>
      </c>
      <c r="AO39" s="50" t="b">
        <f t="shared" si="3"/>
        <v>0</v>
      </c>
      <c r="AX39" s="2"/>
      <c r="AY39" s="43"/>
      <c r="AZ39" s="44"/>
      <c r="BA39" s="2"/>
      <c r="BB39" s="2"/>
      <c r="BC39" s="2"/>
      <c r="BD39" s="2"/>
      <c r="BE39" s="2"/>
    </row>
    <row r="40" spans="11:67" x14ac:dyDescent="0.2">
      <c r="U40" s="46">
        <f t="shared" si="4"/>
        <v>332</v>
      </c>
      <c r="V40" s="46">
        <f t="shared" si="5"/>
        <v>341</v>
      </c>
      <c r="W40" s="33">
        <f ca="1">IFERROR(AVERAGEIFS(data_brute!M:M,data_brute!J:J,"&lt;="&amp;V40,data_brute!J:J,"&gt;="&amp;U40),NA())</f>
        <v>25.463999999999999</v>
      </c>
      <c r="X40" s="46">
        <f t="shared" ca="1" si="6"/>
        <v>340</v>
      </c>
      <c r="Y40" s="2" t="b">
        <f t="shared" si="0"/>
        <v>0</v>
      </c>
      <c r="Z40" s="2" t="b">
        <f t="shared" si="1"/>
        <v>0</v>
      </c>
      <c r="AE40" s="46">
        <f t="shared" si="7"/>
        <v>332</v>
      </c>
      <c r="AF40" s="46">
        <f t="shared" si="8"/>
        <v>341</v>
      </c>
      <c r="AG40" s="33">
        <f ca="1">IFERROR(AVERAGEIFS(data_brute!M:M,data_brute!J:J,"&gt;="&amp;AE40,data_brute!J:J,"&lt;="&amp;AF40),NA())</f>
        <v>25.463999999999999</v>
      </c>
      <c r="AH40" s="46">
        <f t="shared" ca="1" si="9"/>
        <v>340</v>
      </c>
      <c r="AJ40" s="46">
        <f t="shared" si="10"/>
        <v>332</v>
      </c>
      <c r="AK40" s="46">
        <f t="shared" si="11"/>
        <v>341</v>
      </c>
      <c r="AL40" s="33">
        <f ca="1">IFERROR(AVERAGEIFS(data_brute!M:M,data_brute!J:J,"&lt;="&amp;AK40),NA())</f>
        <v>25.240882352941185</v>
      </c>
      <c r="AM40" s="46">
        <f t="shared" ca="1" si="12"/>
        <v>340</v>
      </c>
      <c r="AN40" s="46" t="b">
        <f t="shared" si="2"/>
        <v>0</v>
      </c>
      <c r="AO40" s="50" t="b">
        <f t="shared" si="3"/>
        <v>0</v>
      </c>
      <c r="AX40" s="2"/>
      <c r="AY40" s="43"/>
      <c r="AZ40" s="44"/>
      <c r="BA40" s="2"/>
      <c r="BB40" s="2"/>
      <c r="BC40" s="2"/>
      <c r="BD40" s="2"/>
      <c r="BE40" s="2"/>
    </row>
    <row r="41" spans="11:67" x14ac:dyDescent="0.2">
      <c r="U41" s="46">
        <f t="shared" si="4"/>
        <v>342</v>
      </c>
      <c r="V41" s="46">
        <f t="shared" si="5"/>
        <v>351</v>
      </c>
      <c r="W41" s="33">
        <f ca="1">IFERROR(AVERAGEIFS(data_brute!M:M,data_brute!J:J,"&lt;="&amp;V41,data_brute!J:J,"&gt;="&amp;U41),NA())</f>
        <v>25.317</v>
      </c>
      <c r="X41" s="46">
        <f t="shared" ca="1" si="6"/>
        <v>350</v>
      </c>
      <c r="Y41" s="2" t="b">
        <f t="shared" si="0"/>
        <v>0</v>
      </c>
      <c r="Z41" s="2" t="b">
        <f t="shared" si="1"/>
        <v>0</v>
      </c>
      <c r="AE41" s="46">
        <f t="shared" si="7"/>
        <v>342</v>
      </c>
      <c r="AF41" s="46">
        <f t="shared" si="8"/>
        <v>351</v>
      </c>
      <c r="AG41" s="33">
        <f ca="1">IFERROR(AVERAGEIFS(data_brute!M:M,data_brute!J:J,"&gt;="&amp;AE41,data_brute!J:J,"&lt;="&amp;AF41),NA())</f>
        <v>25.317</v>
      </c>
      <c r="AH41" s="46">
        <f t="shared" ca="1" si="9"/>
        <v>350</v>
      </c>
      <c r="AJ41" s="46">
        <f t="shared" si="10"/>
        <v>342</v>
      </c>
      <c r="AK41" s="46">
        <f t="shared" si="11"/>
        <v>351</v>
      </c>
      <c r="AL41" s="33">
        <f ca="1">IFERROR(AVERAGEIFS(data_brute!M:M,data_brute!J:J,"&lt;="&amp;AK41),NA())</f>
        <v>25.243057142857158</v>
      </c>
      <c r="AM41" s="46">
        <f t="shared" ca="1" si="12"/>
        <v>350</v>
      </c>
      <c r="AN41" s="46" t="b">
        <f t="shared" si="2"/>
        <v>0</v>
      </c>
      <c r="AO41" s="50" t="b">
        <f t="shared" si="3"/>
        <v>0</v>
      </c>
      <c r="AX41" s="2"/>
      <c r="AY41" s="43"/>
      <c r="AZ41" s="44"/>
      <c r="BA41" s="2"/>
      <c r="BB41" s="2"/>
      <c r="BC41" s="2"/>
      <c r="BD41" s="2"/>
      <c r="BE41" s="2"/>
    </row>
    <row r="42" spans="11:67" x14ac:dyDescent="0.2">
      <c r="U42" s="46">
        <f t="shared" si="4"/>
        <v>352</v>
      </c>
      <c r="V42" s="46">
        <f t="shared" si="5"/>
        <v>361</v>
      </c>
      <c r="W42" s="33">
        <f ca="1">IFERROR(AVERAGEIFS(data_brute!M:M,data_brute!J:J,"&lt;="&amp;V42,data_brute!J:J,"&gt;="&amp;U42),NA())</f>
        <v>25.245999999999999</v>
      </c>
      <c r="X42" s="46">
        <f t="shared" ca="1" si="6"/>
        <v>360</v>
      </c>
      <c r="Y42" s="2" t="b">
        <f t="shared" si="0"/>
        <v>0</v>
      </c>
      <c r="Z42" s="2" t="b">
        <f t="shared" si="1"/>
        <v>0</v>
      </c>
      <c r="AE42" s="46">
        <f t="shared" si="7"/>
        <v>352</v>
      </c>
      <c r="AF42" s="46">
        <f t="shared" si="8"/>
        <v>361</v>
      </c>
      <c r="AG42" s="33">
        <f ca="1">IFERROR(AVERAGEIFS(data_brute!M:M,data_brute!J:J,"&gt;="&amp;AE42,data_brute!J:J,"&lt;="&amp;AF42),NA())</f>
        <v>25.245999999999999</v>
      </c>
      <c r="AH42" s="46">
        <f t="shared" ca="1" si="9"/>
        <v>360</v>
      </c>
      <c r="AJ42" s="46">
        <f t="shared" si="10"/>
        <v>352</v>
      </c>
      <c r="AK42" s="46">
        <f t="shared" si="11"/>
        <v>361</v>
      </c>
      <c r="AL42" s="33">
        <f ca="1">IFERROR(AVERAGEIFS(data_brute!M:M,data_brute!J:J,"&lt;="&amp;AK42),NA())</f>
        <v>25.243138888888911</v>
      </c>
      <c r="AM42" s="46">
        <f t="shared" ca="1" si="12"/>
        <v>360</v>
      </c>
      <c r="AN42" s="46" t="b">
        <f t="shared" si="2"/>
        <v>0</v>
      </c>
      <c r="AO42" s="50" t="b">
        <f t="shared" si="3"/>
        <v>0</v>
      </c>
      <c r="AX42" s="2"/>
      <c r="AY42" s="43"/>
      <c r="AZ42" s="44"/>
      <c r="BA42" s="2"/>
      <c r="BB42" s="2"/>
      <c r="BC42" s="2"/>
      <c r="BD42" s="2"/>
      <c r="BE42" s="2"/>
    </row>
    <row r="43" spans="11:67" x14ac:dyDescent="0.2">
      <c r="U43" s="46">
        <f t="shared" si="4"/>
        <v>362</v>
      </c>
      <c r="V43" s="46">
        <f t="shared" si="5"/>
        <v>371</v>
      </c>
      <c r="W43" s="33">
        <f ca="1">IFERROR(AVERAGEIFS(data_brute!M:M,data_brute!J:J,"&lt;="&amp;V43,data_brute!J:J,"&gt;="&amp;U43),NA())</f>
        <v>25.143000000000001</v>
      </c>
      <c r="X43" s="46">
        <f t="shared" ca="1" si="6"/>
        <v>370</v>
      </c>
      <c r="Y43" s="2" t="b">
        <f t="shared" si="0"/>
        <v>0</v>
      </c>
      <c r="Z43" s="2" t="b">
        <f t="shared" si="1"/>
        <v>0</v>
      </c>
      <c r="AE43" s="46">
        <f t="shared" ref="AE43:AE100" si="16">AF42+1</f>
        <v>362</v>
      </c>
      <c r="AF43" s="46">
        <f t="shared" ref="AF43:AF100" si="17">AE43+$AG$2-1</f>
        <v>371</v>
      </c>
      <c r="AG43" s="33">
        <f ca="1">IFERROR(AVERAGEIFS(data_brute!M:M,data_brute!J:J,"&gt;="&amp;AE43,data_brute!J:J,"&lt;="&amp;AF43),NA())</f>
        <v>25.143000000000001</v>
      </c>
      <c r="AH43" s="46">
        <f t="shared" ref="AH43:AH100" ca="1" si="18">IF(AG43&lt;&gt;"",$AG$2*(ROW()-ROW($AH$6)),NA())</f>
        <v>370</v>
      </c>
      <c r="AJ43" s="46">
        <f t="shared" ref="AJ43:AJ100" si="19">AK42+1</f>
        <v>362</v>
      </c>
      <c r="AK43" s="46">
        <f t="shared" ref="AK43:AK100" si="20">AJ43+$AG$2-1</f>
        <v>371</v>
      </c>
      <c r="AL43" s="33">
        <f ca="1">IFERROR(AVERAGEIFS(data_brute!M:M,data_brute!J:J,"&lt;="&amp;AK43),NA())</f>
        <v>25.240432432432456</v>
      </c>
      <c r="AM43" s="46">
        <f t="shared" ref="AM43:AM100" ca="1" si="21">IF(AL43&lt;&gt;"",$AG$2*(ROW()-ROW($AH$6)),NA())</f>
        <v>370</v>
      </c>
      <c r="AN43" s="46" t="b">
        <f t="shared" si="2"/>
        <v>0</v>
      </c>
      <c r="AO43" s="50" t="b">
        <f t="shared" si="3"/>
        <v>0</v>
      </c>
      <c r="AX43" s="2"/>
      <c r="AY43" s="43"/>
      <c r="AZ43" s="44"/>
      <c r="BA43" s="2"/>
      <c r="BB43" s="2"/>
      <c r="BC43" s="2"/>
      <c r="BD43" s="2"/>
      <c r="BE43" s="2"/>
    </row>
    <row r="44" spans="11:67" x14ac:dyDescent="0.2">
      <c r="U44" s="46">
        <f t="shared" si="4"/>
        <v>372</v>
      </c>
      <c r="V44" s="46">
        <f t="shared" si="5"/>
        <v>381</v>
      </c>
      <c r="W44" s="33">
        <f ca="1">IFERROR(AVERAGEIFS(data_brute!M:M,data_brute!J:J,"&lt;="&amp;V44,data_brute!J:J,"&gt;="&amp;U44),NA())</f>
        <v>25.847999999999995</v>
      </c>
      <c r="X44" s="46">
        <f t="shared" ca="1" si="6"/>
        <v>380</v>
      </c>
      <c r="Y44" s="2" t="b">
        <f t="shared" si="0"/>
        <v>0</v>
      </c>
      <c r="Z44" s="2" t="b">
        <f t="shared" si="1"/>
        <v>0</v>
      </c>
      <c r="AE44" s="46">
        <f t="shared" si="16"/>
        <v>372</v>
      </c>
      <c r="AF44" s="46">
        <f t="shared" si="17"/>
        <v>381</v>
      </c>
      <c r="AG44" s="33">
        <f ca="1">IFERROR(AVERAGEIFS(data_brute!M:M,data_brute!J:J,"&gt;="&amp;AE44,data_brute!J:J,"&lt;="&amp;AF44),NA())</f>
        <v>25.847999999999995</v>
      </c>
      <c r="AH44" s="46">
        <f t="shared" ca="1" si="18"/>
        <v>380</v>
      </c>
      <c r="AJ44" s="46">
        <f t="shared" si="19"/>
        <v>372</v>
      </c>
      <c r="AK44" s="46">
        <f t="shared" si="20"/>
        <v>381</v>
      </c>
      <c r="AL44" s="33">
        <f ca="1">IFERROR(AVERAGEIFS(data_brute!M:M,data_brute!J:J,"&lt;="&amp;AK44),NA())</f>
        <v>25.256421052631598</v>
      </c>
      <c r="AM44" s="46">
        <f t="shared" ca="1" si="21"/>
        <v>380</v>
      </c>
      <c r="AN44" s="46" t="b">
        <f t="shared" si="2"/>
        <v>0</v>
      </c>
      <c r="AO44" s="50" t="b">
        <f t="shared" si="3"/>
        <v>0</v>
      </c>
      <c r="AX44" s="2"/>
      <c r="AY44" s="43"/>
      <c r="AZ44" s="44"/>
      <c r="BA44" s="2"/>
      <c r="BB44" s="2"/>
      <c r="BC44" s="2"/>
      <c r="BD44" s="2"/>
      <c r="BE44" s="2"/>
    </row>
    <row r="45" spans="11:67" x14ac:dyDescent="0.2">
      <c r="U45" s="46">
        <f t="shared" si="4"/>
        <v>382</v>
      </c>
      <c r="V45" s="46">
        <f t="shared" si="5"/>
        <v>391</v>
      </c>
      <c r="W45" s="33">
        <f ca="1">IFERROR(AVERAGEIFS(data_brute!M:M,data_brute!J:J,"&lt;="&amp;V45,data_brute!J:J,"&gt;="&amp;U45),NA())</f>
        <v>25.007999999999999</v>
      </c>
      <c r="X45" s="46">
        <f t="shared" ca="1" si="6"/>
        <v>390</v>
      </c>
      <c r="Y45" s="2" t="b">
        <f t="shared" si="0"/>
        <v>0</v>
      </c>
      <c r="Z45" s="2" t="b">
        <f t="shared" si="1"/>
        <v>0</v>
      </c>
      <c r="AE45" s="46">
        <f t="shared" si="16"/>
        <v>382</v>
      </c>
      <c r="AF45" s="46">
        <f t="shared" si="17"/>
        <v>391</v>
      </c>
      <c r="AG45" s="33">
        <f ca="1">IFERROR(AVERAGEIFS(data_brute!M:M,data_brute!J:J,"&gt;="&amp;AE45,data_brute!J:J,"&lt;="&amp;AF45),NA())</f>
        <v>25.007999999999999</v>
      </c>
      <c r="AH45" s="46">
        <f t="shared" ca="1" si="18"/>
        <v>390</v>
      </c>
      <c r="AJ45" s="46">
        <f t="shared" si="19"/>
        <v>382</v>
      </c>
      <c r="AK45" s="46">
        <f t="shared" si="20"/>
        <v>391</v>
      </c>
      <c r="AL45" s="33">
        <f ca="1">IFERROR(AVERAGEIFS(data_brute!M:M,data_brute!J:J,"&lt;="&amp;AK45),NA())</f>
        <v>25.250051282051299</v>
      </c>
      <c r="AM45" s="46">
        <f t="shared" ca="1" si="21"/>
        <v>390</v>
      </c>
      <c r="AN45" s="46" t="b">
        <f t="shared" si="2"/>
        <v>0</v>
      </c>
      <c r="AO45" s="50" t="b">
        <f t="shared" si="3"/>
        <v>0</v>
      </c>
      <c r="AX45" s="2"/>
      <c r="AY45" s="43"/>
      <c r="AZ45" s="44"/>
      <c r="BA45" s="2"/>
      <c r="BB45" s="2"/>
      <c r="BC45" s="2"/>
      <c r="BD45" s="2"/>
      <c r="BE45" s="2"/>
    </row>
    <row r="46" spans="11:67" x14ac:dyDescent="0.2">
      <c r="U46" s="46">
        <f t="shared" si="4"/>
        <v>392</v>
      </c>
      <c r="V46" s="46">
        <f t="shared" si="5"/>
        <v>401</v>
      </c>
      <c r="W46" s="33">
        <f ca="1">IFERROR(AVERAGEIFS(data_brute!M:M,data_brute!J:J,"&lt;="&amp;V46,data_brute!J:J,"&gt;="&amp;U46),NA())</f>
        <v>25.089000000000002</v>
      </c>
      <c r="X46" s="46">
        <f t="shared" ca="1" si="6"/>
        <v>400</v>
      </c>
      <c r="Y46" s="2" t="b">
        <f t="shared" si="0"/>
        <v>0</v>
      </c>
      <c r="Z46" s="2" t="b">
        <f t="shared" si="1"/>
        <v>0</v>
      </c>
      <c r="AE46" s="46">
        <f t="shared" si="16"/>
        <v>392</v>
      </c>
      <c r="AF46" s="46">
        <f t="shared" si="17"/>
        <v>401</v>
      </c>
      <c r="AG46" s="33">
        <f ca="1">IFERROR(AVERAGEIFS(data_brute!M:M,data_brute!J:J,"&gt;="&amp;AE46,data_brute!J:J,"&lt;="&amp;AF46),NA())</f>
        <v>25.089000000000002</v>
      </c>
      <c r="AH46" s="46">
        <f t="shared" ca="1" si="18"/>
        <v>400</v>
      </c>
      <c r="AJ46" s="46">
        <f t="shared" si="19"/>
        <v>392</v>
      </c>
      <c r="AK46" s="46">
        <f t="shared" si="20"/>
        <v>401</v>
      </c>
      <c r="AL46" s="33">
        <f ca="1">IFERROR(AVERAGEIFS(data_brute!M:M,data_brute!J:J,"&lt;="&amp;AK46),NA())</f>
        <v>25.246025000000014</v>
      </c>
      <c r="AM46" s="46">
        <f t="shared" ca="1" si="21"/>
        <v>400</v>
      </c>
      <c r="AN46" s="46" t="b">
        <f t="shared" si="2"/>
        <v>0</v>
      </c>
      <c r="AO46" s="50" t="b">
        <f t="shared" si="3"/>
        <v>0</v>
      </c>
      <c r="AX46" s="2"/>
      <c r="AY46" s="43"/>
      <c r="AZ46" s="44"/>
      <c r="BA46" s="2"/>
      <c r="BB46" s="2"/>
      <c r="BC46" s="2"/>
      <c r="BD46" s="2"/>
      <c r="BE46" s="2"/>
    </row>
    <row r="47" spans="11:67" x14ac:dyDescent="0.2">
      <c r="U47" s="46">
        <f t="shared" si="4"/>
        <v>402</v>
      </c>
      <c r="V47" s="46">
        <f t="shared" si="5"/>
        <v>411</v>
      </c>
      <c r="W47" s="33">
        <f ca="1">IFERROR(AVERAGEIFS(data_brute!M:M,data_brute!J:J,"&lt;="&amp;V47,data_brute!J:J,"&gt;="&amp;U47),NA())</f>
        <v>25.292999999999999</v>
      </c>
      <c r="X47" s="46">
        <f t="shared" ca="1" si="6"/>
        <v>410</v>
      </c>
      <c r="Y47" s="2" t="b">
        <f t="shared" si="0"/>
        <v>0</v>
      </c>
      <c r="Z47" s="2" t="b">
        <f t="shared" si="1"/>
        <v>0</v>
      </c>
      <c r="AE47" s="46">
        <f t="shared" si="16"/>
        <v>402</v>
      </c>
      <c r="AF47" s="46">
        <f t="shared" si="17"/>
        <v>411</v>
      </c>
      <c r="AG47" s="33">
        <f ca="1">IFERROR(AVERAGEIFS(data_brute!M:M,data_brute!J:J,"&gt;="&amp;AE47,data_brute!J:J,"&lt;="&amp;AF47),NA())</f>
        <v>25.292999999999999</v>
      </c>
      <c r="AH47" s="46">
        <f t="shared" ca="1" si="18"/>
        <v>410</v>
      </c>
      <c r="AJ47" s="46">
        <f t="shared" si="19"/>
        <v>402</v>
      </c>
      <c r="AK47" s="46">
        <f t="shared" si="20"/>
        <v>411</v>
      </c>
      <c r="AL47" s="33">
        <f ca="1">IFERROR(AVERAGEIFS(data_brute!M:M,data_brute!J:J,"&lt;="&amp;AK47),NA())</f>
        <v>25.247170731707332</v>
      </c>
      <c r="AM47" s="46">
        <f t="shared" ca="1" si="21"/>
        <v>410</v>
      </c>
      <c r="AN47" s="46" t="b">
        <f t="shared" si="2"/>
        <v>0</v>
      </c>
      <c r="AO47" s="50" t="b">
        <f t="shared" si="3"/>
        <v>0</v>
      </c>
      <c r="AX47" s="2"/>
      <c r="AY47" s="43"/>
      <c r="AZ47" s="44"/>
      <c r="BA47" s="2"/>
      <c r="BB47" s="2"/>
      <c r="BC47" s="2"/>
      <c r="BD47" s="2"/>
      <c r="BE47" s="2"/>
    </row>
    <row r="48" spans="11:67" x14ac:dyDescent="0.2">
      <c r="U48" s="46">
        <f t="shared" si="4"/>
        <v>412</v>
      </c>
      <c r="V48" s="46">
        <f t="shared" si="5"/>
        <v>421</v>
      </c>
      <c r="W48" s="33">
        <f ca="1">IFERROR(AVERAGEIFS(data_brute!M:M,data_brute!J:J,"&lt;="&amp;V48,data_brute!J:J,"&gt;="&amp;U48),NA())</f>
        <v>25.387000000000004</v>
      </c>
      <c r="X48" s="46">
        <f t="shared" ca="1" si="6"/>
        <v>420</v>
      </c>
      <c r="Y48" s="2" t="b">
        <f t="shared" si="0"/>
        <v>0</v>
      </c>
      <c r="Z48" s="2" t="b">
        <f t="shared" si="1"/>
        <v>0</v>
      </c>
      <c r="AE48" s="46">
        <f t="shared" si="16"/>
        <v>412</v>
      </c>
      <c r="AF48" s="46">
        <f t="shared" si="17"/>
        <v>421</v>
      </c>
      <c r="AG48" s="33">
        <f ca="1">IFERROR(AVERAGEIFS(data_brute!M:M,data_brute!J:J,"&gt;="&amp;AE48,data_brute!J:J,"&lt;="&amp;AF48),NA())</f>
        <v>25.387000000000004</v>
      </c>
      <c r="AH48" s="46">
        <f t="shared" ca="1" si="18"/>
        <v>420</v>
      </c>
      <c r="AJ48" s="46">
        <f t="shared" si="19"/>
        <v>412</v>
      </c>
      <c r="AK48" s="46">
        <f t="shared" si="20"/>
        <v>421</v>
      </c>
      <c r="AL48" s="33">
        <f ca="1">IFERROR(AVERAGEIFS(data_brute!M:M,data_brute!J:J,"&lt;="&amp;AK48),NA())</f>
        <v>25.250500000000006</v>
      </c>
      <c r="AM48" s="46">
        <f t="shared" ca="1" si="21"/>
        <v>420</v>
      </c>
      <c r="AN48" s="46" t="b">
        <f t="shared" si="2"/>
        <v>0</v>
      </c>
      <c r="AO48" s="50" t="b">
        <f t="shared" si="3"/>
        <v>0</v>
      </c>
      <c r="AX48" s="2"/>
      <c r="AY48" s="43"/>
      <c r="AZ48" s="44"/>
      <c r="BA48" s="2"/>
      <c r="BB48" s="2"/>
      <c r="BC48" s="2"/>
      <c r="BD48" s="2"/>
      <c r="BE48" s="2"/>
    </row>
    <row r="49" spans="21:57" x14ac:dyDescent="0.2">
      <c r="U49" s="46">
        <f t="shared" si="4"/>
        <v>422</v>
      </c>
      <c r="V49" s="46">
        <f t="shared" si="5"/>
        <v>431</v>
      </c>
      <c r="W49" s="33">
        <f ca="1">IFERROR(AVERAGEIFS(data_brute!M:M,data_brute!J:J,"&lt;="&amp;V49,data_brute!J:J,"&gt;="&amp;U49),NA())</f>
        <v>25.441000000000003</v>
      </c>
      <c r="X49" s="46">
        <f t="shared" ca="1" si="6"/>
        <v>430</v>
      </c>
      <c r="Y49" s="2" t="b">
        <f t="shared" si="0"/>
        <v>0</v>
      </c>
      <c r="Z49" s="2" t="b">
        <f t="shared" si="1"/>
        <v>0</v>
      </c>
      <c r="AE49" s="46">
        <f t="shared" si="16"/>
        <v>422</v>
      </c>
      <c r="AF49" s="46">
        <f t="shared" si="17"/>
        <v>431</v>
      </c>
      <c r="AG49" s="33">
        <f ca="1">IFERROR(AVERAGEIFS(data_brute!M:M,data_brute!J:J,"&gt;="&amp;AE49,data_brute!J:J,"&lt;="&amp;AF49),NA())</f>
        <v>25.441000000000003</v>
      </c>
      <c r="AH49" s="46">
        <f t="shared" ca="1" si="18"/>
        <v>430</v>
      </c>
      <c r="AJ49" s="46">
        <f t="shared" si="19"/>
        <v>422</v>
      </c>
      <c r="AK49" s="46">
        <f t="shared" si="20"/>
        <v>431</v>
      </c>
      <c r="AL49" s="33">
        <f ca="1">IFERROR(AVERAGEIFS(data_brute!M:M,data_brute!J:J,"&lt;="&amp;AK49),NA())</f>
        <v>25.254930232558145</v>
      </c>
      <c r="AM49" s="46">
        <f t="shared" ca="1" si="21"/>
        <v>430</v>
      </c>
      <c r="AN49" s="46" t="b">
        <f t="shared" si="2"/>
        <v>0</v>
      </c>
      <c r="AO49" s="50" t="b">
        <f t="shared" si="3"/>
        <v>0</v>
      </c>
      <c r="AX49" s="2"/>
      <c r="AY49" s="43"/>
      <c r="AZ49" s="44"/>
      <c r="BA49" s="2"/>
      <c r="BB49" s="2"/>
      <c r="BC49" s="2"/>
      <c r="BD49" s="2"/>
      <c r="BE49" s="2"/>
    </row>
    <row r="50" spans="21:57" x14ac:dyDescent="0.2">
      <c r="U50" s="46">
        <f t="shared" si="4"/>
        <v>432</v>
      </c>
      <c r="V50" s="46">
        <f t="shared" si="5"/>
        <v>441</v>
      </c>
      <c r="W50" s="33">
        <f ca="1">IFERROR(AVERAGEIFS(data_brute!M:M,data_brute!J:J,"&lt;="&amp;V50,data_brute!J:J,"&gt;="&amp;U50),NA())</f>
        <v>25.394000000000002</v>
      </c>
      <c r="X50" s="46">
        <f t="shared" ca="1" si="6"/>
        <v>440</v>
      </c>
      <c r="Y50" s="2" t="b">
        <f t="shared" si="0"/>
        <v>0</v>
      </c>
      <c r="Z50" s="2" t="b">
        <f t="shared" si="1"/>
        <v>0</v>
      </c>
      <c r="AE50" s="46">
        <f t="shared" si="16"/>
        <v>432</v>
      </c>
      <c r="AF50" s="46">
        <f t="shared" si="17"/>
        <v>441</v>
      </c>
      <c r="AG50" s="33">
        <f ca="1">IFERROR(AVERAGEIFS(data_brute!M:M,data_brute!J:J,"&gt;="&amp;AE50,data_brute!J:J,"&lt;="&amp;AF50),NA())</f>
        <v>25.394000000000002</v>
      </c>
      <c r="AH50" s="46">
        <f t="shared" ca="1" si="18"/>
        <v>440</v>
      </c>
      <c r="AJ50" s="46">
        <f t="shared" si="19"/>
        <v>432</v>
      </c>
      <c r="AK50" s="46">
        <f t="shared" si="20"/>
        <v>441</v>
      </c>
      <c r="AL50" s="33">
        <f ca="1">IFERROR(AVERAGEIFS(data_brute!M:M,data_brute!J:J,"&lt;="&amp;AK50),NA())</f>
        <v>25.258090909090914</v>
      </c>
      <c r="AM50" s="46">
        <f t="shared" ca="1" si="21"/>
        <v>440</v>
      </c>
      <c r="AN50" s="46" t="b">
        <f t="shared" si="2"/>
        <v>0</v>
      </c>
      <c r="AO50" s="50" t="b">
        <f t="shared" si="3"/>
        <v>0</v>
      </c>
      <c r="AX50" s="2"/>
      <c r="AY50" s="43"/>
      <c r="AZ50" s="44"/>
      <c r="BA50" s="2"/>
      <c r="BB50" s="2"/>
      <c r="BC50" s="2"/>
      <c r="BD50" s="2"/>
      <c r="BE50" s="2"/>
    </row>
    <row r="51" spans="21:57" x14ac:dyDescent="0.2">
      <c r="U51" s="46">
        <f t="shared" si="4"/>
        <v>442</v>
      </c>
      <c r="V51" s="46">
        <f t="shared" si="5"/>
        <v>451</v>
      </c>
      <c r="W51" s="33">
        <f ca="1">IFERROR(AVERAGEIFS(data_brute!M:M,data_brute!J:J,"&lt;="&amp;V51,data_brute!J:J,"&gt;="&amp;U51),NA())</f>
        <v>25.225000000000001</v>
      </c>
      <c r="X51" s="46">
        <f t="shared" ca="1" si="6"/>
        <v>450</v>
      </c>
      <c r="Y51" s="2" t="b">
        <f t="shared" si="0"/>
        <v>0</v>
      </c>
      <c r="Z51" s="2" t="b">
        <f t="shared" si="1"/>
        <v>0</v>
      </c>
      <c r="AE51" s="46">
        <f t="shared" si="16"/>
        <v>442</v>
      </c>
      <c r="AF51" s="46">
        <f t="shared" si="17"/>
        <v>451</v>
      </c>
      <c r="AG51" s="33">
        <f ca="1">IFERROR(AVERAGEIFS(data_brute!M:M,data_brute!J:J,"&gt;="&amp;AE51,data_brute!J:J,"&lt;="&amp;AF51),NA())</f>
        <v>25.225000000000001</v>
      </c>
      <c r="AH51" s="46">
        <f t="shared" ca="1" si="18"/>
        <v>450</v>
      </c>
      <c r="AJ51" s="46">
        <f t="shared" si="19"/>
        <v>442</v>
      </c>
      <c r="AK51" s="46">
        <f t="shared" si="20"/>
        <v>451</v>
      </c>
      <c r="AL51" s="33">
        <f ca="1">IFERROR(AVERAGEIFS(data_brute!M:M,data_brute!J:J,"&lt;="&amp;AK51),NA())</f>
        <v>25.257355555555563</v>
      </c>
      <c r="AM51" s="46">
        <f t="shared" ca="1" si="21"/>
        <v>450</v>
      </c>
      <c r="AN51" s="46" t="b">
        <f t="shared" si="2"/>
        <v>0</v>
      </c>
      <c r="AO51" s="50" t="b">
        <f t="shared" si="3"/>
        <v>0</v>
      </c>
      <c r="AX51" s="2"/>
      <c r="AY51" s="43"/>
      <c r="AZ51" s="44"/>
      <c r="BA51" s="2"/>
      <c r="BB51" s="2"/>
      <c r="BC51" s="2"/>
      <c r="BD51" s="2"/>
      <c r="BE51" s="2"/>
    </row>
    <row r="52" spans="21:57" x14ac:dyDescent="0.2">
      <c r="U52" s="46">
        <f t="shared" si="4"/>
        <v>452</v>
      </c>
      <c r="V52" s="46">
        <f t="shared" si="5"/>
        <v>461</v>
      </c>
      <c r="W52" s="33">
        <f ca="1">IFERROR(AVERAGEIFS(data_brute!M:M,data_brute!J:J,"&lt;="&amp;V52,data_brute!J:J,"&gt;="&amp;U52),NA())</f>
        <v>25.340999999999998</v>
      </c>
      <c r="X52" s="46">
        <f t="shared" ca="1" si="6"/>
        <v>460</v>
      </c>
      <c r="Y52" s="2" t="b">
        <f t="shared" si="0"/>
        <v>0</v>
      </c>
      <c r="Z52" s="2" t="b">
        <f t="shared" si="1"/>
        <v>0</v>
      </c>
      <c r="AE52" s="46">
        <f t="shared" si="16"/>
        <v>452</v>
      </c>
      <c r="AF52" s="46">
        <f t="shared" si="17"/>
        <v>461</v>
      </c>
      <c r="AG52" s="33">
        <f ca="1">IFERROR(AVERAGEIFS(data_brute!M:M,data_brute!J:J,"&gt;="&amp;AE52,data_brute!J:J,"&lt;="&amp;AF52),NA())</f>
        <v>25.340999999999998</v>
      </c>
      <c r="AH52" s="46">
        <f t="shared" ca="1" si="18"/>
        <v>460</v>
      </c>
      <c r="AJ52" s="46">
        <f t="shared" si="19"/>
        <v>452</v>
      </c>
      <c r="AK52" s="46">
        <f t="shared" si="20"/>
        <v>461</v>
      </c>
      <c r="AL52" s="33">
        <f ca="1">IFERROR(AVERAGEIFS(data_brute!M:M,data_brute!J:J,"&lt;="&amp;AK52),NA())</f>
        <v>25.25917391304348</v>
      </c>
      <c r="AM52" s="46">
        <f t="shared" ca="1" si="21"/>
        <v>460</v>
      </c>
      <c r="AN52" s="46" t="b">
        <f t="shared" si="2"/>
        <v>0</v>
      </c>
      <c r="AO52" s="50" t="b">
        <f t="shared" si="3"/>
        <v>0</v>
      </c>
      <c r="AX52" s="2"/>
      <c r="AY52" s="43"/>
      <c r="AZ52" s="44"/>
      <c r="BA52" s="2"/>
      <c r="BB52" s="2"/>
      <c r="BC52" s="2"/>
      <c r="BD52" s="2"/>
      <c r="BE52" s="2"/>
    </row>
    <row r="53" spans="21:57" x14ac:dyDescent="0.2">
      <c r="U53" s="46">
        <f t="shared" si="4"/>
        <v>462</v>
      </c>
      <c r="V53" s="46">
        <f t="shared" si="5"/>
        <v>471</v>
      </c>
      <c r="W53" s="33">
        <f ca="1">IFERROR(AVERAGEIFS(data_brute!M:M,data_brute!J:J,"&lt;="&amp;V53,data_brute!J:J,"&gt;="&amp;U53),NA())</f>
        <v>25.471000000000004</v>
      </c>
      <c r="X53" s="46">
        <f t="shared" ca="1" si="6"/>
        <v>470</v>
      </c>
      <c r="Y53" s="2" t="b">
        <f t="shared" si="0"/>
        <v>0</v>
      </c>
      <c r="Z53" s="2" t="b">
        <f t="shared" si="1"/>
        <v>0</v>
      </c>
      <c r="AE53" s="46">
        <f t="shared" si="16"/>
        <v>462</v>
      </c>
      <c r="AF53" s="46">
        <f t="shared" si="17"/>
        <v>471</v>
      </c>
      <c r="AG53" s="33">
        <f ca="1">IFERROR(AVERAGEIFS(data_brute!M:M,data_brute!J:J,"&gt;="&amp;AE53,data_brute!J:J,"&lt;="&amp;AF53),NA())</f>
        <v>25.471000000000004</v>
      </c>
      <c r="AH53" s="46">
        <f t="shared" ca="1" si="18"/>
        <v>470</v>
      </c>
      <c r="AJ53" s="46">
        <f t="shared" si="19"/>
        <v>462</v>
      </c>
      <c r="AK53" s="46">
        <f t="shared" si="20"/>
        <v>471</v>
      </c>
      <c r="AL53" s="33">
        <f ca="1">IFERROR(AVERAGEIFS(data_brute!M:M,data_brute!J:J,"&lt;="&amp;AK53),NA())</f>
        <v>25.263680851063835</v>
      </c>
      <c r="AM53" s="46">
        <f t="shared" ca="1" si="21"/>
        <v>470</v>
      </c>
      <c r="AN53" s="46" t="b">
        <f t="shared" si="2"/>
        <v>0</v>
      </c>
      <c r="AO53" s="50" t="b">
        <f t="shared" si="3"/>
        <v>0</v>
      </c>
      <c r="AX53" s="2"/>
      <c r="AY53" s="43"/>
      <c r="AZ53" s="44"/>
      <c r="BA53" s="2"/>
      <c r="BB53" s="2"/>
      <c r="BC53" s="2"/>
      <c r="BD53" s="2"/>
      <c r="BE53" s="2"/>
    </row>
    <row r="54" spans="21:57" x14ac:dyDescent="0.2">
      <c r="U54" s="46">
        <f t="shared" si="4"/>
        <v>472</v>
      </c>
      <c r="V54" s="46">
        <f t="shared" si="5"/>
        <v>481</v>
      </c>
      <c r="W54" s="33">
        <f ca="1">IFERROR(AVERAGEIFS(data_brute!M:M,data_brute!J:J,"&lt;="&amp;V54,data_brute!J:J,"&gt;="&amp;U54),NA())</f>
        <v>25.693000000000001</v>
      </c>
      <c r="X54" s="46">
        <f t="shared" ca="1" si="6"/>
        <v>480</v>
      </c>
      <c r="Y54" s="2" t="b">
        <f t="shared" si="0"/>
        <v>0</v>
      </c>
      <c r="Z54" s="2" t="b">
        <f t="shared" si="1"/>
        <v>0</v>
      </c>
      <c r="AE54" s="46">
        <f t="shared" si="16"/>
        <v>472</v>
      </c>
      <c r="AF54" s="46">
        <f t="shared" si="17"/>
        <v>481</v>
      </c>
      <c r="AG54" s="33">
        <f ca="1">IFERROR(AVERAGEIFS(data_brute!M:M,data_brute!J:J,"&gt;="&amp;AE54,data_brute!J:J,"&lt;="&amp;AF54),NA())</f>
        <v>25.693000000000001</v>
      </c>
      <c r="AH54" s="46">
        <f t="shared" ca="1" si="18"/>
        <v>480</v>
      </c>
      <c r="AJ54" s="46">
        <f t="shared" si="19"/>
        <v>472</v>
      </c>
      <c r="AK54" s="46">
        <f t="shared" si="20"/>
        <v>481</v>
      </c>
      <c r="AL54" s="33">
        <f ca="1">IFERROR(AVERAGEIFS(data_brute!M:M,data_brute!J:J,"&lt;="&amp;AK54),NA())</f>
        <v>25.272625000000005</v>
      </c>
      <c r="AM54" s="46">
        <f t="shared" ca="1" si="21"/>
        <v>480</v>
      </c>
      <c r="AN54" s="46" t="b">
        <f t="shared" si="2"/>
        <v>0</v>
      </c>
      <c r="AO54" s="50" t="b">
        <f t="shared" si="3"/>
        <v>0</v>
      </c>
      <c r="AX54" s="2"/>
      <c r="AY54" s="43"/>
      <c r="AZ54" s="44"/>
      <c r="BA54" s="2"/>
      <c r="BB54" s="2"/>
      <c r="BC54" s="2"/>
      <c r="BD54" s="2"/>
      <c r="BE54" s="2"/>
    </row>
    <row r="55" spans="21:57" x14ac:dyDescent="0.2">
      <c r="U55" s="46">
        <f t="shared" si="4"/>
        <v>482</v>
      </c>
      <c r="V55" s="46">
        <f t="shared" si="5"/>
        <v>491</v>
      </c>
      <c r="W55" s="33">
        <f ca="1">IFERROR(AVERAGEIFS(data_brute!M:M,data_brute!J:J,"&lt;="&amp;V55,data_brute!J:J,"&gt;="&amp;U55),NA())</f>
        <v>25.499000000000002</v>
      </c>
      <c r="X55" s="46">
        <f t="shared" ca="1" si="6"/>
        <v>490</v>
      </c>
      <c r="Y55" s="2" t="b">
        <f t="shared" si="0"/>
        <v>0</v>
      </c>
      <c r="Z55" s="2" t="b">
        <f t="shared" si="1"/>
        <v>0</v>
      </c>
      <c r="AE55" s="46">
        <f t="shared" si="16"/>
        <v>482</v>
      </c>
      <c r="AF55" s="46">
        <f t="shared" si="17"/>
        <v>491</v>
      </c>
      <c r="AG55" s="33">
        <f ca="1">IFERROR(AVERAGEIFS(data_brute!M:M,data_brute!J:J,"&gt;="&amp;AE55,data_brute!J:J,"&lt;="&amp;AF55),NA())</f>
        <v>25.499000000000002</v>
      </c>
      <c r="AH55" s="46">
        <f t="shared" ca="1" si="18"/>
        <v>490</v>
      </c>
      <c r="AJ55" s="46">
        <f t="shared" si="19"/>
        <v>482</v>
      </c>
      <c r="AK55" s="46">
        <f t="shared" si="20"/>
        <v>491</v>
      </c>
      <c r="AL55" s="33">
        <f ca="1">IFERROR(AVERAGEIFS(data_brute!M:M,data_brute!J:J,"&lt;="&amp;AK55),NA())</f>
        <v>25.277244897959193</v>
      </c>
      <c r="AM55" s="46">
        <f t="shared" ca="1" si="21"/>
        <v>490</v>
      </c>
      <c r="AN55" s="46" t="b">
        <f t="shared" si="2"/>
        <v>0</v>
      </c>
      <c r="AO55" s="50" t="b">
        <f t="shared" si="3"/>
        <v>0</v>
      </c>
      <c r="AX55" s="2"/>
      <c r="AY55" s="43"/>
      <c r="AZ55" s="44"/>
      <c r="BA55" s="2"/>
      <c r="BB55" s="2"/>
      <c r="BC55" s="2"/>
      <c r="BD55" s="2"/>
      <c r="BE55" s="2"/>
    </row>
    <row r="56" spans="21:57" x14ac:dyDescent="0.2">
      <c r="U56" s="46">
        <f t="shared" si="4"/>
        <v>492</v>
      </c>
      <c r="V56" s="46">
        <f t="shared" si="5"/>
        <v>501</v>
      </c>
      <c r="W56" s="33">
        <f ca="1">IFERROR(AVERAGEIFS(data_brute!M:M,data_brute!J:J,"&lt;="&amp;V56,data_brute!J:J,"&gt;="&amp;U56),NA())</f>
        <v>25.618000000000002</v>
      </c>
      <c r="X56" s="46">
        <f t="shared" ca="1" si="6"/>
        <v>500</v>
      </c>
      <c r="Y56" s="2" t="b">
        <f t="shared" si="0"/>
        <v>0</v>
      </c>
      <c r="Z56" s="2" t="b">
        <f t="shared" si="1"/>
        <v>0</v>
      </c>
      <c r="AE56" s="46">
        <f t="shared" si="16"/>
        <v>492</v>
      </c>
      <c r="AF56" s="46">
        <f t="shared" si="17"/>
        <v>501</v>
      </c>
      <c r="AG56" s="33">
        <f ca="1">IFERROR(AVERAGEIFS(data_brute!M:M,data_brute!J:J,"&gt;="&amp;AE56,data_brute!J:J,"&lt;="&amp;AF56),NA())</f>
        <v>25.618000000000002</v>
      </c>
      <c r="AH56" s="46">
        <f t="shared" ca="1" si="18"/>
        <v>500</v>
      </c>
      <c r="AJ56" s="46">
        <f t="shared" si="19"/>
        <v>492</v>
      </c>
      <c r="AK56" s="46">
        <f t="shared" si="20"/>
        <v>501</v>
      </c>
      <c r="AL56" s="33">
        <f ca="1">IFERROR(AVERAGEIFS(data_brute!M:M,data_brute!J:J,"&lt;="&amp;AK56),NA())</f>
        <v>25.284060000000011</v>
      </c>
      <c r="AM56" s="46">
        <f t="shared" ca="1" si="21"/>
        <v>500</v>
      </c>
      <c r="AN56" s="46" t="b">
        <f t="shared" si="2"/>
        <v>0</v>
      </c>
      <c r="AO56" s="50" t="b">
        <f t="shared" si="3"/>
        <v>0</v>
      </c>
      <c r="AX56" s="2"/>
      <c r="AY56" s="43"/>
      <c r="AZ56" s="44"/>
      <c r="BA56" s="2"/>
      <c r="BB56" s="2"/>
      <c r="BC56" s="2"/>
      <c r="BD56" s="2"/>
      <c r="BE56" s="2"/>
    </row>
    <row r="57" spans="21:57" x14ac:dyDescent="0.2">
      <c r="U57" s="46">
        <f t="shared" si="4"/>
        <v>502</v>
      </c>
      <c r="V57" s="46">
        <f t="shared" si="5"/>
        <v>511</v>
      </c>
      <c r="W57" s="33">
        <f ca="1">IFERROR(AVERAGEIFS(data_brute!M:M,data_brute!J:J,"&lt;="&amp;V57,data_brute!J:J,"&gt;="&amp;U57),NA())</f>
        <v>25.369999999999997</v>
      </c>
      <c r="X57" s="46">
        <f t="shared" ca="1" si="6"/>
        <v>510</v>
      </c>
      <c r="Y57" s="2" t="b">
        <f t="shared" si="0"/>
        <v>0</v>
      </c>
      <c r="Z57" s="2" t="b">
        <f t="shared" si="1"/>
        <v>0</v>
      </c>
      <c r="AE57" s="46">
        <f t="shared" si="16"/>
        <v>502</v>
      </c>
      <c r="AF57" s="46">
        <f t="shared" si="17"/>
        <v>511</v>
      </c>
      <c r="AG57" s="33">
        <f ca="1">IFERROR(AVERAGEIFS(data_brute!M:M,data_brute!J:J,"&gt;="&amp;AE57,data_brute!J:J,"&lt;="&amp;AF57),NA())</f>
        <v>25.369999999999997</v>
      </c>
      <c r="AH57" s="46">
        <f t="shared" ca="1" si="18"/>
        <v>510</v>
      </c>
      <c r="AJ57" s="46">
        <f t="shared" si="19"/>
        <v>502</v>
      </c>
      <c r="AK57" s="46">
        <f t="shared" si="20"/>
        <v>511</v>
      </c>
      <c r="AL57" s="33">
        <f ca="1">IFERROR(AVERAGEIFS(data_brute!M:M,data_brute!J:J,"&lt;="&amp;AK57),NA())</f>
        <v>25.285745098039225</v>
      </c>
      <c r="AM57" s="46">
        <f t="shared" ca="1" si="21"/>
        <v>510</v>
      </c>
      <c r="AN57" s="46" t="b">
        <f t="shared" si="2"/>
        <v>0</v>
      </c>
      <c r="AO57" s="50" t="b">
        <f t="shared" si="3"/>
        <v>0</v>
      </c>
      <c r="AX57" s="2"/>
      <c r="AY57" s="43"/>
      <c r="AZ57" s="44"/>
      <c r="BA57" s="2"/>
      <c r="BB57" s="2"/>
      <c r="BC57" s="2"/>
      <c r="BD57" s="2"/>
      <c r="BE57" s="2"/>
    </row>
    <row r="58" spans="21:57" x14ac:dyDescent="0.2">
      <c r="U58" s="46">
        <f t="shared" si="4"/>
        <v>512</v>
      </c>
      <c r="V58" s="46">
        <f t="shared" si="5"/>
        <v>521</v>
      </c>
      <c r="W58" s="33">
        <f ca="1">IFERROR(AVERAGEIFS(data_brute!M:M,data_brute!J:J,"&lt;="&amp;V58,data_brute!J:J,"&gt;="&amp;U58),NA())</f>
        <v>25.466000000000001</v>
      </c>
      <c r="X58" s="46">
        <f t="shared" ca="1" si="6"/>
        <v>520</v>
      </c>
      <c r="Y58" s="2" t="b">
        <f t="shared" si="0"/>
        <v>0</v>
      </c>
      <c r="Z58" s="2" t="b">
        <f t="shared" si="1"/>
        <v>0</v>
      </c>
      <c r="AE58" s="46">
        <f t="shared" si="16"/>
        <v>512</v>
      </c>
      <c r="AF58" s="46">
        <f t="shared" si="17"/>
        <v>521</v>
      </c>
      <c r="AG58" s="33">
        <f ca="1">IFERROR(AVERAGEIFS(data_brute!M:M,data_brute!J:J,"&gt;="&amp;AE58,data_brute!J:J,"&lt;="&amp;AF58),NA())</f>
        <v>25.466000000000001</v>
      </c>
      <c r="AH58" s="46">
        <f t="shared" ca="1" si="18"/>
        <v>520</v>
      </c>
      <c r="AJ58" s="46">
        <f t="shared" si="19"/>
        <v>512</v>
      </c>
      <c r="AK58" s="46">
        <f t="shared" si="20"/>
        <v>521</v>
      </c>
      <c r="AL58" s="33">
        <f ca="1">IFERROR(AVERAGEIFS(data_brute!M:M,data_brute!J:J,"&lt;="&amp;AK58),NA())</f>
        <v>25.289211538461551</v>
      </c>
      <c r="AM58" s="46">
        <f t="shared" ca="1" si="21"/>
        <v>520</v>
      </c>
      <c r="AN58" s="46" t="b">
        <f t="shared" si="2"/>
        <v>0</v>
      </c>
      <c r="AO58" s="50" t="b">
        <f t="shared" si="3"/>
        <v>0</v>
      </c>
      <c r="AX58" s="2"/>
      <c r="AY58" s="43"/>
      <c r="AZ58" s="44"/>
      <c r="BA58" s="2"/>
      <c r="BB58" s="2"/>
      <c r="BC58" s="2"/>
      <c r="BD58" s="2"/>
      <c r="BE58" s="2"/>
    </row>
    <row r="59" spans="21:57" x14ac:dyDescent="0.2">
      <c r="U59" s="46">
        <f t="shared" si="4"/>
        <v>522</v>
      </c>
      <c r="V59" s="46">
        <f t="shared" si="5"/>
        <v>531</v>
      </c>
      <c r="W59" s="33">
        <f ca="1">IFERROR(AVERAGEIFS(data_brute!M:M,data_brute!J:J,"&lt;="&amp;V59,data_brute!J:J,"&gt;="&amp;U59),NA())</f>
        <v>25.673000000000002</v>
      </c>
      <c r="X59" s="46">
        <f t="shared" ca="1" si="6"/>
        <v>530</v>
      </c>
      <c r="Y59" s="2" t="b">
        <f t="shared" si="0"/>
        <v>0</v>
      </c>
      <c r="Z59" s="2" t="b">
        <f t="shared" si="1"/>
        <v>0</v>
      </c>
      <c r="AE59" s="46">
        <f t="shared" si="16"/>
        <v>522</v>
      </c>
      <c r="AF59" s="46">
        <f t="shared" si="17"/>
        <v>531</v>
      </c>
      <c r="AG59" s="33">
        <f ca="1">IFERROR(AVERAGEIFS(data_brute!M:M,data_brute!J:J,"&gt;="&amp;AE59,data_brute!J:J,"&lt;="&amp;AF59),NA())</f>
        <v>25.673000000000002</v>
      </c>
      <c r="AH59" s="46">
        <f t="shared" ca="1" si="18"/>
        <v>530</v>
      </c>
      <c r="AJ59" s="46">
        <f t="shared" si="19"/>
        <v>522</v>
      </c>
      <c r="AK59" s="46">
        <f t="shared" si="20"/>
        <v>531</v>
      </c>
      <c r="AL59" s="33">
        <f ca="1">IFERROR(AVERAGEIFS(data_brute!M:M,data_brute!J:J,"&lt;="&amp;AK59),NA())</f>
        <v>25.296452830188692</v>
      </c>
      <c r="AM59" s="46">
        <f t="shared" ca="1" si="21"/>
        <v>530</v>
      </c>
      <c r="AN59" s="46" t="b">
        <f t="shared" si="2"/>
        <v>0</v>
      </c>
      <c r="AO59" s="50" t="b">
        <f t="shared" si="3"/>
        <v>0</v>
      </c>
      <c r="AX59" s="2"/>
      <c r="AY59" s="43"/>
      <c r="AZ59" s="44"/>
      <c r="BA59" s="2"/>
      <c r="BB59" s="2"/>
      <c r="BC59" s="2"/>
      <c r="BD59" s="2"/>
      <c r="BE59" s="2"/>
    </row>
    <row r="60" spans="21:57" x14ac:dyDescent="0.2">
      <c r="U60" s="46">
        <f t="shared" si="4"/>
        <v>532</v>
      </c>
      <c r="V60" s="46">
        <f t="shared" si="5"/>
        <v>541</v>
      </c>
      <c r="W60" s="33">
        <f ca="1">IFERROR(AVERAGEIFS(data_brute!M:M,data_brute!J:J,"&lt;="&amp;V60,data_brute!J:J,"&gt;="&amp;U60),NA())</f>
        <v>25.589000000000002</v>
      </c>
      <c r="X60" s="46">
        <f t="shared" ca="1" si="6"/>
        <v>540</v>
      </c>
      <c r="Y60" s="2" t="b">
        <f t="shared" si="0"/>
        <v>0</v>
      </c>
      <c r="Z60" s="2" t="b">
        <f t="shared" si="1"/>
        <v>0</v>
      </c>
      <c r="AE60" s="46">
        <f t="shared" si="16"/>
        <v>532</v>
      </c>
      <c r="AF60" s="46">
        <f t="shared" si="17"/>
        <v>541</v>
      </c>
      <c r="AG60" s="33">
        <f ca="1">IFERROR(AVERAGEIFS(data_brute!M:M,data_brute!J:J,"&gt;="&amp;AE60,data_brute!J:J,"&lt;="&amp;AF60),NA())</f>
        <v>25.589000000000002</v>
      </c>
      <c r="AH60" s="46">
        <f t="shared" ca="1" si="18"/>
        <v>540</v>
      </c>
      <c r="AJ60" s="46">
        <f t="shared" si="19"/>
        <v>532</v>
      </c>
      <c r="AK60" s="46">
        <f t="shared" si="20"/>
        <v>541</v>
      </c>
      <c r="AL60" s="33">
        <f ca="1">IFERROR(AVERAGEIFS(data_brute!M:M,data_brute!J:J,"&lt;="&amp;AK60),NA())</f>
        <v>25.301870370370377</v>
      </c>
      <c r="AM60" s="46">
        <f t="shared" ca="1" si="21"/>
        <v>540</v>
      </c>
      <c r="AN60" s="46" t="b">
        <f t="shared" si="2"/>
        <v>0</v>
      </c>
      <c r="AO60" s="50" t="b">
        <f t="shared" si="3"/>
        <v>0</v>
      </c>
      <c r="AX60" s="2"/>
      <c r="AY60" s="43"/>
      <c r="AZ60" s="44"/>
      <c r="BA60" s="2"/>
      <c r="BB60" s="2"/>
      <c r="BC60" s="2"/>
      <c r="BD60" s="2"/>
      <c r="BE60" s="2"/>
    </row>
    <row r="61" spans="21:57" x14ac:dyDescent="0.2">
      <c r="U61" s="46">
        <f t="shared" si="4"/>
        <v>542</v>
      </c>
      <c r="V61" s="46">
        <f t="shared" si="5"/>
        <v>551</v>
      </c>
      <c r="W61" s="33">
        <f ca="1">IFERROR(AVERAGEIFS(data_brute!M:M,data_brute!J:J,"&lt;="&amp;V61,data_brute!J:J,"&gt;="&amp;U61),NA())</f>
        <v>25.499999999999993</v>
      </c>
      <c r="X61" s="46">
        <f t="shared" ca="1" si="6"/>
        <v>550</v>
      </c>
      <c r="Y61" s="2" t="b">
        <f t="shared" si="0"/>
        <v>0</v>
      </c>
      <c r="Z61" s="2" t="b">
        <f t="shared" si="1"/>
        <v>0</v>
      </c>
      <c r="AE61" s="46">
        <f t="shared" si="16"/>
        <v>542</v>
      </c>
      <c r="AF61" s="46">
        <f t="shared" si="17"/>
        <v>551</v>
      </c>
      <c r="AG61" s="33">
        <f ca="1">IFERROR(AVERAGEIFS(data_brute!M:M,data_brute!J:J,"&gt;="&amp;AE61,data_brute!J:J,"&lt;="&amp;AF61),NA())</f>
        <v>25.499999999999993</v>
      </c>
      <c r="AH61" s="46">
        <f t="shared" ca="1" si="18"/>
        <v>550</v>
      </c>
      <c r="AJ61" s="46">
        <f t="shared" si="19"/>
        <v>542</v>
      </c>
      <c r="AK61" s="46">
        <f t="shared" si="20"/>
        <v>551</v>
      </c>
      <c r="AL61" s="33">
        <f ca="1">IFERROR(AVERAGEIFS(data_brute!M:M,data_brute!J:J,"&lt;="&amp;AK61),NA())</f>
        <v>25.305472727272733</v>
      </c>
      <c r="AM61" s="46">
        <f t="shared" ca="1" si="21"/>
        <v>550</v>
      </c>
      <c r="AN61" s="46" t="b">
        <f t="shared" si="2"/>
        <v>0</v>
      </c>
      <c r="AO61" s="50" t="b">
        <f t="shared" si="3"/>
        <v>0</v>
      </c>
      <c r="AX61" s="2"/>
      <c r="AY61" s="43"/>
      <c r="AZ61" s="44"/>
      <c r="BA61" s="2"/>
      <c r="BB61" s="2"/>
      <c r="BC61" s="2"/>
      <c r="BD61" s="2"/>
      <c r="BE61" s="2"/>
    </row>
    <row r="62" spans="21:57" x14ac:dyDescent="0.2">
      <c r="U62" s="46">
        <f t="shared" si="4"/>
        <v>552</v>
      </c>
      <c r="V62" s="46">
        <f t="shared" si="5"/>
        <v>561</v>
      </c>
      <c r="W62" s="33">
        <f ca="1">IFERROR(AVERAGEIFS(data_brute!M:M,data_brute!J:J,"&lt;="&amp;V62,data_brute!J:J,"&gt;="&amp;U62),NA())</f>
        <v>25.501999999999999</v>
      </c>
      <c r="X62" s="46">
        <f t="shared" ca="1" si="6"/>
        <v>560</v>
      </c>
      <c r="Y62" s="2" t="b">
        <f t="shared" si="0"/>
        <v>0</v>
      </c>
      <c r="Z62" s="2" t="b">
        <f t="shared" si="1"/>
        <v>0</v>
      </c>
      <c r="AE62" s="46">
        <f t="shared" si="16"/>
        <v>552</v>
      </c>
      <c r="AF62" s="46">
        <f t="shared" si="17"/>
        <v>561</v>
      </c>
      <c r="AG62" s="33">
        <f ca="1">IFERROR(AVERAGEIFS(data_brute!M:M,data_brute!J:J,"&gt;="&amp;AE62,data_brute!J:J,"&lt;="&amp;AF62),NA())</f>
        <v>25.501999999999999</v>
      </c>
      <c r="AH62" s="46">
        <f t="shared" ca="1" si="18"/>
        <v>560</v>
      </c>
      <c r="AJ62" s="46">
        <f t="shared" si="19"/>
        <v>552</v>
      </c>
      <c r="AK62" s="46">
        <f t="shared" si="20"/>
        <v>561</v>
      </c>
      <c r="AL62" s="33">
        <f ca="1">IFERROR(AVERAGEIFS(data_brute!M:M,data_brute!J:J,"&lt;="&amp;AK62),NA())</f>
        <v>25.308982142857147</v>
      </c>
      <c r="AM62" s="46">
        <f t="shared" ca="1" si="21"/>
        <v>560</v>
      </c>
      <c r="AN62" s="46" t="b">
        <f t="shared" si="2"/>
        <v>0</v>
      </c>
      <c r="AO62" s="50" t="b">
        <f t="shared" si="3"/>
        <v>0</v>
      </c>
      <c r="AX62" s="2"/>
      <c r="AY62" s="43"/>
      <c r="AZ62" s="44"/>
      <c r="BA62" s="2"/>
      <c r="BB62" s="2"/>
      <c r="BC62" s="2"/>
      <c r="BD62" s="2"/>
      <c r="BE62" s="2"/>
    </row>
    <row r="63" spans="21:57" x14ac:dyDescent="0.2">
      <c r="U63" s="46">
        <f t="shared" si="4"/>
        <v>562</v>
      </c>
      <c r="V63" s="46">
        <f t="shared" si="5"/>
        <v>571</v>
      </c>
      <c r="W63" s="33">
        <f ca="1">IFERROR(AVERAGEIFS(data_brute!M:M,data_brute!J:J,"&lt;="&amp;V63,data_brute!J:J,"&gt;="&amp;U63),NA())</f>
        <v>25.238000000000003</v>
      </c>
      <c r="X63" s="46">
        <f t="shared" ca="1" si="6"/>
        <v>570</v>
      </c>
      <c r="Y63" s="2" t="b">
        <f t="shared" si="0"/>
        <v>0</v>
      </c>
      <c r="Z63" s="2" t="b">
        <f t="shared" si="1"/>
        <v>0</v>
      </c>
      <c r="AE63" s="46">
        <f t="shared" si="16"/>
        <v>562</v>
      </c>
      <c r="AF63" s="46">
        <f t="shared" si="17"/>
        <v>571</v>
      </c>
      <c r="AG63" s="33">
        <f ca="1">IFERROR(AVERAGEIFS(data_brute!M:M,data_brute!J:J,"&gt;="&amp;AE63,data_brute!J:J,"&lt;="&amp;AF63),NA())</f>
        <v>25.238000000000003</v>
      </c>
      <c r="AH63" s="46">
        <f t="shared" ca="1" si="18"/>
        <v>570</v>
      </c>
      <c r="AJ63" s="46">
        <f t="shared" si="19"/>
        <v>562</v>
      </c>
      <c r="AK63" s="46">
        <f t="shared" si="20"/>
        <v>571</v>
      </c>
      <c r="AL63" s="33">
        <f ca="1">IFERROR(AVERAGEIFS(data_brute!M:M,data_brute!J:J,"&lt;="&amp;AK63),NA())</f>
        <v>25.307736842105268</v>
      </c>
      <c r="AM63" s="46">
        <f t="shared" ca="1" si="21"/>
        <v>570</v>
      </c>
      <c r="AN63" s="46" t="b">
        <f t="shared" si="2"/>
        <v>0</v>
      </c>
      <c r="AO63" s="50" t="b">
        <f t="shared" si="3"/>
        <v>0</v>
      </c>
      <c r="AX63" s="2"/>
      <c r="AY63" s="43"/>
      <c r="AZ63" s="44"/>
      <c r="BA63" s="2"/>
      <c r="BB63" s="2"/>
      <c r="BC63" s="2"/>
      <c r="BD63" s="2"/>
      <c r="BE63" s="2"/>
    </row>
    <row r="64" spans="21:57" x14ac:dyDescent="0.2">
      <c r="U64" s="46">
        <f t="shared" si="4"/>
        <v>572</v>
      </c>
      <c r="V64" s="46">
        <f t="shared" si="5"/>
        <v>581</v>
      </c>
      <c r="W64" s="33">
        <f ca="1">IFERROR(AVERAGEIFS(data_brute!M:M,data_brute!J:J,"&lt;="&amp;V64,data_brute!J:J,"&gt;="&amp;U64),NA())</f>
        <v>25.431999999999995</v>
      </c>
      <c r="X64" s="46">
        <f t="shared" ca="1" si="6"/>
        <v>580</v>
      </c>
      <c r="Y64" s="2" t="b">
        <f t="shared" si="0"/>
        <v>0</v>
      </c>
      <c r="Z64" s="2" t="b">
        <f t="shared" si="1"/>
        <v>0</v>
      </c>
      <c r="AE64" s="46">
        <f t="shared" si="16"/>
        <v>572</v>
      </c>
      <c r="AF64" s="46">
        <f t="shared" si="17"/>
        <v>581</v>
      </c>
      <c r="AG64" s="33">
        <f ca="1">IFERROR(AVERAGEIFS(data_brute!M:M,data_brute!J:J,"&gt;="&amp;AE64,data_brute!J:J,"&lt;="&amp;AF64),NA())</f>
        <v>25.431999999999995</v>
      </c>
      <c r="AH64" s="46">
        <f t="shared" ca="1" si="18"/>
        <v>580</v>
      </c>
      <c r="AJ64" s="46">
        <f t="shared" si="19"/>
        <v>572</v>
      </c>
      <c r="AK64" s="46">
        <f t="shared" si="20"/>
        <v>581</v>
      </c>
      <c r="AL64" s="33">
        <f ca="1">IFERROR(AVERAGEIFS(data_brute!M:M,data_brute!J:J,"&lt;="&amp;AK64),NA())</f>
        <v>25.309879310344829</v>
      </c>
      <c r="AM64" s="46">
        <f t="shared" ca="1" si="21"/>
        <v>580</v>
      </c>
      <c r="AN64" s="46" t="b">
        <f t="shared" si="2"/>
        <v>0</v>
      </c>
      <c r="AO64" s="50" t="b">
        <f t="shared" si="3"/>
        <v>0</v>
      </c>
      <c r="AX64" s="2"/>
      <c r="AY64" s="43"/>
      <c r="AZ64" s="44"/>
      <c r="BA64" s="2"/>
      <c r="BB64" s="2"/>
      <c r="BC64" s="2"/>
      <c r="BD64" s="2"/>
      <c r="BE64" s="2"/>
    </row>
    <row r="65" spans="21:57" x14ac:dyDescent="0.2">
      <c r="U65" s="46">
        <f t="shared" si="4"/>
        <v>582</v>
      </c>
      <c r="V65" s="46">
        <f t="shared" si="5"/>
        <v>591</v>
      </c>
      <c r="W65" s="33">
        <f ca="1">IFERROR(AVERAGEIFS(data_brute!M:M,data_brute!J:J,"&lt;="&amp;V65,data_brute!J:J,"&gt;="&amp;U65),NA())</f>
        <v>25.457000000000001</v>
      </c>
      <c r="X65" s="46">
        <f t="shared" ca="1" si="6"/>
        <v>590</v>
      </c>
      <c r="Y65" s="2" t="b">
        <f t="shared" si="0"/>
        <v>0</v>
      </c>
      <c r="Z65" s="2" t="b">
        <f t="shared" si="1"/>
        <v>0</v>
      </c>
      <c r="AE65" s="46">
        <f t="shared" si="16"/>
        <v>582</v>
      </c>
      <c r="AF65" s="46">
        <f t="shared" si="17"/>
        <v>591</v>
      </c>
      <c r="AG65" s="33">
        <f ca="1">IFERROR(AVERAGEIFS(data_brute!M:M,data_brute!J:J,"&gt;="&amp;AE65,data_brute!J:J,"&lt;="&amp;AF65),NA())</f>
        <v>25.457000000000001</v>
      </c>
      <c r="AH65" s="46">
        <f t="shared" ca="1" si="18"/>
        <v>590</v>
      </c>
      <c r="AJ65" s="46">
        <f t="shared" si="19"/>
        <v>582</v>
      </c>
      <c r="AK65" s="46">
        <f t="shared" si="20"/>
        <v>591</v>
      </c>
      <c r="AL65" s="33">
        <f ca="1">IFERROR(AVERAGEIFS(data_brute!M:M,data_brute!J:J,"&lt;="&amp;AK65),NA())</f>
        <v>25.312372881355937</v>
      </c>
      <c r="AM65" s="46">
        <f t="shared" ca="1" si="21"/>
        <v>590</v>
      </c>
      <c r="AN65" s="46" t="b">
        <f t="shared" si="2"/>
        <v>0</v>
      </c>
      <c r="AO65" s="50" t="b">
        <f t="shared" si="3"/>
        <v>0</v>
      </c>
      <c r="AX65" s="2"/>
      <c r="AY65" s="43"/>
      <c r="AZ65" s="44"/>
      <c r="BA65" s="2"/>
      <c r="BB65" s="2"/>
      <c r="BC65" s="2"/>
      <c r="BD65" s="2"/>
      <c r="BE65" s="2"/>
    </row>
    <row r="66" spans="21:57" x14ac:dyDescent="0.2">
      <c r="U66" s="46">
        <f t="shared" si="4"/>
        <v>592</v>
      </c>
      <c r="V66" s="46">
        <f t="shared" si="5"/>
        <v>601</v>
      </c>
      <c r="W66" s="33">
        <f ca="1">IFERROR(AVERAGEIFS(data_brute!M:M,data_brute!J:J,"&lt;="&amp;V66,data_brute!J:J,"&gt;="&amp;U66),NA())</f>
        <v>25.206</v>
      </c>
      <c r="X66" s="46">
        <f t="shared" ca="1" si="6"/>
        <v>600</v>
      </c>
      <c r="Y66" s="2" t="b">
        <f t="shared" si="0"/>
        <v>0</v>
      </c>
      <c r="Z66" s="2" t="b">
        <f t="shared" si="1"/>
        <v>0</v>
      </c>
      <c r="AE66" s="46">
        <f t="shared" si="16"/>
        <v>592</v>
      </c>
      <c r="AF66" s="46">
        <f t="shared" si="17"/>
        <v>601</v>
      </c>
      <c r="AG66" s="33">
        <f ca="1">IFERROR(AVERAGEIFS(data_brute!M:M,data_brute!J:J,"&gt;="&amp;AE66,data_brute!J:J,"&lt;="&amp;AF66),NA())</f>
        <v>25.206</v>
      </c>
      <c r="AH66" s="46">
        <f t="shared" ca="1" si="18"/>
        <v>600</v>
      </c>
      <c r="AJ66" s="46">
        <f t="shared" si="19"/>
        <v>592</v>
      </c>
      <c r="AK66" s="46">
        <f t="shared" si="20"/>
        <v>601</v>
      </c>
      <c r="AL66" s="33">
        <f ca="1">IFERROR(AVERAGEIFS(data_brute!M:M,data_brute!J:J,"&lt;="&amp;AK66),NA())</f>
        <v>25.310600000000004</v>
      </c>
      <c r="AM66" s="46">
        <f t="shared" ca="1" si="21"/>
        <v>600</v>
      </c>
      <c r="AN66" s="46" t="b">
        <f t="shared" si="2"/>
        <v>0</v>
      </c>
      <c r="AO66" s="50" t="b">
        <f t="shared" si="3"/>
        <v>0</v>
      </c>
      <c r="AX66" s="2"/>
      <c r="AY66" s="43"/>
      <c r="AZ66" s="44"/>
      <c r="BA66" s="2"/>
      <c r="BB66" s="2"/>
      <c r="BC66" s="2"/>
      <c r="BD66" s="2"/>
      <c r="BE66" s="2"/>
    </row>
    <row r="67" spans="21:57" x14ac:dyDescent="0.2">
      <c r="U67" s="46">
        <f t="shared" si="4"/>
        <v>602</v>
      </c>
      <c r="V67" s="46">
        <f t="shared" si="5"/>
        <v>611</v>
      </c>
      <c r="W67" s="33">
        <f ca="1">IFERROR(AVERAGEIFS(data_brute!M:M,data_brute!J:J,"&lt;="&amp;V67,data_brute!J:J,"&gt;="&amp;U67),NA())</f>
        <v>25.314999999999998</v>
      </c>
      <c r="X67" s="46">
        <f t="shared" ca="1" si="6"/>
        <v>610</v>
      </c>
      <c r="Y67" s="2" t="b">
        <f t="shared" si="0"/>
        <v>0</v>
      </c>
      <c r="Z67" s="2" t="b">
        <f t="shared" si="1"/>
        <v>0</v>
      </c>
      <c r="AE67" s="46">
        <f t="shared" si="16"/>
        <v>602</v>
      </c>
      <c r="AF67" s="46">
        <f t="shared" si="17"/>
        <v>611</v>
      </c>
      <c r="AG67" s="33">
        <f ca="1">IFERROR(AVERAGEIFS(data_brute!M:M,data_brute!J:J,"&gt;="&amp;AE67,data_brute!J:J,"&lt;="&amp;AF67),NA())</f>
        <v>25.314999999999998</v>
      </c>
      <c r="AH67" s="46">
        <f t="shared" ca="1" si="18"/>
        <v>610</v>
      </c>
      <c r="AJ67" s="46">
        <f t="shared" si="19"/>
        <v>602</v>
      </c>
      <c r="AK67" s="46">
        <f t="shared" si="20"/>
        <v>611</v>
      </c>
      <c r="AL67" s="33">
        <f ca="1">IFERROR(AVERAGEIFS(data_brute!M:M,data_brute!J:J,"&lt;="&amp;AK67),NA())</f>
        <v>25.310672131147541</v>
      </c>
      <c r="AM67" s="46">
        <f t="shared" ca="1" si="21"/>
        <v>610</v>
      </c>
      <c r="AN67" s="46" t="b">
        <f t="shared" si="2"/>
        <v>0</v>
      </c>
      <c r="AO67" s="50" t="b">
        <f t="shared" si="3"/>
        <v>0</v>
      </c>
      <c r="AX67" s="2"/>
      <c r="AY67" s="43"/>
      <c r="AZ67" s="44"/>
      <c r="BA67" s="2"/>
      <c r="BB67" s="2"/>
      <c r="BC67" s="2"/>
      <c r="BD67" s="2"/>
      <c r="BE67" s="2"/>
    </row>
    <row r="68" spans="21:57" x14ac:dyDescent="0.2">
      <c r="U68" s="46">
        <f t="shared" si="4"/>
        <v>612</v>
      </c>
      <c r="V68" s="46">
        <f t="shared" si="5"/>
        <v>621</v>
      </c>
      <c r="W68" s="33">
        <f ca="1">IFERROR(AVERAGEIFS(data_brute!M:M,data_brute!J:J,"&lt;="&amp;V68,data_brute!J:J,"&gt;="&amp;U68),NA())</f>
        <v>25.299000000000003</v>
      </c>
      <c r="X68" s="46">
        <f t="shared" ca="1" si="6"/>
        <v>620</v>
      </c>
      <c r="Y68" s="2" t="b">
        <f t="shared" si="0"/>
        <v>0</v>
      </c>
      <c r="Z68" s="2" t="b">
        <f t="shared" si="1"/>
        <v>0</v>
      </c>
      <c r="AE68" s="46">
        <f t="shared" si="16"/>
        <v>612</v>
      </c>
      <c r="AF68" s="46">
        <f t="shared" si="17"/>
        <v>621</v>
      </c>
      <c r="AG68" s="33">
        <f ca="1">IFERROR(AVERAGEIFS(data_brute!M:M,data_brute!J:J,"&gt;="&amp;AE68,data_brute!J:J,"&lt;="&amp;AF68),NA())</f>
        <v>25.299000000000003</v>
      </c>
      <c r="AH68" s="46">
        <f t="shared" ca="1" si="18"/>
        <v>620</v>
      </c>
      <c r="AJ68" s="46">
        <f t="shared" si="19"/>
        <v>612</v>
      </c>
      <c r="AK68" s="46">
        <f t="shared" si="20"/>
        <v>621</v>
      </c>
      <c r="AL68" s="33">
        <f ca="1">IFERROR(AVERAGEIFS(data_brute!M:M,data_brute!J:J,"&lt;="&amp;AK68),NA())</f>
        <v>25.31048387096774</v>
      </c>
      <c r="AM68" s="46">
        <f t="shared" ca="1" si="21"/>
        <v>620</v>
      </c>
      <c r="AN68" s="46" t="b">
        <f t="shared" si="2"/>
        <v>0</v>
      </c>
      <c r="AO68" s="50" t="b">
        <f t="shared" si="3"/>
        <v>0</v>
      </c>
      <c r="AX68" s="2"/>
      <c r="AY68" s="43"/>
      <c r="AZ68" s="44"/>
      <c r="BA68" s="2"/>
      <c r="BB68" s="2"/>
      <c r="BC68" s="2"/>
      <c r="BD68" s="2"/>
      <c r="BE68" s="2"/>
    </row>
    <row r="69" spans="21:57" x14ac:dyDescent="0.2">
      <c r="U69" s="46">
        <f t="shared" si="4"/>
        <v>622</v>
      </c>
      <c r="V69" s="46">
        <f t="shared" si="5"/>
        <v>631</v>
      </c>
      <c r="W69" s="33">
        <f ca="1">IFERROR(AVERAGEIFS(data_brute!M:M,data_brute!J:J,"&lt;="&amp;V69,data_brute!J:J,"&gt;="&amp;U69),NA())</f>
        <v>25.604999999999997</v>
      </c>
      <c r="X69" s="46">
        <f t="shared" ca="1" si="6"/>
        <v>630</v>
      </c>
      <c r="Y69" s="2" t="b">
        <f t="shared" si="0"/>
        <v>0</v>
      </c>
      <c r="Z69" s="2" t="b">
        <f t="shared" si="1"/>
        <v>0</v>
      </c>
      <c r="AE69" s="46">
        <f t="shared" si="16"/>
        <v>622</v>
      </c>
      <c r="AF69" s="46">
        <f t="shared" si="17"/>
        <v>631</v>
      </c>
      <c r="AG69" s="33">
        <f ca="1">IFERROR(AVERAGEIFS(data_brute!M:M,data_brute!J:J,"&gt;="&amp;AE69,data_brute!J:J,"&lt;="&amp;AF69),NA())</f>
        <v>25.604999999999997</v>
      </c>
      <c r="AH69" s="46">
        <f t="shared" ca="1" si="18"/>
        <v>630</v>
      </c>
      <c r="AJ69" s="46">
        <f t="shared" si="19"/>
        <v>622</v>
      </c>
      <c r="AK69" s="46">
        <f t="shared" si="20"/>
        <v>631</v>
      </c>
      <c r="AL69" s="33">
        <f ca="1">IFERROR(AVERAGEIFS(data_brute!M:M,data_brute!J:J,"&lt;="&amp;AK69),NA())</f>
        <v>25.315158730158732</v>
      </c>
      <c r="AM69" s="46">
        <f t="shared" ca="1" si="21"/>
        <v>630</v>
      </c>
      <c r="AN69" s="46" t="b">
        <f t="shared" si="2"/>
        <v>0</v>
      </c>
      <c r="AO69" s="50" t="b">
        <f t="shared" si="3"/>
        <v>0</v>
      </c>
      <c r="AX69" s="2"/>
      <c r="AY69" s="43"/>
      <c r="AZ69" s="44"/>
      <c r="BA69" s="2"/>
      <c r="BB69" s="2"/>
      <c r="BC69" s="2"/>
      <c r="BD69" s="2"/>
      <c r="BE69" s="2"/>
    </row>
    <row r="70" spans="21:57" x14ac:dyDescent="0.2">
      <c r="U70" s="46">
        <f t="shared" si="4"/>
        <v>632</v>
      </c>
      <c r="V70" s="46">
        <f t="shared" si="5"/>
        <v>641</v>
      </c>
      <c r="W70" s="33">
        <f ca="1">IFERROR(AVERAGEIFS(data_brute!M:M,data_brute!J:J,"&lt;="&amp;V70,data_brute!J:J,"&gt;="&amp;U70),NA())</f>
        <v>25.512999999999998</v>
      </c>
      <c r="X70" s="46">
        <f t="shared" ca="1" si="6"/>
        <v>640</v>
      </c>
      <c r="Y70" s="2" t="b">
        <f t="shared" si="0"/>
        <v>0</v>
      </c>
      <c r="Z70" s="2" t="b">
        <f t="shared" si="1"/>
        <v>0</v>
      </c>
      <c r="AE70" s="46">
        <f t="shared" si="16"/>
        <v>632</v>
      </c>
      <c r="AF70" s="46">
        <f t="shared" si="17"/>
        <v>641</v>
      </c>
      <c r="AG70" s="33">
        <f ca="1">IFERROR(AVERAGEIFS(data_brute!M:M,data_brute!J:J,"&gt;="&amp;AE70,data_brute!J:J,"&lt;="&amp;AF70),NA())</f>
        <v>25.512999999999998</v>
      </c>
      <c r="AH70" s="46">
        <f t="shared" ca="1" si="18"/>
        <v>640</v>
      </c>
      <c r="AJ70" s="46">
        <f t="shared" si="19"/>
        <v>632</v>
      </c>
      <c r="AK70" s="46">
        <f t="shared" si="20"/>
        <v>641</v>
      </c>
      <c r="AL70" s="33">
        <f ca="1">IFERROR(AVERAGEIFS(data_brute!M:M,data_brute!J:J,"&lt;="&amp;AK70),NA())</f>
        <v>25.318249999999999</v>
      </c>
      <c r="AM70" s="46">
        <f t="shared" ca="1" si="21"/>
        <v>640</v>
      </c>
      <c r="AN70" s="46" t="b">
        <f t="shared" si="2"/>
        <v>0</v>
      </c>
      <c r="AO70" s="50" t="b">
        <f t="shared" si="3"/>
        <v>0</v>
      </c>
      <c r="AX70" s="2"/>
      <c r="AY70" s="43"/>
      <c r="AZ70" s="44"/>
      <c r="BA70" s="2"/>
      <c r="BB70" s="2"/>
      <c r="BC70" s="2"/>
      <c r="BD70" s="2"/>
      <c r="BE70" s="2"/>
    </row>
    <row r="71" spans="21:57" x14ac:dyDescent="0.2">
      <c r="U71" s="46">
        <f t="shared" si="4"/>
        <v>642</v>
      </c>
      <c r="V71" s="46">
        <f t="shared" si="5"/>
        <v>651</v>
      </c>
      <c r="W71" s="33">
        <f ca="1">IFERROR(AVERAGEIFS(data_brute!M:M,data_brute!J:J,"&lt;="&amp;V71,data_brute!J:J,"&gt;="&amp;U71),NA())</f>
        <v>25.527999999999999</v>
      </c>
      <c r="X71" s="46">
        <f t="shared" ca="1" si="6"/>
        <v>650</v>
      </c>
      <c r="Y71" s="2" t="b">
        <f t="shared" si="0"/>
        <v>0</v>
      </c>
      <c r="Z71" s="2" t="b">
        <f t="shared" si="1"/>
        <v>0</v>
      </c>
      <c r="AE71" s="46">
        <f t="shared" si="16"/>
        <v>642</v>
      </c>
      <c r="AF71" s="46">
        <f t="shared" si="17"/>
        <v>651</v>
      </c>
      <c r="AG71" s="33">
        <f ca="1">IFERROR(AVERAGEIFS(data_brute!M:M,data_brute!J:J,"&gt;="&amp;AE71,data_brute!J:J,"&lt;="&amp;AF71),NA())</f>
        <v>25.527999999999999</v>
      </c>
      <c r="AH71" s="46">
        <f t="shared" ca="1" si="18"/>
        <v>650</v>
      </c>
      <c r="AJ71" s="46">
        <f t="shared" si="19"/>
        <v>642</v>
      </c>
      <c r="AK71" s="46">
        <f t="shared" si="20"/>
        <v>651</v>
      </c>
      <c r="AL71" s="33">
        <f ca="1">IFERROR(AVERAGEIFS(data_brute!M:M,data_brute!J:J,"&lt;="&amp;AK71),NA())</f>
        <v>25.321476923076926</v>
      </c>
      <c r="AM71" s="46">
        <f t="shared" ca="1" si="21"/>
        <v>650</v>
      </c>
      <c r="AN71" s="46" t="b">
        <f t="shared" si="2"/>
        <v>0</v>
      </c>
      <c r="AO71" s="50" t="b">
        <f t="shared" si="3"/>
        <v>0</v>
      </c>
      <c r="AX71" s="2"/>
      <c r="AY71" s="43"/>
      <c r="AZ71" s="44"/>
      <c r="BA71" s="2"/>
      <c r="BB71" s="2"/>
      <c r="BC71" s="2"/>
      <c r="BD71" s="2"/>
      <c r="BE71" s="2"/>
    </row>
    <row r="72" spans="21:57" x14ac:dyDescent="0.2">
      <c r="U72" s="46">
        <f t="shared" si="4"/>
        <v>652</v>
      </c>
      <c r="V72" s="46">
        <f t="shared" si="5"/>
        <v>661</v>
      </c>
      <c r="W72" s="33">
        <f ca="1">IFERROR(AVERAGEIFS(data_brute!M:M,data_brute!J:J,"&lt;="&amp;V72,data_brute!J:J,"&gt;="&amp;U72),NA())</f>
        <v>25.850999999999999</v>
      </c>
      <c r="X72" s="46">
        <f t="shared" ca="1" si="6"/>
        <v>660</v>
      </c>
      <c r="Y72" s="2" t="b">
        <f t="shared" ref="Y72:Y100" si="22">IF(AND($F$5&gt;=U72,$F$5&lt;=V72,V72=$F$5),TRUE,FALSE)</f>
        <v>0</v>
      </c>
      <c r="Z72" s="2" t="b">
        <f t="shared" ref="Z72:Z100" si="23">IF(AND($F$5&gt;=U72,$F$5&lt;=V72),TRUE,FALSE)</f>
        <v>0</v>
      </c>
      <c r="AE72" s="46">
        <f t="shared" si="16"/>
        <v>652</v>
      </c>
      <c r="AF72" s="46">
        <f t="shared" si="17"/>
        <v>661</v>
      </c>
      <c r="AG72" s="33">
        <f ca="1">IFERROR(AVERAGEIFS(data_brute!M:M,data_brute!J:J,"&gt;="&amp;AE72,data_brute!J:J,"&lt;="&amp;AF72),NA())</f>
        <v>25.850999999999999</v>
      </c>
      <c r="AH72" s="46">
        <f t="shared" ca="1" si="18"/>
        <v>660</v>
      </c>
      <c r="AJ72" s="46">
        <f t="shared" si="19"/>
        <v>652</v>
      </c>
      <c r="AK72" s="46">
        <f t="shared" si="20"/>
        <v>661</v>
      </c>
      <c r="AL72" s="33">
        <f ca="1">IFERROR(AVERAGEIFS(data_brute!M:M,data_brute!J:J,"&lt;="&amp;AK72),NA())</f>
        <v>25.329500000000003</v>
      </c>
      <c r="AM72" s="46">
        <f t="shared" ca="1" si="21"/>
        <v>660</v>
      </c>
      <c r="AN72" s="46" t="b">
        <f t="shared" ref="AN72:AN100" si="24">IF(AND($F$5&gt;=AJ72,$F$5&lt;=AK72,AK72=$F$5),TRUE,FALSE)</f>
        <v>0</v>
      </c>
      <c r="AO72" s="50" t="b">
        <f t="shared" ref="AO72:AO100" si="25">IF(AND($F$5&gt;=AJ72,$F$5&lt;=AK72),TRUE,FALSE)</f>
        <v>0</v>
      </c>
      <c r="AX72" s="2"/>
      <c r="AY72" s="43"/>
      <c r="AZ72" s="44"/>
      <c r="BA72" s="2"/>
      <c r="BB72" s="2"/>
      <c r="BC72" s="2"/>
      <c r="BD72" s="2"/>
      <c r="BE72" s="2"/>
    </row>
    <row r="73" spans="21:57" x14ac:dyDescent="0.2">
      <c r="U73" s="46">
        <f t="shared" ref="U73:U100" si="26">V72+1</f>
        <v>662</v>
      </c>
      <c r="V73" s="46">
        <f t="shared" ref="V73:V100" si="27">U73+$AG$2-1</f>
        <v>671</v>
      </c>
      <c r="W73" s="33">
        <f ca="1">IFERROR(AVERAGEIFS(data_brute!M:M,data_brute!J:J,"&lt;="&amp;V73,data_brute!J:J,"&gt;="&amp;U73),NA())</f>
        <v>25.830000000000002</v>
      </c>
      <c r="X73" s="46">
        <f t="shared" ref="X73:X100" ca="1" si="28">IF(W73&lt;&gt;"",$AG$2*(ROW()-ROW($AH$6)),NA())</f>
        <v>670</v>
      </c>
      <c r="Y73" s="2" t="b">
        <f t="shared" si="22"/>
        <v>0</v>
      </c>
      <c r="Z73" s="2" t="b">
        <f t="shared" si="23"/>
        <v>0</v>
      </c>
      <c r="AE73" s="46">
        <f t="shared" si="16"/>
        <v>662</v>
      </c>
      <c r="AF73" s="46">
        <f t="shared" si="17"/>
        <v>671</v>
      </c>
      <c r="AG73" s="33">
        <f ca="1">IFERROR(AVERAGEIFS(data_brute!M:M,data_brute!J:J,"&gt;="&amp;AE73,data_brute!J:J,"&lt;="&amp;AF73),NA())</f>
        <v>25.830000000000002</v>
      </c>
      <c r="AH73" s="46">
        <f t="shared" ca="1" si="18"/>
        <v>670</v>
      </c>
      <c r="AJ73" s="46">
        <f t="shared" si="19"/>
        <v>662</v>
      </c>
      <c r="AK73" s="46">
        <f t="shared" si="20"/>
        <v>671</v>
      </c>
      <c r="AL73" s="33">
        <f ca="1">IFERROR(AVERAGEIFS(data_brute!M:M,data_brute!J:J,"&lt;="&amp;AK73),NA())</f>
        <v>25.33697014925373</v>
      </c>
      <c r="AM73" s="46">
        <f t="shared" ca="1" si="21"/>
        <v>670</v>
      </c>
      <c r="AN73" s="46" t="b">
        <f t="shared" si="24"/>
        <v>0</v>
      </c>
      <c r="AO73" s="50" t="b">
        <f t="shared" si="25"/>
        <v>0</v>
      </c>
      <c r="AX73" s="2"/>
      <c r="AY73" s="43"/>
      <c r="AZ73" s="44"/>
      <c r="BA73" s="2"/>
      <c r="BB73" s="2"/>
      <c r="BC73" s="2"/>
      <c r="BD73" s="2"/>
      <c r="BE73" s="2"/>
    </row>
    <row r="74" spans="21:57" x14ac:dyDescent="0.2">
      <c r="U74" s="46">
        <f t="shared" si="26"/>
        <v>672</v>
      </c>
      <c r="V74" s="46">
        <f t="shared" si="27"/>
        <v>681</v>
      </c>
      <c r="W74" s="33">
        <f ca="1">IFERROR(AVERAGEIFS(data_brute!M:M,data_brute!J:J,"&lt;="&amp;V74,data_brute!J:J,"&gt;="&amp;U74),NA())</f>
        <v>25.549999999999997</v>
      </c>
      <c r="X74" s="46">
        <f t="shared" ca="1" si="28"/>
        <v>680</v>
      </c>
      <c r="Y74" s="2" t="b">
        <f t="shared" si="22"/>
        <v>0</v>
      </c>
      <c r="Z74" s="2" t="b">
        <f t="shared" si="23"/>
        <v>0</v>
      </c>
      <c r="AE74" s="46">
        <f t="shared" si="16"/>
        <v>672</v>
      </c>
      <c r="AF74" s="46">
        <f t="shared" si="17"/>
        <v>681</v>
      </c>
      <c r="AG74" s="33">
        <f ca="1">IFERROR(AVERAGEIFS(data_brute!M:M,data_brute!J:J,"&gt;="&amp;AE74,data_brute!J:J,"&lt;="&amp;AF74),NA())</f>
        <v>25.549999999999997</v>
      </c>
      <c r="AH74" s="46">
        <f t="shared" ca="1" si="18"/>
        <v>680</v>
      </c>
      <c r="AJ74" s="46">
        <f t="shared" si="19"/>
        <v>672</v>
      </c>
      <c r="AK74" s="46">
        <f t="shared" si="20"/>
        <v>681</v>
      </c>
      <c r="AL74" s="33">
        <f ca="1">IFERROR(AVERAGEIFS(data_brute!M:M,data_brute!J:J,"&lt;="&amp;AK74),NA())</f>
        <v>25.340102941176472</v>
      </c>
      <c r="AM74" s="46">
        <f t="shared" ca="1" si="21"/>
        <v>680</v>
      </c>
      <c r="AN74" s="46" t="b">
        <f t="shared" si="24"/>
        <v>0</v>
      </c>
      <c r="AO74" s="50" t="b">
        <f t="shared" si="25"/>
        <v>0</v>
      </c>
      <c r="AX74" s="2"/>
      <c r="AY74" s="43"/>
      <c r="AZ74" s="44"/>
      <c r="BA74" s="2"/>
      <c r="BB74" s="2"/>
      <c r="BC74" s="2"/>
      <c r="BD74" s="2"/>
      <c r="BE74" s="2"/>
    </row>
    <row r="75" spans="21:57" x14ac:dyDescent="0.2">
      <c r="U75" s="46">
        <f t="shared" si="26"/>
        <v>682</v>
      </c>
      <c r="V75" s="46">
        <f t="shared" si="27"/>
        <v>691</v>
      </c>
      <c r="W75" s="33">
        <f ca="1">IFERROR(AVERAGEIFS(data_brute!M:M,data_brute!J:J,"&lt;="&amp;V75,data_brute!J:J,"&gt;="&amp;U75),NA())</f>
        <v>25.181999999999999</v>
      </c>
      <c r="X75" s="46">
        <f t="shared" ca="1" si="28"/>
        <v>690</v>
      </c>
      <c r="Y75" s="2" t="b">
        <f t="shared" si="22"/>
        <v>0</v>
      </c>
      <c r="Z75" s="2" t="b">
        <f t="shared" si="23"/>
        <v>0</v>
      </c>
      <c r="AE75" s="46">
        <f t="shared" si="16"/>
        <v>682</v>
      </c>
      <c r="AF75" s="46">
        <f t="shared" si="17"/>
        <v>691</v>
      </c>
      <c r="AG75" s="33">
        <f ca="1">IFERROR(AVERAGEIFS(data_brute!M:M,data_brute!J:J,"&gt;="&amp;AE75,data_brute!J:J,"&lt;="&amp;AF75),NA())</f>
        <v>25.181999999999999</v>
      </c>
      <c r="AH75" s="46">
        <f t="shared" ca="1" si="18"/>
        <v>690</v>
      </c>
      <c r="AJ75" s="46">
        <f t="shared" si="19"/>
        <v>682</v>
      </c>
      <c r="AK75" s="46">
        <f t="shared" si="20"/>
        <v>691</v>
      </c>
      <c r="AL75" s="33">
        <f ca="1">IFERROR(AVERAGEIFS(data_brute!M:M,data_brute!J:J,"&lt;="&amp;AK75),NA())</f>
        <v>25.337811594202901</v>
      </c>
      <c r="AM75" s="46">
        <f t="shared" ca="1" si="21"/>
        <v>690</v>
      </c>
      <c r="AN75" s="46" t="b">
        <f t="shared" si="24"/>
        <v>0</v>
      </c>
      <c r="AO75" s="50" t="b">
        <f t="shared" si="25"/>
        <v>0</v>
      </c>
      <c r="AX75" s="2"/>
      <c r="AY75" s="43"/>
      <c r="AZ75" s="44"/>
      <c r="BA75" s="2"/>
      <c r="BB75" s="2"/>
      <c r="BC75" s="2"/>
      <c r="BD75" s="2"/>
      <c r="BE75" s="2"/>
    </row>
    <row r="76" spans="21:57" x14ac:dyDescent="0.2">
      <c r="U76" s="46">
        <f t="shared" si="26"/>
        <v>692</v>
      </c>
      <c r="V76" s="46">
        <f t="shared" si="27"/>
        <v>701</v>
      </c>
      <c r="W76" s="33">
        <f ca="1">IFERROR(AVERAGEIFS(data_brute!M:M,data_brute!J:J,"&lt;="&amp;V76,data_brute!J:J,"&gt;="&amp;U76),NA())</f>
        <v>25.213000000000001</v>
      </c>
      <c r="X76" s="46">
        <f t="shared" ca="1" si="28"/>
        <v>700</v>
      </c>
      <c r="Y76" s="2" t="b">
        <f t="shared" si="22"/>
        <v>0</v>
      </c>
      <c r="Z76" s="2" t="b">
        <f t="shared" si="23"/>
        <v>0</v>
      </c>
      <c r="AE76" s="46">
        <f t="shared" si="16"/>
        <v>692</v>
      </c>
      <c r="AF76" s="46">
        <f t="shared" si="17"/>
        <v>701</v>
      </c>
      <c r="AG76" s="33">
        <f ca="1">IFERROR(AVERAGEIFS(data_brute!M:M,data_brute!J:J,"&gt;="&amp;AE76,data_brute!J:J,"&lt;="&amp;AF76),NA())</f>
        <v>25.213000000000001</v>
      </c>
      <c r="AH76" s="46">
        <f t="shared" ca="1" si="18"/>
        <v>700</v>
      </c>
      <c r="AJ76" s="46">
        <f t="shared" si="19"/>
        <v>692</v>
      </c>
      <c r="AK76" s="46">
        <f t="shared" si="20"/>
        <v>701</v>
      </c>
      <c r="AL76" s="33">
        <f ca="1">IFERROR(AVERAGEIFS(data_brute!M:M,data_brute!J:J,"&lt;="&amp;AK76),NA())</f>
        <v>25.336028571428574</v>
      </c>
      <c r="AM76" s="46">
        <f t="shared" ca="1" si="21"/>
        <v>700</v>
      </c>
      <c r="AN76" s="46" t="b">
        <f t="shared" si="24"/>
        <v>0</v>
      </c>
      <c r="AO76" s="50" t="b">
        <f t="shared" si="25"/>
        <v>0</v>
      </c>
      <c r="AX76" s="2"/>
      <c r="AY76" s="43"/>
      <c r="AZ76" s="44"/>
      <c r="BA76" s="2"/>
      <c r="BB76" s="2"/>
      <c r="BC76" s="2"/>
      <c r="BD76" s="2"/>
      <c r="BE76" s="2"/>
    </row>
    <row r="77" spans="21:57" x14ac:dyDescent="0.2">
      <c r="U77" s="46">
        <f t="shared" si="26"/>
        <v>702</v>
      </c>
      <c r="V77" s="46">
        <f t="shared" si="27"/>
        <v>711</v>
      </c>
      <c r="W77" s="33">
        <f ca="1">IFERROR(AVERAGEIFS(data_brute!M:M,data_brute!J:J,"&lt;="&amp;V77,data_brute!J:J,"&gt;="&amp;U77),NA())</f>
        <v>25.379000000000001</v>
      </c>
      <c r="X77" s="46">
        <f t="shared" ca="1" si="28"/>
        <v>710</v>
      </c>
      <c r="Y77" s="2" t="b">
        <f t="shared" si="22"/>
        <v>0</v>
      </c>
      <c r="Z77" s="2" t="b">
        <f t="shared" si="23"/>
        <v>0</v>
      </c>
      <c r="AE77" s="46">
        <f t="shared" si="16"/>
        <v>702</v>
      </c>
      <c r="AF77" s="46">
        <f t="shared" si="17"/>
        <v>711</v>
      </c>
      <c r="AG77" s="33">
        <f ca="1">IFERROR(AVERAGEIFS(data_brute!M:M,data_brute!J:J,"&gt;="&amp;AE77,data_brute!J:J,"&lt;="&amp;AF77),NA())</f>
        <v>25.379000000000001</v>
      </c>
      <c r="AH77" s="46">
        <f t="shared" ca="1" si="18"/>
        <v>710</v>
      </c>
      <c r="AJ77" s="46">
        <f t="shared" si="19"/>
        <v>702</v>
      </c>
      <c r="AK77" s="46">
        <f t="shared" si="20"/>
        <v>711</v>
      </c>
      <c r="AL77" s="33">
        <f ca="1">IFERROR(AVERAGEIFS(data_brute!M:M,data_brute!J:J,"&lt;="&amp;AK77),NA())</f>
        <v>25.336633802816905</v>
      </c>
      <c r="AM77" s="46">
        <f t="shared" ca="1" si="21"/>
        <v>710</v>
      </c>
      <c r="AN77" s="46" t="b">
        <f t="shared" si="24"/>
        <v>0</v>
      </c>
      <c r="AO77" s="50" t="b">
        <f t="shared" si="25"/>
        <v>0</v>
      </c>
      <c r="AX77" s="2"/>
      <c r="AY77" s="43"/>
      <c r="AZ77" s="44"/>
      <c r="BA77" s="2"/>
      <c r="BB77" s="2"/>
      <c r="BC77" s="2"/>
      <c r="BD77" s="2"/>
      <c r="BE77" s="2"/>
    </row>
    <row r="78" spans="21:57" x14ac:dyDescent="0.2">
      <c r="U78" s="46">
        <f t="shared" si="26"/>
        <v>712</v>
      </c>
      <c r="V78" s="46">
        <f t="shared" si="27"/>
        <v>721</v>
      </c>
      <c r="W78" s="33">
        <f ca="1">IFERROR(AVERAGEIFS(data_brute!M:M,data_brute!J:J,"&lt;="&amp;V78,data_brute!J:J,"&gt;="&amp;U78),NA())</f>
        <v>25.067</v>
      </c>
      <c r="X78" s="46">
        <f t="shared" ca="1" si="28"/>
        <v>720</v>
      </c>
      <c r="Y78" s="2" t="b">
        <f t="shared" si="22"/>
        <v>0</v>
      </c>
      <c r="Z78" s="2" t="b">
        <f t="shared" si="23"/>
        <v>0</v>
      </c>
      <c r="AE78" s="46">
        <f t="shared" si="16"/>
        <v>712</v>
      </c>
      <c r="AF78" s="46">
        <f t="shared" si="17"/>
        <v>721</v>
      </c>
      <c r="AG78" s="33">
        <f ca="1">IFERROR(AVERAGEIFS(data_brute!M:M,data_brute!J:J,"&gt;="&amp;AE78,data_brute!J:J,"&lt;="&amp;AF78),NA())</f>
        <v>25.067</v>
      </c>
      <c r="AH78" s="46">
        <f t="shared" ca="1" si="18"/>
        <v>720</v>
      </c>
      <c r="AJ78" s="46">
        <f t="shared" si="19"/>
        <v>712</v>
      </c>
      <c r="AK78" s="46">
        <f t="shared" si="20"/>
        <v>721</v>
      </c>
      <c r="AL78" s="33">
        <f ca="1">IFERROR(AVERAGEIFS(data_brute!M:M,data_brute!J:J,"&lt;="&amp;AK78),NA())</f>
        <v>25.332888888888888</v>
      </c>
      <c r="AM78" s="46">
        <f t="shared" ca="1" si="21"/>
        <v>720</v>
      </c>
      <c r="AN78" s="46" t="b">
        <f t="shared" si="24"/>
        <v>0</v>
      </c>
      <c r="AO78" s="50" t="b">
        <f t="shared" si="25"/>
        <v>0</v>
      </c>
      <c r="AX78" s="2"/>
      <c r="AY78" s="43"/>
      <c r="AZ78" s="44"/>
      <c r="BA78" s="2"/>
      <c r="BB78" s="2"/>
      <c r="BC78" s="2"/>
      <c r="BD78" s="2"/>
      <c r="BE78" s="2"/>
    </row>
    <row r="79" spans="21:57" x14ac:dyDescent="0.2">
      <c r="U79" s="46">
        <f t="shared" si="26"/>
        <v>722</v>
      </c>
      <c r="V79" s="46">
        <f t="shared" si="27"/>
        <v>731</v>
      </c>
      <c r="W79" s="33">
        <f ca="1">IFERROR(AVERAGEIFS(data_brute!M:M,data_brute!J:J,"&lt;="&amp;V79,data_brute!J:J,"&gt;="&amp;U79),NA())</f>
        <v>25.317999999999998</v>
      </c>
      <c r="X79" s="46">
        <f t="shared" ca="1" si="28"/>
        <v>730</v>
      </c>
      <c r="Y79" s="2" t="b">
        <f t="shared" si="22"/>
        <v>0</v>
      </c>
      <c r="Z79" s="2" t="b">
        <f t="shared" si="23"/>
        <v>0</v>
      </c>
      <c r="AE79" s="46">
        <f t="shared" si="16"/>
        <v>722</v>
      </c>
      <c r="AF79" s="46">
        <f t="shared" si="17"/>
        <v>731</v>
      </c>
      <c r="AG79" s="33">
        <f ca="1">IFERROR(AVERAGEIFS(data_brute!M:M,data_brute!J:J,"&gt;="&amp;AE79,data_brute!J:J,"&lt;="&amp;AF79),NA())</f>
        <v>25.317999999999998</v>
      </c>
      <c r="AH79" s="46">
        <f t="shared" ca="1" si="18"/>
        <v>730</v>
      </c>
      <c r="AJ79" s="46">
        <f t="shared" si="19"/>
        <v>722</v>
      </c>
      <c r="AK79" s="46">
        <f t="shared" si="20"/>
        <v>731</v>
      </c>
      <c r="AL79" s="33">
        <f ca="1">IFERROR(AVERAGEIFS(data_brute!M:M,data_brute!J:J,"&lt;="&amp;AK79),NA())</f>
        <v>25.332684931506854</v>
      </c>
      <c r="AM79" s="46">
        <f t="shared" ca="1" si="21"/>
        <v>730</v>
      </c>
      <c r="AN79" s="46" t="b">
        <f t="shared" si="24"/>
        <v>0</v>
      </c>
      <c r="AO79" s="50" t="b">
        <f t="shared" si="25"/>
        <v>0</v>
      </c>
      <c r="AX79" s="2"/>
      <c r="AY79" s="43"/>
      <c r="AZ79" s="44"/>
      <c r="BA79" s="2"/>
      <c r="BB79" s="2"/>
      <c r="BC79" s="2"/>
      <c r="BD79" s="2"/>
      <c r="BE79" s="2"/>
    </row>
    <row r="80" spans="21:57" x14ac:dyDescent="0.2">
      <c r="U80" s="46">
        <f t="shared" si="26"/>
        <v>732</v>
      </c>
      <c r="V80" s="46">
        <f t="shared" si="27"/>
        <v>741</v>
      </c>
      <c r="W80" s="33">
        <f ca="1">IFERROR(AVERAGEIFS(data_brute!M:M,data_brute!J:J,"&lt;="&amp;V80,data_brute!J:J,"&gt;="&amp;U80),NA())</f>
        <v>25.458999999999996</v>
      </c>
      <c r="X80" s="46">
        <f t="shared" ca="1" si="28"/>
        <v>740</v>
      </c>
      <c r="Y80" s="2" t="b">
        <f t="shared" si="22"/>
        <v>0</v>
      </c>
      <c r="Z80" s="2" t="b">
        <f t="shared" si="23"/>
        <v>0</v>
      </c>
      <c r="AE80" s="46">
        <f t="shared" si="16"/>
        <v>732</v>
      </c>
      <c r="AF80" s="46">
        <f t="shared" si="17"/>
        <v>741</v>
      </c>
      <c r="AG80" s="33">
        <f ca="1">IFERROR(AVERAGEIFS(data_brute!M:M,data_brute!J:J,"&gt;="&amp;AE80,data_brute!J:J,"&lt;="&amp;AF80),NA())</f>
        <v>25.458999999999996</v>
      </c>
      <c r="AH80" s="46">
        <f t="shared" ca="1" si="18"/>
        <v>740</v>
      </c>
      <c r="AJ80" s="46">
        <f t="shared" si="19"/>
        <v>732</v>
      </c>
      <c r="AK80" s="46">
        <f t="shared" si="20"/>
        <v>741</v>
      </c>
      <c r="AL80" s="33">
        <f ca="1">IFERROR(AVERAGEIFS(data_brute!M:M,data_brute!J:J,"&lt;="&amp;AK80),NA())</f>
        <v>25.334391891891894</v>
      </c>
      <c r="AM80" s="46">
        <f t="shared" ca="1" si="21"/>
        <v>740</v>
      </c>
      <c r="AN80" s="46" t="b">
        <f t="shared" si="24"/>
        <v>0</v>
      </c>
      <c r="AO80" s="50" t="b">
        <f t="shared" si="25"/>
        <v>0</v>
      </c>
      <c r="AX80" s="2"/>
      <c r="AY80" s="43"/>
      <c r="AZ80" s="44"/>
      <c r="BA80" s="2"/>
      <c r="BB80" s="2"/>
      <c r="BC80" s="2"/>
      <c r="BD80" s="2"/>
      <c r="BE80" s="2"/>
    </row>
    <row r="81" spans="21:57" x14ac:dyDescent="0.2">
      <c r="U81" s="46">
        <f t="shared" si="26"/>
        <v>742</v>
      </c>
      <c r="V81" s="46">
        <f t="shared" si="27"/>
        <v>751</v>
      </c>
      <c r="W81" s="33">
        <f ca="1">IFERROR(AVERAGEIFS(data_brute!M:M,data_brute!J:J,"&lt;="&amp;V81,data_brute!J:J,"&gt;="&amp;U81),NA())</f>
        <v>25.538</v>
      </c>
      <c r="X81" s="46">
        <f t="shared" ca="1" si="28"/>
        <v>750</v>
      </c>
      <c r="Y81" s="2" t="b">
        <f t="shared" si="22"/>
        <v>0</v>
      </c>
      <c r="Z81" s="2" t="b">
        <f t="shared" si="23"/>
        <v>0</v>
      </c>
      <c r="AE81" s="46">
        <f t="shared" si="16"/>
        <v>742</v>
      </c>
      <c r="AF81" s="46">
        <f t="shared" si="17"/>
        <v>751</v>
      </c>
      <c r="AG81" s="33">
        <f ca="1">IFERROR(AVERAGEIFS(data_brute!M:M,data_brute!J:J,"&gt;="&amp;AE81,data_brute!J:J,"&lt;="&amp;AF81),NA())</f>
        <v>25.538</v>
      </c>
      <c r="AH81" s="46">
        <f t="shared" ca="1" si="18"/>
        <v>750</v>
      </c>
      <c r="AJ81" s="46">
        <f t="shared" si="19"/>
        <v>742</v>
      </c>
      <c r="AK81" s="46">
        <f t="shared" si="20"/>
        <v>751</v>
      </c>
      <c r="AL81" s="33">
        <f ca="1">IFERROR(AVERAGEIFS(data_brute!M:M,data_brute!J:J,"&lt;="&amp;AK81),NA())</f>
        <v>25.337106666666674</v>
      </c>
      <c r="AM81" s="46">
        <f t="shared" ca="1" si="21"/>
        <v>750</v>
      </c>
      <c r="AN81" s="46" t="b">
        <f t="shared" si="24"/>
        <v>0</v>
      </c>
      <c r="AO81" s="50" t="b">
        <f t="shared" si="25"/>
        <v>0</v>
      </c>
      <c r="AX81" s="2"/>
      <c r="AY81" s="43"/>
      <c r="AZ81" s="44"/>
      <c r="BA81" s="2"/>
      <c r="BB81" s="2"/>
      <c r="BC81" s="2"/>
      <c r="BD81" s="2"/>
      <c r="BE81" s="2"/>
    </row>
    <row r="82" spans="21:57" x14ac:dyDescent="0.2">
      <c r="U82" s="46">
        <f t="shared" si="26"/>
        <v>752</v>
      </c>
      <c r="V82" s="46">
        <f t="shared" si="27"/>
        <v>761</v>
      </c>
      <c r="W82" s="33">
        <f ca="1">IFERROR(AVERAGEIFS(data_brute!M:M,data_brute!J:J,"&lt;="&amp;V82,data_brute!J:J,"&gt;="&amp;U82),NA())</f>
        <v>25.399000000000004</v>
      </c>
      <c r="X82" s="46">
        <f t="shared" ca="1" si="28"/>
        <v>760</v>
      </c>
      <c r="Y82" s="2" t="b">
        <f t="shared" si="22"/>
        <v>0</v>
      </c>
      <c r="Z82" s="2" t="b">
        <f t="shared" si="23"/>
        <v>0</v>
      </c>
      <c r="AE82" s="46">
        <f t="shared" si="16"/>
        <v>752</v>
      </c>
      <c r="AF82" s="46">
        <f t="shared" si="17"/>
        <v>761</v>
      </c>
      <c r="AG82" s="33">
        <f ca="1">IFERROR(AVERAGEIFS(data_brute!M:M,data_brute!J:J,"&gt;="&amp;AE82,data_brute!J:J,"&lt;="&amp;AF82),NA())</f>
        <v>25.399000000000004</v>
      </c>
      <c r="AH82" s="46">
        <f t="shared" ca="1" si="18"/>
        <v>760</v>
      </c>
      <c r="AJ82" s="46">
        <f t="shared" si="19"/>
        <v>752</v>
      </c>
      <c r="AK82" s="46">
        <f t="shared" si="20"/>
        <v>761</v>
      </c>
      <c r="AL82" s="33">
        <f ca="1">IFERROR(AVERAGEIFS(data_brute!M:M,data_brute!J:J,"&lt;="&amp;AK82),NA())</f>
        <v>25.337921052631589</v>
      </c>
      <c r="AM82" s="46">
        <f t="shared" ca="1" si="21"/>
        <v>760</v>
      </c>
      <c r="AN82" s="46" t="b">
        <f t="shared" si="24"/>
        <v>0</v>
      </c>
      <c r="AO82" s="50" t="b">
        <f t="shared" si="25"/>
        <v>0</v>
      </c>
      <c r="AX82" s="2"/>
      <c r="AY82" s="43"/>
      <c r="AZ82" s="44"/>
      <c r="BA82" s="2"/>
      <c r="BB82" s="2"/>
      <c r="BC82" s="2"/>
      <c r="BD82" s="2"/>
      <c r="BE82" s="2"/>
    </row>
    <row r="83" spans="21:57" x14ac:dyDescent="0.2">
      <c r="U83" s="46">
        <f t="shared" si="26"/>
        <v>762</v>
      </c>
      <c r="V83" s="46">
        <f t="shared" si="27"/>
        <v>771</v>
      </c>
      <c r="W83" s="33">
        <f ca="1">IFERROR(AVERAGEIFS(data_brute!M:M,data_brute!J:J,"&lt;="&amp;V83,data_brute!J:J,"&gt;="&amp;U83),NA())</f>
        <v>25.442</v>
      </c>
      <c r="X83" s="46">
        <f t="shared" ca="1" si="28"/>
        <v>770</v>
      </c>
      <c r="Y83" s="2" t="b">
        <f t="shared" si="22"/>
        <v>0</v>
      </c>
      <c r="Z83" s="2" t="b">
        <f t="shared" si="23"/>
        <v>0</v>
      </c>
      <c r="AE83" s="46">
        <f t="shared" si="16"/>
        <v>762</v>
      </c>
      <c r="AF83" s="46">
        <f t="shared" si="17"/>
        <v>771</v>
      </c>
      <c r="AG83" s="33">
        <f ca="1">IFERROR(AVERAGEIFS(data_brute!M:M,data_brute!J:J,"&gt;="&amp;AE83,data_brute!J:J,"&lt;="&amp;AF83),NA())</f>
        <v>25.442</v>
      </c>
      <c r="AH83" s="46">
        <f t="shared" ca="1" si="18"/>
        <v>770</v>
      </c>
      <c r="AJ83" s="46">
        <f t="shared" si="19"/>
        <v>762</v>
      </c>
      <c r="AK83" s="46">
        <f t="shared" si="20"/>
        <v>771</v>
      </c>
      <c r="AL83" s="33">
        <f ca="1">IFERROR(AVERAGEIFS(data_brute!M:M,data_brute!J:J,"&lt;="&amp;AK83),NA())</f>
        <v>25.339272727272736</v>
      </c>
      <c r="AM83" s="46">
        <f t="shared" ca="1" si="21"/>
        <v>770</v>
      </c>
      <c r="AN83" s="46" t="b">
        <f t="shared" si="24"/>
        <v>0</v>
      </c>
      <c r="AO83" s="50" t="b">
        <f t="shared" si="25"/>
        <v>0</v>
      </c>
      <c r="AX83" s="2"/>
      <c r="AY83" s="43"/>
      <c r="AZ83" s="44"/>
      <c r="BA83" s="2"/>
      <c r="BB83" s="2"/>
      <c r="BC83" s="2"/>
      <c r="BD83" s="2"/>
      <c r="BE83" s="2"/>
    </row>
    <row r="84" spans="21:57" x14ac:dyDescent="0.2">
      <c r="U84" s="46">
        <f t="shared" si="26"/>
        <v>772</v>
      </c>
      <c r="V84" s="46">
        <f t="shared" si="27"/>
        <v>781</v>
      </c>
      <c r="W84" s="33">
        <f ca="1">IFERROR(AVERAGEIFS(data_brute!M:M,data_brute!J:J,"&lt;="&amp;V84,data_brute!J:J,"&gt;="&amp;U84),NA())</f>
        <v>25.621999999999996</v>
      </c>
      <c r="X84" s="46">
        <f t="shared" ca="1" si="28"/>
        <v>780</v>
      </c>
      <c r="Y84" s="2" t="b">
        <f t="shared" si="22"/>
        <v>0</v>
      </c>
      <c r="Z84" s="2" t="b">
        <f t="shared" si="23"/>
        <v>0</v>
      </c>
      <c r="AE84" s="46">
        <f t="shared" si="16"/>
        <v>772</v>
      </c>
      <c r="AF84" s="46">
        <f t="shared" si="17"/>
        <v>781</v>
      </c>
      <c r="AG84" s="33">
        <f ca="1">IFERROR(AVERAGEIFS(data_brute!M:M,data_brute!J:J,"&gt;="&amp;AE84,data_brute!J:J,"&lt;="&amp;AF84),NA())</f>
        <v>25.621999999999996</v>
      </c>
      <c r="AH84" s="46">
        <f t="shared" ca="1" si="18"/>
        <v>780</v>
      </c>
      <c r="AJ84" s="46">
        <f t="shared" si="19"/>
        <v>772</v>
      </c>
      <c r="AK84" s="46">
        <f t="shared" si="20"/>
        <v>781</v>
      </c>
      <c r="AL84" s="33">
        <f ca="1">IFERROR(AVERAGEIFS(data_brute!M:M,data_brute!J:J,"&lt;="&amp;AK84),NA())</f>
        <v>25.342897435897445</v>
      </c>
      <c r="AM84" s="46">
        <f t="shared" ca="1" si="21"/>
        <v>780</v>
      </c>
      <c r="AN84" s="46" t="b">
        <f t="shared" si="24"/>
        <v>0</v>
      </c>
      <c r="AO84" s="50" t="b">
        <f t="shared" si="25"/>
        <v>0</v>
      </c>
      <c r="AX84" s="2"/>
      <c r="AY84" s="43"/>
      <c r="AZ84" s="44"/>
      <c r="BA84" s="2"/>
      <c r="BB84" s="2"/>
      <c r="BC84" s="2"/>
      <c r="BD84" s="2"/>
      <c r="BE84" s="2"/>
    </row>
    <row r="85" spans="21:57" x14ac:dyDescent="0.2">
      <c r="U85" s="46">
        <f t="shared" si="26"/>
        <v>782</v>
      </c>
      <c r="V85" s="46">
        <f t="shared" si="27"/>
        <v>791</v>
      </c>
      <c r="W85" s="33">
        <f ca="1">IFERROR(AVERAGEIFS(data_brute!M:M,data_brute!J:J,"&lt;="&amp;V85,data_brute!J:J,"&gt;="&amp;U85),NA())</f>
        <v>25.464999999999996</v>
      </c>
      <c r="X85" s="46">
        <f t="shared" ca="1" si="28"/>
        <v>790</v>
      </c>
      <c r="Y85" s="2" t="b">
        <f t="shared" si="22"/>
        <v>0</v>
      </c>
      <c r="Z85" s="2" t="b">
        <f t="shared" si="23"/>
        <v>0</v>
      </c>
      <c r="AE85" s="46">
        <f t="shared" si="16"/>
        <v>782</v>
      </c>
      <c r="AF85" s="46">
        <f t="shared" si="17"/>
        <v>791</v>
      </c>
      <c r="AG85" s="33">
        <f ca="1">IFERROR(AVERAGEIFS(data_brute!M:M,data_brute!J:J,"&gt;="&amp;AE85,data_brute!J:J,"&lt;="&amp;AF85),NA())</f>
        <v>25.464999999999996</v>
      </c>
      <c r="AH85" s="46">
        <f t="shared" ca="1" si="18"/>
        <v>790</v>
      </c>
      <c r="AJ85" s="46">
        <f t="shared" si="19"/>
        <v>782</v>
      </c>
      <c r="AK85" s="46">
        <f t="shared" si="20"/>
        <v>791</v>
      </c>
      <c r="AL85" s="33">
        <f ca="1">IFERROR(AVERAGEIFS(data_brute!M:M,data_brute!J:J,"&lt;="&amp;AK85),NA())</f>
        <v>25.344443037974688</v>
      </c>
      <c r="AM85" s="46">
        <f t="shared" ca="1" si="21"/>
        <v>790</v>
      </c>
      <c r="AN85" s="46" t="b">
        <f t="shared" si="24"/>
        <v>0</v>
      </c>
      <c r="AO85" s="50" t="b">
        <f t="shared" si="25"/>
        <v>0</v>
      </c>
      <c r="AX85" s="2"/>
      <c r="AY85" s="43"/>
      <c r="AZ85" s="44"/>
      <c r="BA85" s="2"/>
      <c r="BB85" s="2"/>
      <c r="BC85" s="2"/>
      <c r="BD85" s="2"/>
      <c r="BE85" s="2"/>
    </row>
    <row r="86" spans="21:57" x14ac:dyDescent="0.2">
      <c r="U86" s="46">
        <f t="shared" si="26"/>
        <v>792</v>
      </c>
      <c r="V86" s="46">
        <f t="shared" si="27"/>
        <v>801</v>
      </c>
      <c r="W86" s="33">
        <f ca="1">IFERROR(AVERAGEIFS(data_brute!M:M,data_brute!J:J,"&lt;="&amp;V86,data_brute!J:J,"&gt;="&amp;U86),NA())</f>
        <v>25.276000000000003</v>
      </c>
      <c r="X86" s="46">
        <f t="shared" ca="1" si="28"/>
        <v>800</v>
      </c>
      <c r="Y86" s="2" t="b">
        <f t="shared" si="22"/>
        <v>0</v>
      </c>
      <c r="Z86" s="2" t="b">
        <f t="shared" si="23"/>
        <v>0</v>
      </c>
      <c r="AE86" s="46">
        <f t="shared" si="16"/>
        <v>792</v>
      </c>
      <c r="AF86" s="46">
        <f t="shared" si="17"/>
        <v>801</v>
      </c>
      <c r="AG86" s="33">
        <f ca="1">IFERROR(AVERAGEIFS(data_brute!M:M,data_brute!J:J,"&gt;="&amp;AE86,data_brute!J:J,"&lt;="&amp;AF86),NA())</f>
        <v>25.276000000000003</v>
      </c>
      <c r="AH86" s="46">
        <f t="shared" ca="1" si="18"/>
        <v>800</v>
      </c>
      <c r="AJ86" s="46">
        <f t="shared" si="19"/>
        <v>792</v>
      </c>
      <c r="AK86" s="46">
        <f t="shared" si="20"/>
        <v>801</v>
      </c>
      <c r="AL86" s="33">
        <f ca="1">IFERROR(AVERAGEIFS(data_brute!M:M,data_brute!J:J,"&lt;="&amp;AK86),NA())</f>
        <v>25.343587500000009</v>
      </c>
      <c r="AM86" s="46">
        <f t="shared" ca="1" si="21"/>
        <v>800</v>
      </c>
      <c r="AN86" s="46" t="b">
        <f t="shared" si="24"/>
        <v>0</v>
      </c>
      <c r="AO86" s="50" t="b">
        <f t="shared" si="25"/>
        <v>0</v>
      </c>
      <c r="AX86" s="2"/>
      <c r="AY86" s="43"/>
      <c r="AZ86" s="44"/>
      <c r="BA86" s="2"/>
      <c r="BB86" s="2"/>
      <c r="BC86" s="2"/>
      <c r="BD86" s="2"/>
      <c r="BE86" s="2"/>
    </row>
    <row r="87" spans="21:57" x14ac:dyDescent="0.2">
      <c r="U87" s="46">
        <f t="shared" si="26"/>
        <v>802</v>
      </c>
      <c r="V87" s="46">
        <f t="shared" si="27"/>
        <v>811</v>
      </c>
      <c r="W87" s="33">
        <f ca="1">IFERROR(AVERAGEIFS(data_brute!M:M,data_brute!J:J,"&lt;="&amp;V87,data_brute!J:J,"&gt;="&amp;U87),NA())</f>
        <v>25.183999999999994</v>
      </c>
      <c r="X87" s="46">
        <f t="shared" ca="1" si="28"/>
        <v>810</v>
      </c>
      <c r="Y87" s="2" t="b">
        <f t="shared" si="22"/>
        <v>0</v>
      </c>
      <c r="Z87" s="2" t="b">
        <f t="shared" si="23"/>
        <v>0</v>
      </c>
      <c r="AE87" s="46">
        <f t="shared" si="16"/>
        <v>802</v>
      </c>
      <c r="AF87" s="46">
        <f t="shared" si="17"/>
        <v>811</v>
      </c>
      <c r="AG87" s="33">
        <f ca="1">IFERROR(AVERAGEIFS(data_brute!M:M,data_brute!J:J,"&gt;="&amp;AE87,data_brute!J:J,"&lt;="&amp;AF87),NA())</f>
        <v>25.183999999999994</v>
      </c>
      <c r="AH87" s="46">
        <f t="shared" ca="1" si="18"/>
        <v>810</v>
      </c>
      <c r="AJ87" s="46">
        <f t="shared" si="19"/>
        <v>802</v>
      </c>
      <c r="AK87" s="46">
        <f t="shared" si="20"/>
        <v>811</v>
      </c>
      <c r="AL87" s="33">
        <f ca="1">IFERROR(AVERAGEIFS(data_brute!M:M,data_brute!J:J,"&lt;="&amp;AK87),NA())</f>
        <v>25.341617283950615</v>
      </c>
      <c r="AM87" s="46">
        <f t="shared" ca="1" si="21"/>
        <v>810</v>
      </c>
      <c r="AN87" s="46" t="b">
        <f t="shared" si="24"/>
        <v>0</v>
      </c>
      <c r="AO87" s="50" t="b">
        <f t="shared" si="25"/>
        <v>0</v>
      </c>
      <c r="AX87" s="2"/>
      <c r="AY87" s="43"/>
      <c r="AZ87" s="44"/>
      <c r="BA87" s="2"/>
      <c r="BB87" s="2"/>
      <c r="BC87" s="2"/>
      <c r="BD87" s="2"/>
      <c r="BE87" s="2"/>
    </row>
    <row r="88" spans="21:57" x14ac:dyDescent="0.2">
      <c r="U88" s="46">
        <f t="shared" si="26"/>
        <v>812</v>
      </c>
      <c r="V88" s="46">
        <f t="shared" si="27"/>
        <v>821</v>
      </c>
      <c r="W88" s="33">
        <f ca="1">IFERROR(AVERAGEIFS(data_brute!M:M,data_brute!J:J,"&lt;="&amp;V88,data_brute!J:J,"&gt;="&amp;U88),NA())</f>
        <v>25.401999999999997</v>
      </c>
      <c r="X88" s="46">
        <f t="shared" ca="1" si="28"/>
        <v>820</v>
      </c>
      <c r="Y88" s="2" t="b">
        <f t="shared" si="22"/>
        <v>0</v>
      </c>
      <c r="Z88" s="2" t="b">
        <f t="shared" si="23"/>
        <v>0</v>
      </c>
      <c r="AE88" s="46">
        <f t="shared" si="16"/>
        <v>812</v>
      </c>
      <c r="AF88" s="46">
        <f t="shared" si="17"/>
        <v>821</v>
      </c>
      <c r="AG88" s="33">
        <f ca="1">IFERROR(AVERAGEIFS(data_brute!M:M,data_brute!J:J,"&gt;="&amp;AE88,data_brute!J:J,"&lt;="&amp;AF88),NA())</f>
        <v>25.401999999999997</v>
      </c>
      <c r="AH88" s="46">
        <f t="shared" ca="1" si="18"/>
        <v>820</v>
      </c>
      <c r="AJ88" s="46">
        <f t="shared" si="19"/>
        <v>812</v>
      </c>
      <c r="AK88" s="46">
        <f t="shared" si="20"/>
        <v>821</v>
      </c>
      <c r="AL88" s="33">
        <f ca="1">IFERROR(AVERAGEIFS(data_brute!M:M,data_brute!J:J,"&lt;="&amp;AK88),NA())</f>
        <v>25.342353658536585</v>
      </c>
      <c r="AM88" s="46">
        <f t="shared" ca="1" si="21"/>
        <v>820</v>
      </c>
      <c r="AN88" s="46" t="b">
        <f t="shared" si="24"/>
        <v>0</v>
      </c>
      <c r="AO88" s="50" t="b">
        <f t="shared" si="25"/>
        <v>0</v>
      </c>
      <c r="AX88" s="2"/>
      <c r="AY88" s="43"/>
      <c r="AZ88" s="44"/>
      <c r="BA88" s="2"/>
      <c r="BB88" s="2"/>
      <c r="BC88" s="2"/>
      <c r="BD88" s="2"/>
      <c r="BE88" s="2"/>
    </row>
    <row r="89" spans="21:57" x14ac:dyDescent="0.2">
      <c r="U89" s="46">
        <f t="shared" si="26"/>
        <v>822</v>
      </c>
      <c r="V89" s="46">
        <f t="shared" si="27"/>
        <v>831</v>
      </c>
      <c r="W89" s="33">
        <f ca="1">IFERROR(AVERAGEIFS(data_brute!M:M,data_brute!J:J,"&lt;="&amp;V89,data_brute!J:J,"&gt;="&amp;U89),NA())</f>
        <v>25.286999999999999</v>
      </c>
      <c r="X89" s="46">
        <f t="shared" ca="1" si="28"/>
        <v>830</v>
      </c>
      <c r="Y89" s="2" t="b">
        <f t="shared" si="22"/>
        <v>0</v>
      </c>
      <c r="Z89" s="2" t="b">
        <f t="shared" si="23"/>
        <v>0</v>
      </c>
      <c r="AE89" s="46">
        <f t="shared" si="16"/>
        <v>822</v>
      </c>
      <c r="AF89" s="46">
        <f t="shared" si="17"/>
        <v>831</v>
      </c>
      <c r="AG89" s="33">
        <f ca="1">IFERROR(AVERAGEIFS(data_brute!M:M,data_brute!J:J,"&gt;="&amp;AE89,data_brute!J:J,"&lt;="&amp;AF89),NA())</f>
        <v>25.286999999999999</v>
      </c>
      <c r="AH89" s="46">
        <f t="shared" ca="1" si="18"/>
        <v>830</v>
      </c>
      <c r="AJ89" s="46">
        <f t="shared" si="19"/>
        <v>822</v>
      </c>
      <c r="AK89" s="46">
        <f t="shared" si="20"/>
        <v>831</v>
      </c>
      <c r="AL89" s="33">
        <f ca="1">IFERROR(AVERAGEIFS(data_brute!M:M,data_brute!J:J,"&lt;="&amp;AK89),NA())</f>
        <v>25.341686746987946</v>
      </c>
      <c r="AM89" s="46">
        <f t="shared" ca="1" si="21"/>
        <v>830</v>
      </c>
      <c r="AN89" s="46" t="b">
        <f t="shared" si="24"/>
        <v>0</v>
      </c>
      <c r="AO89" s="50" t="b">
        <f t="shared" si="25"/>
        <v>0</v>
      </c>
      <c r="AX89" s="2"/>
      <c r="AY89" s="43"/>
      <c r="AZ89" s="44"/>
      <c r="BA89" s="2"/>
      <c r="BB89" s="2"/>
      <c r="BC89" s="2"/>
      <c r="BD89" s="2"/>
      <c r="BE89" s="2"/>
    </row>
    <row r="90" spans="21:57" x14ac:dyDescent="0.2">
      <c r="U90" s="46">
        <f t="shared" si="26"/>
        <v>832</v>
      </c>
      <c r="V90" s="46">
        <f t="shared" si="27"/>
        <v>841</v>
      </c>
      <c r="W90" s="33">
        <f ca="1">IFERROR(AVERAGEIFS(data_brute!M:M,data_brute!J:J,"&lt;="&amp;V90,data_brute!J:J,"&gt;="&amp;U90),NA())</f>
        <v>25.380999999999997</v>
      </c>
      <c r="X90" s="46">
        <f t="shared" ca="1" si="28"/>
        <v>840</v>
      </c>
      <c r="Y90" s="2" t="b">
        <f t="shared" si="22"/>
        <v>0</v>
      </c>
      <c r="Z90" s="2" t="b">
        <f t="shared" si="23"/>
        <v>0</v>
      </c>
      <c r="AE90" s="46">
        <f t="shared" si="16"/>
        <v>832</v>
      </c>
      <c r="AF90" s="46">
        <f t="shared" si="17"/>
        <v>841</v>
      </c>
      <c r="AG90" s="33">
        <f ca="1">IFERROR(AVERAGEIFS(data_brute!M:M,data_brute!J:J,"&gt;="&amp;AE90,data_brute!J:J,"&lt;="&amp;AF90),NA())</f>
        <v>25.380999999999997</v>
      </c>
      <c r="AH90" s="46">
        <f t="shared" ca="1" si="18"/>
        <v>840</v>
      </c>
      <c r="AJ90" s="46">
        <f t="shared" si="19"/>
        <v>832</v>
      </c>
      <c r="AK90" s="46">
        <f t="shared" si="20"/>
        <v>841</v>
      </c>
      <c r="AL90" s="33">
        <f ca="1">IFERROR(AVERAGEIFS(data_brute!M:M,data_brute!J:J,"&lt;="&amp;AK90),NA())</f>
        <v>25.342154761904759</v>
      </c>
      <c r="AM90" s="46">
        <f t="shared" ca="1" si="21"/>
        <v>840</v>
      </c>
      <c r="AN90" s="46" t="b">
        <f t="shared" si="24"/>
        <v>0</v>
      </c>
      <c r="AO90" s="50" t="b">
        <f t="shared" si="25"/>
        <v>0</v>
      </c>
      <c r="AX90" s="2"/>
      <c r="AY90" s="43"/>
      <c r="AZ90" s="44"/>
      <c r="BA90" s="2"/>
      <c r="BB90" s="2"/>
      <c r="BC90" s="2"/>
      <c r="BD90" s="2"/>
      <c r="BE90" s="2"/>
    </row>
    <row r="91" spans="21:57" x14ac:dyDescent="0.2">
      <c r="U91" s="46">
        <f t="shared" si="26"/>
        <v>842</v>
      </c>
      <c r="V91" s="46">
        <f t="shared" si="27"/>
        <v>851</v>
      </c>
      <c r="W91" s="33">
        <f ca="1">IFERROR(AVERAGEIFS(data_brute!M:M,data_brute!J:J,"&lt;="&amp;V91,data_brute!J:J,"&gt;="&amp;U91),NA())</f>
        <v>25.538</v>
      </c>
      <c r="X91" s="46">
        <f t="shared" ca="1" si="28"/>
        <v>850</v>
      </c>
      <c r="Y91" s="2" t="b">
        <f t="shared" si="22"/>
        <v>0</v>
      </c>
      <c r="Z91" s="2" t="b">
        <f t="shared" si="23"/>
        <v>0</v>
      </c>
      <c r="AE91" s="46">
        <f t="shared" si="16"/>
        <v>842</v>
      </c>
      <c r="AF91" s="46">
        <f t="shared" si="17"/>
        <v>851</v>
      </c>
      <c r="AG91" s="33">
        <f ca="1">IFERROR(AVERAGEIFS(data_brute!M:M,data_brute!J:J,"&gt;="&amp;AE91,data_brute!J:J,"&lt;="&amp;AF91),NA())</f>
        <v>25.538</v>
      </c>
      <c r="AH91" s="46">
        <f t="shared" ca="1" si="18"/>
        <v>850</v>
      </c>
      <c r="AJ91" s="46">
        <f t="shared" si="19"/>
        <v>842</v>
      </c>
      <c r="AK91" s="46">
        <f t="shared" si="20"/>
        <v>851</v>
      </c>
      <c r="AL91" s="33">
        <f ca="1">IFERROR(AVERAGEIFS(data_brute!M:M,data_brute!J:J,"&lt;="&amp;AK91),NA())</f>
        <v>25.344458823529404</v>
      </c>
      <c r="AM91" s="46">
        <f t="shared" ca="1" si="21"/>
        <v>850</v>
      </c>
      <c r="AN91" s="46" t="b">
        <f t="shared" si="24"/>
        <v>0</v>
      </c>
      <c r="AO91" s="50" t="b">
        <f t="shared" si="25"/>
        <v>0</v>
      </c>
      <c r="AX91" s="2"/>
      <c r="AY91" s="43"/>
      <c r="AZ91" s="44"/>
      <c r="BA91" s="2"/>
      <c r="BB91" s="2"/>
      <c r="BC91" s="2"/>
      <c r="BD91" s="2"/>
      <c r="BE91" s="2"/>
    </row>
    <row r="92" spans="21:57" x14ac:dyDescent="0.2">
      <c r="U92" s="46">
        <f t="shared" si="26"/>
        <v>852</v>
      </c>
      <c r="V92" s="46">
        <f t="shared" si="27"/>
        <v>861</v>
      </c>
      <c r="W92" s="33">
        <f ca="1">IFERROR(AVERAGEIFS(data_brute!M:M,data_brute!J:J,"&lt;="&amp;V92,data_brute!J:J,"&gt;="&amp;U92),NA())</f>
        <v>25.090999999999998</v>
      </c>
      <c r="X92" s="46">
        <f t="shared" ca="1" si="28"/>
        <v>860</v>
      </c>
      <c r="Y92" s="2" t="b">
        <f t="shared" si="22"/>
        <v>0</v>
      </c>
      <c r="Z92" s="2" t="b">
        <f t="shared" si="23"/>
        <v>0</v>
      </c>
      <c r="AE92" s="46">
        <f t="shared" si="16"/>
        <v>852</v>
      </c>
      <c r="AF92" s="46">
        <f t="shared" si="17"/>
        <v>861</v>
      </c>
      <c r="AG92" s="33">
        <f ca="1">IFERROR(AVERAGEIFS(data_brute!M:M,data_brute!J:J,"&gt;="&amp;AE92,data_brute!J:J,"&lt;="&amp;AF92),NA())</f>
        <v>25.090999999999998</v>
      </c>
      <c r="AH92" s="46">
        <f t="shared" ca="1" si="18"/>
        <v>860</v>
      </c>
      <c r="AJ92" s="46">
        <f t="shared" si="19"/>
        <v>852</v>
      </c>
      <c r="AK92" s="46">
        <f t="shared" si="20"/>
        <v>861</v>
      </c>
      <c r="AL92" s="33">
        <f ca="1">IFERROR(AVERAGEIFS(data_brute!M:M,data_brute!J:J,"&lt;="&amp;AK92),NA())</f>
        <v>25.341511627906968</v>
      </c>
      <c r="AM92" s="46">
        <f t="shared" ca="1" si="21"/>
        <v>860</v>
      </c>
      <c r="AN92" s="46" t="b">
        <f t="shared" si="24"/>
        <v>0</v>
      </c>
      <c r="AO92" s="50" t="b">
        <f t="shared" si="25"/>
        <v>0</v>
      </c>
      <c r="AX92" s="2"/>
      <c r="AY92" s="43"/>
      <c r="AZ92" s="44"/>
      <c r="BA92" s="2"/>
      <c r="BB92" s="2"/>
      <c r="BC92" s="2"/>
      <c r="BD92" s="2"/>
      <c r="BE92" s="2"/>
    </row>
    <row r="93" spans="21:57" x14ac:dyDescent="0.2">
      <c r="U93" s="46">
        <f t="shared" si="26"/>
        <v>862</v>
      </c>
      <c r="V93" s="46">
        <f t="shared" si="27"/>
        <v>871</v>
      </c>
      <c r="W93" s="33">
        <f ca="1">IFERROR(AVERAGEIFS(data_brute!M:M,data_brute!J:J,"&lt;="&amp;V93,data_brute!J:J,"&gt;="&amp;U93),NA())</f>
        <v>25.224</v>
      </c>
      <c r="X93" s="46">
        <f t="shared" ca="1" si="28"/>
        <v>870</v>
      </c>
      <c r="Y93" s="2" t="b">
        <f t="shared" si="22"/>
        <v>0</v>
      </c>
      <c r="Z93" s="2" t="b">
        <f t="shared" si="23"/>
        <v>0</v>
      </c>
      <c r="AE93" s="46">
        <f t="shared" si="16"/>
        <v>862</v>
      </c>
      <c r="AF93" s="46">
        <f t="shared" si="17"/>
        <v>871</v>
      </c>
      <c r="AG93" s="33">
        <f ca="1">IFERROR(AVERAGEIFS(data_brute!M:M,data_brute!J:J,"&gt;="&amp;AE93,data_brute!J:J,"&lt;="&amp;AF93),NA())</f>
        <v>25.224</v>
      </c>
      <c r="AH93" s="46">
        <f t="shared" ca="1" si="18"/>
        <v>870</v>
      </c>
      <c r="AJ93" s="46">
        <f t="shared" si="19"/>
        <v>862</v>
      </c>
      <c r="AK93" s="46">
        <f t="shared" si="20"/>
        <v>871</v>
      </c>
      <c r="AL93" s="33">
        <f ca="1">IFERROR(AVERAGEIFS(data_brute!M:M,data_brute!J:J,"&lt;="&amp;AK93),NA())</f>
        <v>25.340160919540224</v>
      </c>
      <c r="AM93" s="46">
        <f t="shared" ca="1" si="21"/>
        <v>870</v>
      </c>
      <c r="AN93" s="46" t="b">
        <f t="shared" si="24"/>
        <v>0</v>
      </c>
      <c r="AO93" s="50" t="b">
        <f t="shared" si="25"/>
        <v>0</v>
      </c>
      <c r="AX93" s="2"/>
      <c r="AY93" s="43"/>
      <c r="AZ93" s="44"/>
      <c r="BA93" s="2"/>
      <c r="BB93" s="2"/>
      <c r="BC93" s="2"/>
      <c r="BD93" s="2"/>
      <c r="BE93" s="2"/>
    </row>
    <row r="94" spans="21:57" x14ac:dyDescent="0.2">
      <c r="U94" s="46">
        <f t="shared" si="26"/>
        <v>872</v>
      </c>
      <c r="V94" s="46">
        <f t="shared" si="27"/>
        <v>881</v>
      </c>
      <c r="W94" s="33">
        <f ca="1">IFERROR(AVERAGEIFS(data_brute!M:M,data_brute!J:J,"&lt;="&amp;V94,data_brute!J:J,"&gt;="&amp;U94),NA())</f>
        <v>25.764999999999997</v>
      </c>
      <c r="X94" s="46">
        <f t="shared" ca="1" si="28"/>
        <v>880</v>
      </c>
      <c r="Y94" s="2" t="b">
        <f t="shared" si="22"/>
        <v>0</v>
      </c>
      <c r="Z94" s="2" t="b">
        <f t="shared" si="23"/>
        <v>0</v>
      </c>
      <c r="AE94" s="46">
        <f t="shared" si="16"/>
        <v>872</v>
      </c>
      <c r="AF94" s="46">
        <f t="shared" si="17"/>
        <v>881</v>
      </c>
      <c r="AG94" s="33">
        <f ca="1">IFERROR(AVERAGEIFS(data_brute!M:M,data_brute!J:J,"&gt;="&amp;AE94,data_brute!J:J,"&lt;="&amp;AF94),NA())</f>
        <v>25.764999999999997</v>
      </c>
      <c r="AH94" s="46">
        <f t="shared" ca="1" si="18"/>
        <v>880</v>
      </c>
      <c r="AJ94" s="46">
        <f t="shared" si="19"/>
        <v>872</v>
      </c>
      <c r="AK94" s="46">
        <f t="shared" si="20"/>
        <v>881</v>
      </c>
      <c r="AL94" s="33">
        <f ca="1">IFERROR(AVERAGEIFS(data_brute!M:M,data_brute!J:J,"&lt;="&amp;AK94),NA())</f>
        <v>25.344988636363627</v>
      </c>
      <c r="AM94" s="46">
        <f t="shared" ca="1" si="21"/>
        <v>880</v>
      </c>
      <c r="AN94" s="46" t="b">
        <f t="shared" si="24"/>
        <v>0</v>
      </c>
      <c r="AO94" s="50" t="b">
        <f t="shared" si="25"/>
        <v>0</v>
      </c>
      <c r="AX94" s="2"/>
      <c r="AY94" s="43"/>
      <c r="AZ94" s="44"/>
      <c r="BA94" s="2"/>
      <c r="BB94" s="2"/>
      <c r="BC94" s="2"/>
      <c r="BD94" s="2"/>
      <c r="BE94" s="2"/>
    </row>
    <row r="95" spans="21:57" x14ac:dyDescent="0.2">
      <c r="U95" s="46">
        <f t="shared" si="26"/>
        <v>882</v>
      </c>
      <c r="V95" s="46">
        <f t="shared" si="27"/>
        <v>891</v>
      </c>
      <c r="W95" s="33">
        <f ca="1">IFERROR(AVERAGEIFS(data_brute!M:M,data_brute!J:J,"&lt;="&amp;V95,data_brute!J:J,"&gt;="&amp;U95),NA())</f>
        <v>25.679999999999996</v>
      </c>
      <c r="X95" s="46">
        <f t="shared" ca="1" si="28"/>
        <v>890</v>
      </c>
      <c r="Y95" s="2" t="b">
        <f t="shared" si="22"/>
        <v>0</v>
      </c>
      <c r="Z95" s="2" t="b">
        <f t="shared" si="23"/>
        <v>0</v>
      </c>
      <c r="AE95" s="46">
        <f t="shared" si="16"/>
        <v>882</v>
      </c>
      <c r="AF95" s="46">
        <f t="shared" si="17"/>
        <v>891</v>
      </c>
      <c r="AG95" s="33">
        <f ca="1">IFERROR(AVERAGEIFS(data_brute!M:M,data_brute!J:J,"&gt;="&amp;AE95,data_brute!J:J,"&lt;="&amp;AF95),NA())</f>
        <v>25.679999999999996</v>
      </c>
      <c r="AH95" s="46">
        <f t="shared" ca="1" si="18"/>
        <v>890</v>
      </c>
      <c r="AJ95" s="46">
        <f t="shared" si="19"/>
        <v>882</v>
      </c>
      <c r="AK95" s="46">
        <f t="shared" si="20"/>
        <v>891</v>
      </c>
      <c r="AL95" s="33">
        <f ca="1">IFERROR(AVERAGEIFS(data_brute!M:M,data_brute!J:J,"&lt;="&amp;AK95),NA())</f>
        <v>25.348752808988756</v>
      </c>
      <c r="AM95" s="46">
        <f t="shared" ca="1" si="21"/>
        <v>890</v>
      </c>
      <c r="AN95" s="46" t="b">
        <f t="shared" si="24"/>
        <v>0</v>
      </c>
      <c r="AO95" s="50" t="b">
        <f t="shared" si="25"/>
        <v>0</v>
      </c>
    </row>
    <row r="96" spans="21:57" x14ac:dyDescent="0.2">
      <c r="U96" s="46">
        <f t="shared" si="26"/>
        <v>892</v>
      </c>
      <c r="V96" s="46">
        <f t="shared" si="27"/>
        <v>901</v>
      </c>
      <c r="W96" s="33">
        <f ca="1">IFERROR(AVERAGEIFS(data_brute!M:M,data_brute!J:J,"&lt;="&amp;V96,data_brute!J:J,"&gt;="&amp;U96),NA())</f>
        <v>25.57</v>
      </c>
      <c r="X96" s="46">
        <f t="shared" ca="1" si="28"/>
        <v>900</v>
      </c>
      <c r="Y96" s="2" t="b">
        <f t="shared" si="22"/>
        <v>0</v>
      </c>
      <c r="Z96" s="2" t="b">
        <f t="shared" si="23"/>
        <v>0</v>
      </c>
      <c r="AE96" s="46">
        <f t="shared" si="16"/>
        <v>892</v>
      </c>
      <c r="AF96" s="46">
        <f t="shared" si="17"/>
        <v>901</v>
      </c>
      <c r="AG96" s="33">
        <f ca="1">IFERROR(AVERAGEIFS(data_brute!M:M,data_brute!J:J,"&gt;="&amp;AE96,data_brute!J:J,"&lt;="&amp;AF96),NA())</f>
        <v>25.57</v>
      </c>
      <c r="AH96" s="46">
        <f t="shared" ca="1" si="18"/>
        <v>900</v>
      </c>
      <c r="AJ96" s="46">
        <f t="shared" si="19"/>
        <v>892</v>
      </c>
      <c r="AK96" s="46">
        <f t="shared" si="20"/>
        <v>901</v>
      </c>
      <c r="AL96" s="33">
        <f ca="1">IFERROR(AVERAGEIFS(data_brute!M:M,data_brute!J:J,"&lt;="&amp;AK96),NA())</f>
        <v>25.351211111111102</v>
      </c>
      <c r="AM96" s="46">
        <f t="shared" ca="1" si="21"/>
        <v>900</v>
      </c>
      <c r="AN96" s="46" t="b">
        <f t="shared" si="24"/>
        <v>0</v>
      </c>
      <c r="AO96" s="50" t="b">
        <f t="shared" si="25"/>
        <v>0</v>
      </c>
    </row>
    <row r="97" spans="21:41" x14ac:dyDescent="0.2">
      <c r="U97" s="46">
        <f t="shared" si="26"/>
        <v>902</v>
      </c>
      <c r="V97" s="46">
        <f t="shared" si="27"/>
        <v>911</v>
      </c>
      <c r="W97" s="33">
        <f ca="1">IFERROR(AVERAGEIFS(data_brute!M:M,data_brute!J:J,"&lt;="&amp;V97,data_brute!J:J,"&gt;="&amp;U97),NA())</f>
        <v>25.457999999999998</v>
      </c>
      <c r="X97" s="46">
        <f t="shared" ca="1" si="28"/>
        <v>910</v>
      </c>
      <c r="Y97" s="2" t="b">
        <f t="shared" si="22"/>
        <v>0</v>
      </c>
      <c r="Z97" s="2" t="b">
        <f t="shared" si="23"/>
        <v>0</v>
      </c>
      <c r="AE97" s="46">
        <f t="shared" si="16"/>
        <v>902</v>
      </c>
      <c r="AF97" s="46">
        <f t="shared" si="17"/>
        <v>911</v>
      </c>
      <c r="AG97" s="33">
        <f ca="1">IFERROR(AVERAGEIFS(data_brute!M:M,data_brute!J:J,"&gt;="&amp;AE97,data_brute!J:J,"&lt;="&amp;AF97),NA())</f>
        <v>25.457999999999998</v>
      </c>
      <c r="AH97" s="46">
        <f t="shared" ca="1" si="18"/>
        <v>910</v>
      </c>
      <c r="AJ97" s="46">
        <f t="shared" si="19"/>
        <v>902</v>
      </c>
      <c r="AK97" s="46">
        <f t="shared" si="20"/>
        <v>911</v>
      </c>
      <c r="AL97" s="33">
        <f ca="1">IFERROR(AVERAGEIFS(data_brute!M:M,data_brute!J:J,"&lt;="&amp;AK97),NA())</f>
        <v>25.352384615384604</v>
      </c>
      <c r="AM97" s="46">
        <f t="shared" ca="1" si="21"/>
        <v>910</v>
      </c>
      <c r="AN97" s="46" t="b">
        <f t="shared" si="24"/>
        <v>0</v>
      </c>
      <c r="AO97" s="50" t="b">
        <f t="shared" si="25"/>
        <v>0</v>
      </c>
    </row>
    <row r="98" spans="21:41" x14ac:dyDescent="0.2">
      <c r="U98" s="46">
        <f t="shared" si="26"/>
        <v>912</v>
      </c>
      <c r="V98" s="46">
        <f t="shared" si="27"/>
        <v>921</v>
      </c>
      <c r="W98" s="33">
        <f ca="1">IFERROR(AVERAGEIFS(data_brute!M:M,data_brute!J:J,"&lt;="&amp;V98,data_brute!J:J,"&gt;="&amp;U98),NA())</f>
        <v>25.489999999999995</v>
      </c>
      <c r="X98" s="46">
        <f t="shared" ca="1" si="28"/>
        <v>920</v>
      </c>
      <c r="Y98" s="2" t="b">
        <f t="shared" si="22"/>
        <v>0</v>
      </c>
      <c r="Z98" s="2" t="b">
        <f t="shared" si="23"/>
        <v>0</v>
      </c>
      <c r="AE98" s="46">
        <f t="shared" si="16"/>
        <v>912</v>
      </c>
      <c r="AF98" s="46">
        <f t="shared" si="17"/>
        <v>921</v>
      </c>
      <c r="AG98" s="33">
        <f ca="1">IFERROR(AVERAGEIFS(data_brute!M:M,data_brute!J:J,"&gt;="&amp;AE98,data_brute!J:J,"&lt;="&amp;AF98),NA())</f>
        <v>25.489999999999995</v>
      </c>
      <c r="AH98" s="46">
        <f t="shared" ca="1" si="18"/>
        <v>920</v>
      </c>
      <c r="AJ98" s="46">
        <f t="shared" si="19"/>
        <v>912</v>
      </c>
      <c r="AK98" s="46">
        <f t="shared" si="20"/>
        <v>921</v>
      </c>
      <c r="AL98" s="33">
        <f ca="1">IFERROR(AVERAGEIFS(data_brute!M:M,data_brute!J:J,"&lt;="&amp;AK98),NA())</f>
        <v>25.353880434782596</v>
      </c>
      <c r="AM98" s="46">
        <f t="shared" ca="1" si="21"/>
        <v>920</v>
      </c>
      <c r="AN98" s="46" t="b">
        <f t="shared" si="24"/>
        <v>0</v>
      </c>
      <c r="AO98" s="50" t="b">
        <f t="shared" si="25"/>
        <v>0</v>
      </c>
    </row>
    <row r="99" spans="21:41" x14ac:dyDescent="0.2">
      <c r="U99" s="46">
        <f t="shared" si="26"/>
        <v>922</v>
      </c>
      <c r="V99" s="46">
        <f t="shared" si="27"/>
        <v>931</v>
      </c>
      <c r="W99" s="33">
        <f ca="1">IFERROR(AVERAGEIFS(data_brute!M:M,data_brute!J:J,"&lt;="&amp;V99,data_brute!J:J,"&gt;="&amp;U99),NA())</f>
        <v>25.475999999999999</v>
      </c>
      <c r="X99" s="46">
        <f t="shared" ca="1" si="28"/>
        <v>930</v>
      </c>
      <c r="Y99" s="2" t="b">
        <f t="shared" si="22"/>
        <v>0</v>
      </c>
      <c r="Z99" s="2" t="b">
        <f t="shared" si="23"/>
        <v>0</v>
      </c>
      <c r="AE99" s="46">
        <f t="shared" si="16"/>
        <v>922</v>
      </c>
      <c r="AF99" s="46">
        <f t="shared" si="17"/>
        <v>931</v>
      </c>
      <c r="AG99" s="33">
        <f ca="1">IFERROR(AVERAGEIFS(data_brute!M:M,data_brute!J:J,"&gt;="&amp;AE99,data_brute!J:J,"&lt;="&amp;AF99),NA())</f>
        <v>25.475999999999999</v>
      </c>
      <c r="AH99" s="46">
        <f t="shared" ca="1" si="18"/>
        <v>930</v>
      </c>
      <c r="AJ99" s="46">
        <f t="shared" si="19"/>
        <v>922</v>
      </c>
      <c r="AK99" s="46">
        <f t="shared" si="20"/>
        <v>931</v>
      </c>
      <c r="AL99" s="33">
        <f ca="1">IFERROR(AVERAGEIFS(data_brute!M:M,data_brute!J:J,"&lt;="&amp;AK99),NA())</f>
        <v>25.355193548387088</v>
      </c>
      <c r="AM99" s="46">
        <f t="shared" ca="1" si="21"/>
        <v>930</v>
      </c>
      <c r="AN99" s="46" t="b">
        <f t="shared" si="24"/>
        <v>0</v>
      </c>
      <c r="AO99" s="50" t="b">
        <f t="shared" si="25"/>
        <v>0</v>
      </c>
    </row>
    <row r="100" spans="21:41" x14ac:dyDescent="0.2">
      <c r="U100" s="46">
        <f t="shared" si="26"/>
        <v>932</v>
      </c>
      <c r="V100" s="46">
        <f t="shared" si="27"/>
        <v>941</v>
      </c>
      <c r="W100" s="33">
        <f ca="1">IFERROR(AVERAGEIFS(data_brute!M:M,data_brute!J:J,"&lt;="&amp;V100,data_brute!J:J,"&gt;="&amp;U100),NA())</f>
        <v>25.494999999999997</v>
      </c>
      <c r="X100" s="46">
        <f t="shared" ca="1" si="28"/>
        <v>940</v>
      </c>
      <c r="Y100" s="2" t="b">
        <f t="shared" si="22"/>
        <v>0</v>
      </c>
      <c r="Z100" s="2" t="b">
        <f t="shared" si="23"/>
        <v>0</v>
      </c>
      <c r="AE100" s="46">
        <f t="shared" si="16"/>
        <v>932</v>
      </c>
      <c r="AF100" s="46">
        <f t="shared" si="17"/>
        <v>941</v>
      </c>
      <c r="AG100" s="33">
        <f ca="1">IFERROR(AVERAGEIFS(data_brute!M:M,data_brute!J:J,"&gt;="&amp;AE100,data_brute!J:J,"&lt;="&amp;AF100),NA())</f>
        <v>25.494999999999997</v>
      </c>
      <c r="AH100" s="46">
        <f t="shared" ca="1" si="18"/>
        <v>940</v>
      </c>
      <c r="AJ100" s="46">
        <f t="shared" si="19"/>
        <v>932</v>
      </c>
      <c r="AK100" s="46">
        <f t="shared" si="20"/>
        <v>941</v>
      </c>
      <c r="AL100" s="33">
        <f ca="1">IFERROR(AVERAGEIFS(data_brute!M:M,data_brute!J:J,"&lt;="&amp;AK100),NA())</f>
        <v>25.356680851063818</v>
      </c>
      <c r="AM100" s="46">
        <f t="shared" ca="1" si="21"/>
        <v>940</v>
      </c>
      <c r="AN100" s="46" t="b">
        <f t="shared" si="24"/>
        <v>0</v>
      </c>
      <c r="AO100" s="50" t="b">
        <f t="shared" si="25"/>
        <v>0</v>
      </c>
    </row>
    <row r="101" spans="21:41" x14ac:dyDescent="0.2">
      <c r="U101" s="46">
        <f t="shared" ref="U101:U162" si="29">V100+1</f>
        <v>942</v>
      </c>
      <c r="V101" s="46">
        <f t="shared" ref="V101:V162" si="30">U101+$AG$2-1</f>
        <v>951</v>
      </c>
      <c r="W101" s="33">
        <f ca="1">IFERROR(AVERAGEIFS(data_brute!M:M,data_brute!J:J,"&lt;="&amp;V101,data_brute!J:J,"&gt;="&amp;U101),NA())</f>
        <v>25.667999999999999</v>
      </c>
      <c r="X101" s="46">
        <f t="shared" ref="X101:X162" ca="1" si="31">IF(W101&lt;&gt;"",$AG$2*(ROW()-ROW($AH$6)),NA())</f>
        <v>950</v>
      </c>
      <c r="Y101" s="2" t="b">
        <f t="shared" ref="Y101:Y162" si="32">IF(AND($F$5&gt;=U101,$F$5&lt;=V101,V101=$F$5),TRUE,FALSE)</f>
        <v>0</v>
      </c>
      <c r="Z101" s="2" t="b">
        <f t="shared" ref="Z101:Z162" si="33">IF(AND($F$5&gt;=U101,$F$5&lt;=V101),TRUE,FALSE)</f>
        <v>0</v>
      </c>
      <c r="AE101" s="46">
        <f t="shared" ref="AE101:AE151" si="34">AF100+1</f>
        <v>942</v>
      </c>
      <c r="AF101" s="46">
        <f t="shared" ref="AF101:AF151" si="35">AE101+$AG$2-1</f>
        <v>951</v>
      </c>
      <c r="AG101" s="33">
        <f ca="1">IFERROR(AVERAGEIFS(data_brute!M:M,data_brute!J:J,"&gt;="&amp;AE101,data_brute!J:J,"&lt;="&amp;AF101),NA())</f>
        <v>25.667999999999999</v>
      </c>
      <c r="AH101" s="46">
        <f t="shared" ref="AH101:AH151" ca="1" si="36">IF(AG101&lt;&gt;"",$AG$2*(ROW()-ROW($AH$6)),NA())</f>
        <v>950</v>
      </c>
      <c r="AJ101" s="46">
        <f t="shared" ref="AJ101:AJ163" si="37">AK100+1</f>
        <v>942</v>
      </c>
      <c r="AK101" s="46">
        <f t="shared" ref="AK101:AK163" si="38">AJ101+$AG$2-1</f>
        <v>951</v>
      </c>
      <c r="AL101" s="33">
        <f ca="1">IFERROR(AVERAGEIFS(data_brute!M:M,data_brute!J:J,"&lt;="&amp;AK101),NA())</f>
        <v>25.35995789473683</v>
      </c>
      <c r="AM101" s="46">
        <f t="shared" ref="AM101:AM163" ca="1" si="39">IF(AL101&lt;&gt;"",$AG$2*(ROW()-ROW($AH$6)),NA())</f>
        <v>950</v>
      </c>
      <c r="AN101" s="46" t="b">
        <f t="shared" ref="AN101:AN163" si="40">IF(AND($F$5&gt;=AJ101,$F$5&lt;=AK101,AK101=$F$5),TRUE,FALSE)</f>
        <v>0</v>
      </c>
      <c r="AO101" s="50" t="b">
        <f t="shared" ref="AO101:AO163" si="41">IF(AND($F$5&gt;=AJ101,$F$5&lt;=AK101),TRUE,FALSE)</f>
        <v>0</v>
      </c>
    </row>
    <row r="102" spans="21:41" x14ac:dyDescent="0.2">
      <c r="U102" s="46">
        <f t="shared" si="29"/>
        <v>952</v>
      </c>
      <c r="V102" s="46">
        <f t="shared" si="30"/>
        <v>961</v>
      </c>
      <c r="W102" s="33">
        <f ca="1">IFERROR(AVERAGEIFS(data_brute!M:M,data_brute!J:J,"&lt;="&amp;V102,data_brute!J:J,"&gt;="&amp;U102),NA())</f>
        <v>25.56</v>
      </c>
      <c r="X102" s="46">
        <f t="shared" ca="1" si="31"/>
        <v>960</v>
      </c>
      <c r="Y102" s="2" t="b">
        <f t="shared" si="32"/>
        <v>0</v>
      </c>
      <c r="Z102" s="2" t="b">
        <f t="shared" si="33"/>
        <v>0</v>
      </c>
      <c r="AE102" s="46">
        <f t="shared" si="34"/>
        <v>952</v>
      </c>
      <c r="AF102" s="46">
        <f t="shared" si="35"/>
        <v>961</v>
      </c>
      <c r="AG102" s="33">
        <f ca="1">IFERROR(AVERAGEIFS(data_brute!M:M,data_brute!J:J,"&gt;="&amp;AE102,data_brute!J:J,"&lt;="&amp;AF102),NA())</f>
        <v>25.56</v>
      </c>
      <c r="AH102" s="46">
        <f t="shared" ca="1" si="36"/>
        <v>960</v>
      </c>
      <c r="AJ102" s="46">
        <f t="shared" si="37"/>
        <v>952</v>
      </c>
      <c r="AK102" s="46">
        <f t="shared" si="38"/>
        <v>961</v>
      </c>
      <c r="AL102" s="33">
        <f ca="1">IFERROR(AVERAGEIFS(data_brute!M:M,data_brute!J:J,"&lt;="&amp;AK102),NA())</f>
        <v>25.362041666666652</v>
      </c>
      <c r="AM102" s="46">
        <f t="shared" ca="1" si="39"/>
        <v>960</v>
      </c>
      <c r="AN102" s="46" t="b">
        <f t="shared" si="40"/>
        <v>0</v>
      </c>
      <c r="AO102" s="50" t="b">
        <f t="shared" si="41"/>
        <v>0</v>
      </c>
    </row>
    <row r="103" spans="21:41" x14ac:dyDescent="0.2">
      <c r="U103" s="46">
        <f t="shared" si="29"/>
        <v>962</v>
      </c>
      <c r="V103" s="46">
        <f t="shared" si="30"/>
        <v>971</v>
      </c>
      <c r="W103" s="33">
        <f ca="1">IFERROR(AVERAGEIFS(data_brute!M:M,data_brute!J:J,"&lt;="&amp;V103,data_brute!J:J,"&gt;="&amp;U103),NA())</f>
        <v>25.32</v>
      </c>
      <c r="X103" s="46">
        <f t="shared" ca="1" si="31"/>
        <v>970</v>
      </c>
      <c r="Y103" s="2" t="b">
        <f t="shared" si="32"/>
        <v>0</v>
      </c>
      <c r="Z103" s="2" t="b">
        <f t="shared" si="33"/>
        <v>0</v>
      </c>
      <c r="AE103" s="46">
        <f t="shared" si="34"/>
        <v>962</v>
      </c>
      <c r="AF103" s="46">
        <f t="shared" si="35"/>
        <v>971</v>
      </c>
      <c r="AG103" s="33">
        <f ca="1">IFERROR(AVERAGEIFS(data_brute!M:M,data_brute!J:J,"&gt;="&amp;AE103,data_brute!J:J,"&lt;="&amp;AF103),NA())</f>
        <v>25.32</v>
      </c>
      <c r="AH103" s="46">
        <f t="shared" ca="1" si="36"/>
        <v>970</v>
      </c>
      <c r="AJ103" s="46">
        <f t="shared" si="37"/>
        <v>962</v>
      </c>
      <c r="AK103" s="46">
        <f t="shared" si="38"/>
        <v>971</v>
      </c>
      <c r="AL103" s="33">
        <f ca="1">IFERROR(AVERAGEIFS(data_brute!M:M,data_brute!J:J,"&lt;="&amp;AK103),NA())</f>
        <v>25.361608247422666</v>
      </c>
      <c r="AM103" s="46">
        <f t="shared" ca="1" si="39"/>
        <v>970</v>
      </c>
      <c r="AN103" s="46" t="b">
        <f t="shared" si="40"/>
        <v>0</v>
      </c>
      <c r="AO103" s="50" t="b">
        <f t="shared" si="41"/>
        <v>0</v>
      </c>
    </row>
    <row r="104" spans="21:41" x14ac:dyDescent="0.2">
      <c r="U104" s="46">
        <f t="shared" si="29"/>
        <v>972</v>
      </c>
      <c r="V104" s="46">
        <f t="shared" si="30"/>
        <v>981</v>
      </c>
      <c r="W104" s="33">
        <f ca="1">IFERROR(AVERAGEIFS(data_brute!M:M,data_brute!J:J,"&lt;="&amp;V104,data_brute!J:J,"&gt;="&amp;U104),NA())</f>
        <v>25.184000000000001</v>
      </c>
      <c r="X104" s="46">
        <f t="shared" ca="1" si="31"/>
        <v>980</v>
      </c>
      <c r="Y104" s="2" t="b">
        <f t="shared" si="32"/>
        <v>0</v>
      </c>
      <c r="Z104" s="2" t="b">
        <f t="shared" si="33"/>
        <v>0</v>
      </c>
      <c r="AE104" s="46">
        <f t="shared" si="34"/>
        <v>972</v>
      </c>
      <c r="AF104" s="46">
        <f t="shared" si="35"/>
        <v>981</v>
      </c>
      <c r="AG104" s="33">
        <f ca="1">IFERROR(AVERAGEIFS(data_brute!M:M,data_brute!J:J,"&gt;="&amp;AE104,data_brute!J:J,"&lt;="&amp;AF104),NA())</f>
        <v>25.184000000000001</v>
      </c>
      <c r="AH104" s="46">
        <f t="shared" ca="1" si="36"/>
        <v>980</v>
      </c>
      <c r="AJ104" s="46">
        <f t="shared" si="37"/>
        <v>972</v>
      </c>
      <c r="AK104" s="46">
        <f t="shared" si="38"/>
        <v>981</v>
      </c>
      <c r="AL104" s="33">
        <f ca="1">IFERROR(AVERAGEIFS(data_brute!M:M,data_brute!J:J,"&lt;="&amp;AK104),NA())</f>
        <v>25.35979591836734</v>
      </c>
      <c r="AM104" s="46">
        <f t="shared" ca="1" si="39"/>
        <v>980</v>
      </c>
      <c r="AN104" s="46" t="b">
        <f t="shared" si="40"/>
        <v>0</v>
      </c>
      <c r="AO104" s="50" t="b">
        <f t="shared" si="41"/>
        <v>0</v>
      </c>
    </row>
    <row r="105" spans="21:41" x14ac:dyDescent="0.2">
      <c r="U105" s="46">
        <f t="shared" si="29"/>
        <v>982</v>
      </c>
      <c r="V105" s="46">
        <f t="shared" si="30"/>
        <v>991</v>
      </c>
      <c r="W105" s="33">
        <f ca="1">IFERROR(AVERAGEIFS(data_brute!M:M,data_brute!J:J,"&lt;="&amp;V105,data_brute!J:J,"&gt;="&amp;U105),NA())</f>
        <v>25.395</v>
      </c>
      <c r="X105" s="46">
        <f t="shared" ca="1" si="31"/>
        <v>990</v>
      </c>
      <c r="Y105" s="2" t="b">
        <f t="shared" si="32"/>
        <v>0</v>
      </c>
      <c r="Z105" s="2" t="b">
        <f t="shared" si="33"/>
        <v>0</v>
      </c>
      <c r="AE105" s="46">
        <f t="shared" si="34"/>
        <v>982</v>
      </c>
      <c r="AF105" s="46">
        <f t="shared" si="35"/>
        <v>991</v>
      </c>
      <c r="AG105" s="33">
        <f ca="1">IFERROR(AVERAGEIFS(data_brute!M:M,data_brute!J:J,"&gt;="&amp;AE105,data_brute!J:J,"&lt;="&amp;AF105),NA())</f>
        <v>25.395</v>
      </c>
      <c r="AH105" s="46">
        <f t="shared" ca="1" si="36"/>
        <v>990</v>
      </c>
      <c r="AJ105" s="46">
        <f t="shared" si="37"/>
        <v>982</v>
      </c>
      <c r="AK105" s="46">
        <f t="shared" si="38"/>
        <v>991</v>
      </c>
      <c r="AL105" s="33">
        <f ca="1">IFERROR(AVERAGEIFS(data_brute!M:M,data_brute!J:J,"&lt;="&amp;AK105),NA())</f>
        <v>25.360151515151504</v>
      </c>
      <c r="AM105" s="46">
        <f t="shared" ca="1" si="39"/>
        <v>990</v>
      </c>
      <c r="AN105" s="46" t="b">
        <f t="shared" si="40"/>
        <v>0</v>
      </c>
      <c r="AO105" s="50" t="b">
        <f t="shared" si="41"/>
        <v>0</v>
      </c>
    </row>
    <row r="106" spans="21:41" x14ac:dyDescent="0.2">
      <c r="U106" s="46">
        <f t="shared" si="29"/>
        <v>992</v>
      </c>
      <c r="V106" s="46">
        <f t="shared" si="30"/>
        <v>1001</v>
      </c>
      <c r="W106" s="33">
        <f ca="1">IFERROR(AVERAGEIFS(data_brute!M:M,data_brute!J:J,"&lt;="&amp;V106,data_brute!J:J,"&gt;="&amp;U106),NA())</f>
        <v>25.473000000000003</v>
      </c>
      <c r="X106" s="46">
        <f t="shared" ca="1" si="31"/>
        <v>1000</v>
      </c>
      <c r="Y106" s="2" t="b">
        <f t="shared" si="32"/>
        <v>0</v>
      </c>
      <c r="Z106" s="2" t="b">
        <f t="shared" si="33"/>
        <v>0</v>
      </c>
      <c r="AE106" s="46">
        <f t="shared" si="34"/>
        <v>992</v>
      </c>
      <c r="AF106" s="46">
        <f t="shared" si="35"/>
        <v>1001</v>
      </c>
      <c r="AG106" s="33">
        <f ca="1">IFERROR(AVERAGEIFS(data_brute!M:M,data_brute!J:J,"&gt;="&amp;AE106,data_brute!J:J,"&lt;="&amp;AF106),NA())</f>
        <v>25.473000000000003</v>
      </c>
      <c r="AH106" s="46">
        <f t="shared" ca="1" si="36"/>
        <v>1000</v>
      </c>
      <c r="AJ106" s="46">
        <f t="shared" si="37"/>
        <v>992</v>
      </c>
      <c r="AK106" s="46">
        <f t="shared" si="38"/>
        <v>1001</v>
      </c>
      <c r="AL106" s="33">
        <f ca="1">IFERROR(AVERAGEIFS(data_brute!M:M,data_brute!J:J,"&lt;="&amp;AK106),NA())</f>
        <v>25.36127999999999</v>
      </c>
      <c r="AM106" s="46">
        <f t="shared" ca="1" si="39"/>
        <v>1000</v>
      </c>
      <c r="AN106" s="46" t="b">
        <f t="shared" si="40"/>
        <v>0</v>
      </c>
      <c r="AO106" s="50" t="b">
        <f t="shared" si="41"/>
        <v>0</v>
      </c>
    </row>
    <row r="107" spans="21:41" x14ac:dyDescent="0.2">
      <c r="U107" s="46">
        <f t="shared" si="29"/>
        <v>1002</v>
      </c>
      <c r="V107" s="46">
        <f t="shared" si="30"/>
        <v>1011</v>
      </c>
      <c r="W107" s="33">
        <f ca="1">IFERROR(AVERAGEIFS(data_brute!M:M,data_brute!J:J,"&lt;="&amp;V107,data_brute!J:J,"&gt;="&amp;U107),NA())</f>
        <v>25.425999999999998</v>
      </c>
      <c r="X107" s="46">
        <f t="shared" ca="1" si="31"/>
        <v>1010</v>
      </c>
      <c r="Y107" s="2" t="b">
        <f t="shared" si="32"/>
        <v>0</v>
      </c>
      <c r="Z107" s="2" t="b">
        <f t="shared" si="33"/>
        <v>0</v>
      </c>
      <c r="AE107" s="46">
        <f t="shared" si="34"/>
        <v>1002</v>
      </c>
      <c r="AF107" s="46">
        <f t="shared" si="35"/>
        <v>1011</v>
      </c>
      <c r="AG107" s="33">
        <f ca="1">IFERROR(AVERAGEIFS(data_brute!M:M,data_brute!J:J,"&gt;="&amp;AE107,data_brute!J:J,"&lt;="&amp;AF107),NA())</f>
        <v>25.425999999999998</v>
      </c>
      <c r="AH107" s="46">
        <f t="shared" ca="1" si="36"/>
        <v>1010</v>
      </c>
      <c r="AJ107" s="46">
        <f t="shared" si="37"/>
        <v>1002</v>
      </c>
      <c r="AK107" s="46">
        <f t="shared" si="38"/>
        <v>1011</v>
      </c>
      <c r="AL107" s="33">
        <f ca="1">IFERROR(AVERAGEIFS(data_brute!M:M,data_brute!J:J,"&lt;="&amp;AK107),NA())</f>
        <v>25.361920792079204</v>
      </c>
      <c r="AM107" s="46">
        <f t="shared" ca="1" si="39"/>
        <v>1010</v>
      </c>
      <c r="AN107" s="46" t="b">
        <f t="shared" si="40"/>
        <v>0</v>
      </c>
      <c r="AO107" s="50" t="b">
        <f t="shared" si="41"/>
        <v>0</v>
      </c>
    </row>
    <row r="108" spans="21:41" x14ac:dyDescent="0.2">
      <c r="U108" s="46">
        <f t="shared" si="29"/>
        <v>1012</v>
      </c>
      <c r="V108" s="46">
        <f t="shared" si="30"/>
        <v>1021</v>
      </c>
      <c r="W108" s="33">
        <f ca="1">IFERROR(AVERAGEIFS(data_brute!M:M,data_brute!J:J,"&lt;="&amp;V108,data_brute!J:J,"&gt;="&amp;U108),NA())</f>
        <v>25.326000000000001</v>
      </c>
      <c r="X108" s="46">
        <f t="shared" ca="1" si="31"/>
        <v>1020</v>
      </c>
      <c r="Y108" s="2" t="b">
        <f t="shared" si="32"/>
        <v>0</v>
      </c>
      <c r="Z108" s="2" t="b">
        <f t="shared" si="33"/>
        <v>0</v>
      </c>
      <c r="AE108" s="46">
        <f t="shared" si="34"/>
        <v>1012</v>
      </c>
      <c r="AF108" s="46">
        <f t="shared" si="35"/>
        <v>1021</v>
      </c>
      <c r="AG108" s="33">
        <f ca="1">IFERROR(AVERAGEIFS(data_brute!M:M,data_brute!J:J,"&gt;="&amp;AE108,data_brute!J:J,"&lt;="&amp;AF108),NA())</f>
        <v>25.326000000000001</v>
      </c>
      <c r="AH108" s="46">
        <f t="shared" ca="1" si="36"/>
        <v>1020</v>
      </c>
      <c r="AJ108" s="46">
        <f t="shared" si="37"/>
        <v>1012</v>
      </c>
      <c r="AK108" s="46">
        <f t="shared" si="38"/>
        <v>1021</v>
      </c>
      <c r="AL108" s="33">
        <f ca="1">IFERROR(AVERAGEIFS(data_brute!M:M,data_brute!J:J,"&lt;="&amp;AK108),NA())</f>
        <v>25.361568627450978</v>
      </c>
      <c r="AM108" s="46">
        <f t="shared" ca="1" si="39"/>
        <v>1020</v>
      </c>
      <c r="AN108" s="46" t="b">
        <f t="shared" si="40"/>
        <v>0</v>
      </c>
      <c r="AO108" s="50" t="b">
        <f t="shared" si="41"/>
        <v>0</v>
      </c>
    </row>
    <row r="109" spans="21:41" x14ac:dyDescent="0.2">
      <c r="U109" s="46">
        <f t="shared" si="29"/>
        <v>1022</v>
      </c>
      <c r="V109" s="46">
        <f t="shared" si="30"/>
        <v>1031</v>
      </c>
      <c r="W109" s="33">
        <f ca="1">IFERROR(AVERAGEIFS(data_brute!M:M,data_brute!J:J,"&lt;="&amp;V109,data_brute!J:J,"&gt;="&amp;U109),NA())</f>
        <v>25.48</v>
      </c>
      <c r="X109" s="46">
        <f t="shared" ca="1" si="31"/>
        <v>1030</v>
      </c>
      <c r="Y109" s="2" t="b">
        <f t="shared" si="32"/>
        <v>0</v>
      </c>
      <c r="Z109" s="2" t="b">
        <f t="shared" si="33"/>
        <v>0</v>
      </c>
      <c r="AE109" s="46">
        <f t="shared" si="34"/>
        <v>1022</v>
      </c>
      <c r="AF109" s="46">
        <f t="shared" si="35"/>
        <v>1031</v>
      </c>
      <c r="AG109" s="33">
        <f ca="1">IFERROR(AVERAGEIFS(data_brute!M:M,data_brute!J:J,"&gt;="&amp;AE109,data_brute!J:J,"&lt;="&amp;AF109),NA())</f>
        <v>25.48</v>
      </c>
      <c r="AH109" s="46">
        <f t="shared" ca="1" si="36"/>
        <v>1030</v>
      </c>
      <c r="AJ109" s="46">
        <f t="shared" si="37"/>
        <v>1022</v>
      </c>
      <c r="AK109" s="46">
        <f t="shared" si="38"/>
        <v>1031</v>
      </c>
      <c r="AL109" s="33">
        <f ca="1">IFERROR(AVERAGEIFS(data_brute!M:M,data_brute!J:J,"&lt;="&amp;AK109),NA())</f>
        <v>25.362718446601942</v>
      </c>
      <c r="AM109" s="46">
        <f t="shared" ca="1" si="39"/>
        <v>1030</v>
      </c>
      <c r="AN109" s="46" t="b">
        <f t="shared" si="40"/>
        <v>0</v>
      </c>
      <c r="AO109" s="50" t="b">
        <f t="shared" si="41"/>
        <v>0</v>
      </c>
    </row>
    <row r="110" spans="21:41" x14ac:dyDescent="0.2">
      <c r="U110" s="46">
        <f t="shared" si="29"/>
        <v>1032</v>
      </c>
      <c r="V110" s="46">
        <f t="shared" si="30"/>
        <v>1041</v>
      </c>
      <c r="W110" s="33">
        <f ca="1">IFERROR(AVERAGEIFS(data_brute!M:M,data_brute!J:J,"&lt;="&amp;V110,data_brute!J:J,"&gt;="&amp;U110),NA())</f>
        <v>25.600999999999999</v>
      </c>
      <c r="X110" s="46">
        <f t="shared" ca="1" si="31"/>
        <v>1040</v>
      </c>
      <c r="Y110" s="2" t="b">
        <f t="shared" si="32"/>
        <v>0</v>
      </c>
      <c r="Z110" s="2" t="b">
        <f t="shared" si="33"/>
        <v>0</v>
      </c>
      <c r="AE110" s="46">
        <f t="shared" si="34"/>
        <v>1032</v>
      </c>
      <c r="AF110" s="46">
        <f t="shared" si="35"/>
        <v>1041</v>
      </c>
      <c r="AG110" s="33">
        <f ca="1">IFERROR(AVERAGEIFS(data_brute!M:M,data_brute!J:J,"&gt;="&amp;AE110,data_brute!J:J,"&lt;="&amp;AF110),NA())</f>
        <v>25.600999999999999</v>
      </c>
      <c r="AH110" s="46">
        <f t="shared" ca="1" si="36"/>
        <v>1040</v>
      </c>
      <c r="AJ110" s="46">
        <f t="shared" si="37"/>
        <v>1032</v>
      </c>
      <c r="AK110" s="46">
        <f t="shared" si="38"/>
        <v>1041</v>
      </c>
      <c r="AL110" s="33">
        <f ca="1">IFERROR(AVERAGEIFS(data_brute!M:M,data_brute!J:J,"&lt;="&amp;AK110),NA())</f>
        <v>25.365009615384622</v>
      </c>
      <c r="AM110" s="46">
        <f t="shared" ca="1" si="39"/>
        <v>1040</v>
      </c>
      <c r="AN110" s="46" t="b">
        <f t="shared" si="40"/>
        <v>0</v>
      </c>
      <c r="AO110" s="50" t="b">
        <f t="shared" si="41"/>
        <v>0</v>
      </c>
    </row>
    <row r="111" spans="21:41" x14ac:dyDescent="0.2">
      <c r="U111" s="46">
        <f t="shared" si="29"/>
        <v>1042</v>
      </c>
      <c r="V111" s="46">
        <f t="shared" si="30"/>
        <v>1051</v>
      </c>
      <c r="W111" s="33">
        <f ca="1">IFERROR(AVERAGEIFS(data_brute!M:M,data_brute!J:J,"&lt;="&amp;V111,data_brute!J:J,"&gt;="&amp;U111),NA())</f>
        <v>25.336000000000006</v>
      </c>
      <c r="X111" s="46">
        <f t="shared" ca="1" si="31"/>
        <v>1050</v>
      </c>
      <c r="Y111" s="2" t="b">
        <f t="shared" si="32"/>
        <v>0</v>
      </c>
      <c r="Z111" s="2" t="b">
        <f t="shared" si="33"/>
        <v>0</v>
      </c>
      <c r="AE111" s="46">
        <f t="shared" si="34"/>
        <v>1042</v>
      </c>
      <c r="AF111" s="46">
        <f t="shared" si="35"/>
        <v>1051</v>
      </c>
      <c r="AG111" s="33">
        <f ca="1">IFERROR(AVERAGEIFS(data_brute!M:M,data_brute!J:J,"&gt;="&amp;AE111,data_brute!J:J,"&lt;="&amp;AF111),NA())</f>
        <v>25.336000000000006</v>
      </c>
      <c r="AH111" s="46">
        <f t="shared" ca="1" si="36"/>
        <v>1050</v>
      </c>
      <c r="AJ111" s="46">
        <f t="shared" si="37"/>
        <v>1042</v>
      </c>
      <c r="AK111" s="46">
        <f t="shared" si="38"/>
        <v>1051</v>
      </c>
      <c r="AL111" s="33">
        <f ca="1">IFERROR(AVERAGEIFS(data_brute!M:M,data_brute!J:J,"&lt;="&amp;AK111),NA())</f>
        <v>25.364733333333341</v>
      </c>
      <c r="AM111" s="46">
        <f t="shared" ca="1" si="39"/>
        <v>1050</v>
      </c>
      <c r="AN111" s="46" t="b">
        <f t="shared" si="40"/>
        <v>0</v>
      </c>
      <c r="AO111" s="50" t="b">
        <f t="shared" si="41"/>
        <v>0</v>
      </c>
    </row>
    <row r="112" spans="21:41" x14ac:dyDescent="0.2">
      <c r="U112" s="46">
        <f t="shared" si="29"/>
        <v>1052</v>
      </c>
      <c r="V112" s="46">
        <f t="shared" si="30"/>
        <v>1061</v>
      </c>
      <c r="W112" s="33">
        <f ca="1">IFERROR(AVERAGEIFS(data_brute!M:M,data_brute!J:J,"&lt;="&amp;V112,data_brute!J:J,"&gt;="&amp;U112),NA())</f>
        <v>25.225999999999999</v>
      </c>
      <c r="X112" s="46">
        <f t="shared" ca="1" si="31"/>
        <v>1060</v>
      </c>
      <c r="Y112" s="2" t="b">
        <f t="shared" si="32"/>
        <v>0</v>
      </c>
      <c r="Z112" s="2" t="b">
        <f t="shared" si="33"/>
        <v>0</v>
      </c>
      <c r="AE112" s="46">
        <f t="shared" si="34"/>
        <v>1052</v>
      </c>
      <c r="AF112" s="46">
        <f t="shared" si="35"/>
        <v>1061</v>
      </c>
      <c r="AG112" s="33">
        <f ca="1">IFERROR(AVERAGEIFS(data_brute!M:M,data_brute!J:J,"&gt;="&amp;AE112,data_brute!J:J,"&lt;="&amp;AF112),NA())</f>
        <v>25.225999999999999</v>
      </c>
      <c r="AH112" s="46">
        <f t="shared" ca="1" si="36"/>
        <v>1060</v>
      </c>
      <c r="AJ112" s="46">
        <f t="shared" si="37"/>
        <v>1052</v>
      </c>
      <c r="AK112" s="46">
        <f t="shared" si="38"/>
        <v>1061</v>
      </c>
      <c r="AL112" s="33">
        <f ca="1">IFERROR(AVERAGEIFS(data_brute!M:M,data_brute!J:J,"&lt;="&amp;AK112),NA())</f>
        <v>25.363424528301895</v>
      </c>
      <c r="AM112" s="46">
        <f t="shared" ca="1" si="39"/>
        <v>1060</v>
      </c>
      <c r="AN112" s="46" t="b">
        <f t="shared" si="40"/>
        <v>0</v>
      </c>
      <c r="AO112" s="50" t="b">
        <f t="shared" si="41"/>
        <v>0</v>
      </c>
    </row>
    <row r="113" spans="21:41" x14ac:dyDescent="0.2">
      <c r="U113" s="46">
        <f t="shared" si="29"/>
        <v>1062</v>
      </c>
      <c r="V113" s="46">
        <f t="shared" si="30"/>
        <v>1071</v>
      </c>
      <c r="W113" s="33">
        <f ca="1">IFERROR(AVERAGEIFS(data_brute!M:M,data_brute!J:J,"&lt;="&amp;V113,data_brute!J:J,"&gt;="&amp;U113),NA())</f>
        <v>24.970999999999997</v>
      </c>
      <c r="X113" s="46">
        <f t="shared" ca="1" si="31"/>
        <v>1070</v>
      </c>
      <c r="Y113" s="2" t="b">
        <f t="shared" si="32"/>
        <v>0</v>
      </c>
      <c r="Z113" s="2" t="b">
        <f t="shared" si="33"/>
        <v>0</v>
      </c>
      <c r="AE113" s="46">
        <f t="shared" si="34"/>
        <v>1062</v>
      </c>
      <c r="AF113" s="46">
        <f t="shared" si="35"/>
        <v>1071</v>
      </c>
      <c r="AG113" s="33">
        <f ca="1">IFERROR(AVERAGEIFS(data_brute!M:M,data_brute!J:J,"&gt;="&amp;AE113,data_brute!J:J,"&lt;="&amp;AF113),NA())</f>
        <v>24.970999999999997</v>
      </c>
      <c r="AH113" s="46">
        <f t="shared" ca="1" si="36"/>
        <v>1070</v>
      </c>
      <c r="AJ113" s="46">
        <f t="shared" si="37"/>
        <v>1062</v>
      </c>
      <c r="AK113" s="46">
        <f t="shared" si="38"/>
        <v>1071</v>
      </c>
      <c r="AL113" s="33">
        <f ca="1">IFERROR(AVERAGEIFS(data_brute!M:M,data_brute!J:J,"&lt;="&amp;AK113),NA())</f>
        <v>25.359757009345799</v>
      </c>
      <c r="AM113" s="46">
        <f t="shared" ca="1" si="39"/>
        <v>1070</v>
      </c>
      <c r="AN113" s="46" t="b">
        <f t="shared" si="40"/>
        <v>0</v>
      </c>
      <c r="AO113" s="50" t="b">
        <f t="shared" si="41"/>
        <v>0</v>
      </c>
    </row>
    <row r="114" spans="21:41" x14ac:dyDescent="0.2">
      <c r="U114" s="46">
        <f t="shared" si="29"/>
        <v>1072</v>
      </c>
      <c r="V114" s="46">
        <f t="shared" si="30"/>
        <v>1081</v>
      </c>
      <c r="W114" s="33">
        <f ca="1">IFERROR(AVERAGEIFS(data_brute!M:M,data_brute!J:J,"&lt;="&amp;V114,data_brute!J:J,"&gt;="&amp;U114),NA())</f>
        <v>25.422999999999998</v>
      </c>
      <c r="X114" s="46">
        <f t="shared" ca="1" si="31"/>
        <v>1080</v>
      </c>
      <c r="Y114" s="2" t="b">
        <f t="shared" si="32"/>
        <v>0</v>
      </c>
      <c r="Z114" s="2" t="b">
        <f t="shared" si="33"/>
        <v>0</v>
      </c>
      <c r="AE114" s="46">
        <f t="shared" si="34"/>
        <v>1072</v>
      </c>
      <c r="AF114" s="46">
        <f t="shared" si="35"/>
        <v>1081</v>
      </c>
      <c r="AG114" s="33">
        <f ca="1">IFERROR(AVERAGEIFS(data_brute!M:M,data_brute!J:J,"&gt;="&amp;AE114,data_brute!J:J,"&lt;="&amp;AF114),NA())</f>
        <v>25.422999999999998</v>
      </c>
      <c r="AH114" s="46">
        <f t="shared" ca="1" si="36"/>
        <v>1080</v>
      </c>
      <c r="AJ114" s="46">
        <f t="shared" si="37"/>
        <v>1072</v>
      </c>
      <c r="AK114" s="46">
        <f t="shared" si="38"/>
        <v>1081</v>
      </c>
      <c r="AL114" s="33">
        <f ca="1">IFERROR(AVERAGEIFS(data_brute!M:M,data_brute!J:J,"&lt;="&amp;AK114),NA())</f>
        <v>25.360342592592598</v>
      </c>
      <c r="AM114" s="46">
        <f t="shared" ca="1" si="39"/>
        <v>1080</v>
      </c>
      <c r="AN114" s="46" t="b">
        <f t="shared" si="40"/>
        <v>0</v>
      </c>
      <c r="AO114" s="50" t="b">
        <f t="shared" si="41"/>
        <v>0</v>
      </c>
    </row>
    <row r="115" spans="21:41" x14ac:dyDescent="0.2">
      <c r="U115" s="46">
        <f t="shared" si="29"/>
        <v>1082</v>
      </c>
      <c r="V115" s="46">
        <f t="shared" si="30"/>
        <v>1091</v>
      </c>
      <c r="W115" s="33">
        <f ca="1">IFERROR(AVERAGEIFS(data_brute!M:M,data_brute!J:J,"&lt;="&amp;V115,data_brute!J:J,"&gt;="&amp;U115),NA())</f>
        <v>25.086000000000002</v>
      </c>
      <c r="X115" s="46">
        <f t="shared" ca="1" si="31"/>
        <v>1090</v>
      </c>
      <c r="Y115" s="2" t="b">
        <f t="shared" si="32"/>
        <v>0</v>
      </c>
      <c r="Z115" s="2" t="b">
        <f t="shared" si="33"/>
        <v>0</v>
      </c>
      <c r="AE115" s="46">
        <f t="shared" si="34"/>
        <v>1082</v>
      </c>
      <c r="AF115" s="46">
        <f t="shared" si="35"/>
        <v>1091</v>
      </c>
      <c r="AG115" s="33">
        <f ca="1">IFERROR(AVERAGEIFS(data_brute!M:M,data_brute!J:J,"&gt;="&amp;AE115,data_brute!J:J,"&lt;="&amp;AF115),NA())</f>
        <v>25.086000000000002</v>
      </c>
      <c r="AH115" s="46">
        <f t="shared" ca="1" si="36"/>
        <v>1090</v>
      </c>
      <c r="AJ115" s="46">
        <f t="shared" si="37"/>
        <v>1082</v>
      </c>
      <c r="AK115" s="46">
        <f t="shared" si="38"/>
        <v>1091</v>
      </c>
      <c r="AL115" s="33">
        <f ca="1">IFERROR(AVERAGEIFS(data_brute!M:M,data_brute!J:J,"&lt;="&amp;AK115),NA())</f>
        <v>25.357825688073397</v>
      </c>
      <c r="AM115" s="46">
        <f t="shared" ca="1" si="39"/>
        <v>1090</v>
      </c>
      <c r="AN115" s="46" t="b">
        <f t="shared" si="40"/>
        <v>0</v>
      </c>
      <c r="AO115" s="50" t="b">
        <f t="shared" si="41"/>
        <v>0</v>
      </c>
    </row>
    <row r="116" spans="21:41" x14ac:dyDescent="0.2">
      <c r="U116" s="46">
        <f t="shared" si="29"/>
        <v>1092</v>
      </c>
      <c r="V116" s="46">
        <f t="shared" si="30"/>
        <v>1101</v>
      </c>
      <c r="W116" s="33">
        <f ca="1">IFERROR(AVERAGEIFS(data_brute!M:M,data_brute!J:J,"&lt;="&amp;V116,data_brute!J:J,"&gt;="&amp;U116),NA())</f>
        <v>25.229000000000003</v>
      </c>
      <c r="X116" s="46">
        <f t="shared" ca="1" si="31"/>
        <v>1100</v>
      </c>
      <c r="Y116" s="2" t="b">
        <f t="shared" si="32"/>
        <v>0</v>
      </c>
      <c r="Z116" s="2" t="b">
        <f t="shared" si="33"/>
        <v>0</v>
      </c>
      <c r="AE116" s="46">
        <f t="shared" si="34"/>
        <v>1092</v>
      </c>
      <c r="AF116" s="46">
        <f t="shared" si="35"/>
        <v>1101</v>
      </c>
      <c r="AG116" s="33">
        <f ca="1">IFERROR(AVERAGEIFS(data_brute!M:M,data_brute!J:J,"&gt;="&amp;AE116,data_brute!J:J,"&lt;="&amp;AF116),NA())</f>
        <v>25.229000000000003</v>
      </c>
      <c r="AH116" s="46">
        <f t="shared" ca="1" si="36"/>
        <v>1100</v>
      </c>
      <c r="AJ116" s="46">
        <f t="shared" si="37"/>
        <v>1092</v>
      </c>
      <c r="AK116" s="46">
        <f t="shared" si="38"/>
        <v>1101</v>
      </c>
      <c r="AL116" s="33">
        <f ca="1">IFERROR(AVERAGEIFS(data_brute!M:M,data_brute!J:J,"&lt;="&amp;AK116),NA())</f>
        <v>25.35665454545455</v>
      </c>
      <c r="AM116" s="46">
        <f t="shared" ca="1" si="39"/>
        <v>1100</v>
      </c>
      <c r="AN116" s="46" t="b">
        <f t="shared" si="40"/>
        <v>0</v>
      </c>
      <c r="AO116" s="50" t="b">
        <f t="shared" si="41"/>
        <v>0</v>
      </c>
    </row>
    <row r="117" spans="21:41" x14ac:dyDescent="0.2">
      <c r="U117" s="46">
        <f t="shared" si="29"/>
        <v>1102</v>
      </c>
      <c r="V117" s="46">
        <f t="shared" si="30"/>
        <v>1111</v>
      </c>
      <c r="W117" s="33">
        <f ca="1">IFERROR(AVERAGEIFS(data_brute!M:M,data_brute!J:J,"&lt;="&amp;V117,data_brute!J:J,"&gt;="&amp;U117),NA())</f>
        <v>25.318000000000005</v>
      </c>
      <c r="X117" s="46">
        <f t="shared" ca="1" si="31"/>
        <v>1110</v>
      </c>
      <c r="Y117" s="2" t="b">
        <f t="shared" si="32"/>
        <v>0</v>
      </c>
      <c r="Z117" s="2" t="b">
        <f t="shared" si="33"/>
        <v>0</v>
      </c>
      <c r="AE117" s="46">
        <f t="shared" si="34"/>
        <v>1102</v>
      </c>
      <c r="AF117" s="46">
        <f t="shared" si="35"/>
        <v>1111</v>
      </c>
      <c r="AG117" s="33">
        <f ca="1">IFERROR(AVERAGEIFS(data_brute!M:M,data_brute!J:J,"&gt;="&amp;AE117,data_brute!J:J,"&lt;="&amp;AF117),NA())</f>
        <v>25.318000000000005</v>
      </c>
      <c r="AH117" s="46">
        <f t="shared" ca="1" si="36"/>
        <v>1110</v>
      </c>
      <c r="AJ117" s="46">
        <f t="shared" si="37"/>
        <v>1102</v>
      </c>
      <c r="AK117" s="46">
        <f t="shared" si="38"/>
        <v>1111</v>
      </c>
      <c r="AL117" s="33">
        <f ca="1">IFERROR(AVERAGEIFS(data_brute!M:M,data_brute!J:J,"&lt;="&amp;AK117),NA())</f>
        <v>25.356306306306305</v>
      </c>
      <c r="AM117" s="46">
        <f t="shared" ca="1" si="39"/>
        <v>1110</v>
      </c>
      <c r="AN117" s="46" t="b">
        <f t="shared" si="40"/>
        <v>0</v>
      </c>
      <c r="AO117" s="50" t="b">
        <f t="shared" si="41"/>
        <v>0</v>
      </c>
    </row>
    <row r="118" spans="21:41" x14ac:dyDescent="0.2">
      <c r="U118" s="46">
        <f t="shared" si="29"/>
        <v>1112</v>
      </c>
      <c r="V118" s="46">
        <f t="shared" si="30"/>
        <v>1121</v>
      </c>
      <c r="W118" s="33">
        <f ca="1">IFERROR(AVERAGEIFS(data_brute!M:M,data_brute!J:J,"&lt;="&amp;V118,data_brute!J:J,"&gt;="&amp;U118),NA())</f>
        <v>25.274999999999999</v>
      </c>
      <c r="X118" s="46">
        <f t="shared" ca="1" si="31"/>
        <v>1120</v>
      </c>
      <c r="Y118" s="2" t="b">
        <f t="shared" si="32"/>
        <v>0</v>
      </c>
      <c r="Z118" s="2" t="b">
        <f t="shared" si="33"/>
        <v>0</v>
      </c>
      <c r="AE118" s="46">
        <f t="shared" si="34"/>
        <v>1112</v>
      </c>
      <c r="AF118" s="46">
        <f t="shared" si="35"/>
        <v>1121</v>
      </c>
      <c r="AG118" s="33">
        <f ca="1">IFERROR(AVERAGEIFS(data_brute!M:M,data_brute!J:J,"&gt;="&amp;AE118,data_brute!J:J,"&lt;="&amp;AF118),NA())</f>
        <v>25.274999999999999</v>
      </c>
      <c r="AH118" s="46">
        <f t="shared" ca="1" si="36"/>
        <v>1120</v>
      </c>
      <c r="AJ118" s="46">
        <f t="shared" si="37"/>
        <v>1112</v>
      </c>
      <c r="AK118" s="46">
        <f t="shared" si="38"/>
        <v>1121</v>
      </c>
      <c r="AL118" s="33">
        <f ca="1">IFERROR(AVERAGEIFS(data_brute!M:M,data_brute!J:J,"&lt;="&amp;AK118),NA())</f>
        <v>25.355580357142856</v>
      </c>
      <c r="AM118" s="46">
        <f t="shared" ca="1" si="39"/>
        <v>1120</v>
      </c>
      <c r="AN118" s="46" t="b">
        <f t="shared" si="40"/>
        <v>0</v>
      </c>
      <c r="AO118" s="50" t="b">
        <f t="shared" si="41"/>
        <v>0</v>
      </c>
    </row>
    <row r="119" spans="21:41" x14ac:dyDescent="0.2">
      <c r="U119" s="46">
        <f t="shared" si="29"/>
        <v>1122</v>
      </c>
      <c r="V119" s="46">
        <f t="shared" si="30"/>
        <v>1131</v>
      </c>
      <c r="W119" s="33">
        <f ca="1">IFERROR(AVERAGEIFS(data_brute!M:M,data_brute!J:J,"&lt;="&amp;V119,data_brute!J:J,"&gt;="&amp;U119),NA())</f>
        <v>25.206000000000003</v>
      </c>
      <c r="X119" s="46">
        <f t="shared" ca="1" si="31"/>
        <v>1130</v>
      </c>
      <c r="Y119" s="2" t="b">
        <f t="shared" si="32"/>
        <v>0</v>
      </c>
      <c r="Z119" s="2" t="b">
        <f t="shared" si="33"/>
        <v>0</v>
      </c>
      <c r="AE119" s="46">
        <f t="shared" si="34"/>
        <v>1122</v>
      </c>
      <c r="AF119" s="46">
        <f t="shared" si="35"/>
        <v>1131</v>
      </c>
      <c r="AG119" s="33">
        <f ca="1">IFERROR(AVERAGEIFS(data_brute!M:M,data_brute!J:J,"&gt;="&amp;AE119,data_brute!J:J,"&lt;="&amp;AF119),NA())</f>
        <v>25.206000000000003</v>
      </c>
      <c r="AH119" s="46">
        <f t="shared" ca="1" si="36"/>
        <v>1130</v>
      </c>
      <c r="AJ119" s="46">
        <f t="shared" si="37"/>
        <v>1122</v>
      </c>
      <c r="AK119" s="46">
        <f t="shared" si="38"/>
        <v>1131</v>
      </c>
      <c r="AL119" s="33">
        <f ca="1">IFERROR(AVERAGEIFS(data_brute!M:M,data_brute!J:J,"&lt;="&amp;AK119),NA())</f>
        <v>25.354256637168142</v>
      </c>
      <c r="AM119" s="46">
        <f t="shared" ca="1" si="39"/>
        <v>1130</v>
      </c>
      <c r="AN119" s="46" t="b">
        <f t="shared" si="40"/>
        <v>0</v>
      </c>
      <c r="AO119" s="50" t="b">
        <f t="shared" si="41"/>
        <v>0</v>
      </c>
    </row>
    <row r="120" spans="21:41" x14ac:dyDescent="0.2">
      <c r="U120" s="46">
        <f t="shared" si="29"/>
        <v>1132</v>
      </c>
      <c r="V120" s="46">
        <f t="shared" si="30"/>
        <v>1141</v>
      </c>
      <c r="W120" s="33">
        <f ca="1">IFERROR(AVERAGEIFS(data_brute!M:M,data_brute!J:J,"&lt;="&amp;V120,data_brute!J:J,"&gt;="&amp;U120),NA())</f>
        <v>25.187999999999999</v>
      </c>
      <c r="X120" s="46">
        <f t="shared" ca="1" si="31"/>
        <v>1140</v>
      </c>
      <c r="Y120" s="2" t="b">
        <f t="shared" si="32"/>
        <v>0</v>
      </c>
      <c r="Z120" s="2" t="b">
        <f t="shared" si="33"/>
        <v>1</v>
      </c>
      <c r="AE120" s="46">
        <f t="shared" si="34"/>
        <v>1132</v>
      </c>
      <c r="AF120" s="46">
        <f t="shared" si="35"/>
        <v>1141</v>
      </c>
      <c r="AG120" s="33">
        <f ca="1">IFERROR(AVERAGEIFS(data_brute!M:M,data_brute!J:J,"&gt;="&amp;AE120,data_brute!J:J,"&lt;="&amp;AF120),NA())</f>
        <v>25.187999999999999</v>
      </c>
      <c r="AH120" s="46">
        <f t="shared" ca="1" si="36"/>
        <v>1140</v>
      </c>
      <c r="AJ120" s="46">
        <f t="shared" si="37"/>
        <v>1132</v>
      </c>
      <c r="AK120" s="46">
        <f t="shared" si="38"/>
        <v>1141</v>
      </c>
      <c r="AL120" s="33">
        <f ca="1">IFERROR(AVERAGEIFS(data_brute!M:M,data_brute!J:J,"&lt;="&amp;AK120),NA())</f>
        <v>25.353524229074896</v>
      </c>
      <c r="AM120" s="46">
        <f t="shared" ca="1" si="39"/>
        <v>1140</v>
      </c>
      <c r="AN120" s="46" t="b">
        <f t="shared" si="40"/>
        <v>0</v>
      </c>
      <c r="AO120" s="50" t="b">
        <f t="shared" si="41"/>
        <v>1</v>
      </c>
    </row>
    <row r="121" spans="21:41" x14ac:dyDescent="0.2">
      <c r="U121" s="46">
        <f t="shared" si="29"/>
        <v>1142</v>
      </c>
      <c r="V121" s="46">
        <f t="shared" si="30"/>
        <v>1151</v>
      </c>
      <c r="W121" s="33" t="e">
        <f>IFERROR(AVERAGEIFS(data_brute!M:M,data_brute!J:J,"&lt;="&amp;V121,data_brute!J:J,"&gt;="&amp;U121),NA())</f>
        <v>#N/A</v>
      </c>
      <c r="X121" s="46" t="e">
        <f t="shared" si="31"/>
        <v>#N/A</v>
      </c>
      <c r="Y121" s="2" t="b">
        <f t="shared" si="32"/>
        <v>0</v>
      </c>
      <c r="Z121" s="2" t="b">
        <f t="shared" si="33"/>
        <v>0</v>
      </c>
      <c r="AE121" s="46">
        <f t="shared" si="34"/>
        <v>1142</v>
      </c>
      <c r="AF121" s="46">
        <f t="shared" si="35"/>
        <v>1151</v>
      </c>
      <c r="AG121" s="33" t="e">
        <f>IFERROR(AVERAGEIFS(data_brute!M:M,data_brute!J:J,"&gt;="&amp;AE121,data_brute!J:J,"&lt;="&amp;AF121),NA())</f>
        <v>#N/A</v>
      </c>
      <c r="AH121" s="46" t="e">
        <f t="shared" si="36"/>
        <v>#N/A</v>
      </c>
      <c r="AJ121" s="46">
        <f t="shared" si="37"/>
        <v>1142</v>
      </c>
      <c r="AK121" s="46">
        <f t="shared" si="38"/>
        <v>1151</v>
      </c>
      <c r="AL121" s="33">
        <f ca="1">IFERROR(AVERAGEIFS(data_brute!M:M,data_brute!J:J,"&lt;="&amp;AK121),NA())</f>
        <v>25.353524229074896</v>
      </c>
      <c r="AM121" s="46">
        <f t="shared" ca="1" si="39"/>
        <v>1150</v>
      </c>
      <c r="AN121" s="46" t="b">
        <f t="shared" si="40"/>
        <v>0</v>
      </c>
      <c r="AO121" s="50" t="b">
        <f t="shared" si="41"/>
        <v>0</v>
      </c>
    </row>
    <row r="122" spans="21:41" x14ac:dyDescent="0.2">
      <c r="U122" s="46">
        <f t="shared" si="29"/>
        <v>1152</v>
      </c>
      <c r="V122" s="46">
        <f t="shared" si="30"/>
        <v>1161</v>
      </c>
      <c r="W122" s="33" t="e">
        <f>IFERROR(AVERAGEIFS(data_brute!M:M,data_brute!J:J,"&lt;="&amp;V122,data_brute!J:J,"&gt;="&amp;U122),NA())</f>
        <v>#N/A</v>
      </c>
      <c r="X122" s="46" t="e">
        <f t="shared" si="31"/>
        <v>#N/A</v>
      </c>
      <c r="Y122" s="2" t="b">
        <f t="shared" si="32"/>
        <v>0</v>
      </c>
      <c r="Z122" s="2" t="b">
        <f t="shared" si="33"/>
        <v>0</v>
      </c>
      <c r="AE122" s="46">
        <f t="shared" si="34"/>
        <v>1152</v>
      </c>
      <c r="AF122" s="46">
        <f t="shared" si="35"/>
        <v>1161</v>
      </c>
      <c r="AG122" s="33" t="e">
        <f>IFERROR(AVERAGEIFS(data_brute!M:M,data_brute!J:J,"&gt;="&amp;AE122,data_brute!J:J,"&lt;="&amp;AF122),NA())</f>
        <v>#N/A</v>
      </c>
      <c r="AH122" s="46" t="e">
        <f t="shared" si="36"/>
        <v>#N/A</v>
      </c>
      <c r="AJ122" s="46">
        <f t="shared" si="37"/>
        <v>1152</v>
      </c>
      <c r="AK122" s="46">
        <f t="shared" si="38"/>
        <v>1161</v>
      </c>
      <c r="AL122" s="33">
        <f ca="1">IFERROR(AVERAGEIFS(data_brute!M:M,data_brute!J:J,"&lt;="&amp;AK122),NA())</f>
        <v>25.353524229074896</v>
      </c>
      <c r="AM122" s="46">
        <f t="shared" ca="1" si="39"/>
        <v>1160</v>
      </c>
      <c r="AN122" s="46" t="b">
        <f t="shared" si="40"/>
        <v>0</v>
      </c>
      <c r="AO122" s="50" t="b">
        <f t="shared" si="41"/>
        <v>0</v>
      </c>
    </row>
    <row r="123" spans="21:41" x14ac:dyDescent="0.2">
      <c r="U123" s="46">
        <f t="shared" si="29"/>
        <v>1162</v>
      </c>
      <c r="V123" s="46">
        <f t="shared" si="30"/>
        <v>1171</v>
      </c>
      <c r="W123" s="33" t="e">
        <f>IFERROR(AVERAGEIFS(data_brute!M:M,data_brute!J:J,"&lt;="&amp;V123,data_brute!J:J,"&gt;="&amp;U123),NA())</f>
        <v>#N/A</v>
      </c>
      <c r="X123" s="46" t="e">
        <f t="shared" si="31"/>
        <v>#N/A</v>
      </c>
      <c r="Y123" s="2" t="b">
        <f t="shared" si="32"/>
        <v>0</v>
      </c>
      <c r="Z123" s="2" t="b">
        <f t="shared" si="33"/>
        <v>0</v>
      </c>
      <c r="AE123" s="46">
        <f t="shared" si="34"/>
        <v>1162</v>
      </c>
      <c r="AF123" s="46">
        <f t="shared" si="35"/>
        <v>1171</v>
      </c>
      <c r="AG123" s="33" t="e">
        <f>IFERROR(AVERAGEIFS(data_brute!M:M,data_brute!J:J,"&gt;="&amp;AE123,data_brute!J:J,"&lt;="&amp;AF123),NA())</f>
        <v>#N/A</v>
      </c>
      <c r="AH123" s="46" t="e">
        <f t="shared" si="36"/>
        <v>#N/A</v>
      </c>
      <c r="AJ123" s="46">
        <f t="shared" si="37"/>
        <v>1162</v>
      </c>
      <c r="AK123" s="46">
        <f t="shared" si="38"/>
        <v>1171</v>
      </c>
      <c r="AL123" s="33">
        <f ca="1">IFERROR(AVERAGEIFS(data_brute!M:M,data_brute!J:J,"&lt;="&amp;AK123),NA())</f>
        <v>25.353524229074896</v>
      </c>
      <c r="AM123" s="46">
        <f t="shared" ca="1" si="39"/>
        <v>1170</v>
      </c>
      <c r="AN123" s="46" t="b">
        <f t="shared" si="40"/>
        <v>0</v>
      </c>
      <c r="AO123" s="50" t="b">
        <f t="shared" si="41"/>
        <v>0</v>
      </c>
    </row>
    <row r="124" spans="21:41" x14ac:dyDescent="0.2">
      <c r="U124" s="46">
        <f t="shared" si="29"/>
        <v>1172</v>
      </c>
      <c r="V124" s="46">
        <f t="shared" si="30"/>
        <v>1181</v>
      </c>
      <c r="W124" s="33" t="e">
        <f>IFERROR(AVERAGEIFS(data_brute!M:M,data_brute!J:J,"&lt;="&amp;V124,data_brute!J:J,"&gt;="&amp;U124),NA())</f>
        <v>#N/A</v>
      </c>
      <c r="X124" s="46" t="e">
        <f t="shared" si="31"/>
        <v>#N/A</v>
      </c>
      <c r="Y124" s="2" t="b">
        <f t="shared" si="32"/>
        <v>0</v>
      </c>
      <c r="Z124" s="2" t="b">
        <f t="shared" si="33"/>
        <v>0</v>
      </c>
      <c r="AE124" s="46">
        <f t="shared" si="34"/>
        <v>1172</v>
      </c>
      <c r="AF124" s="46">
        <f t="shared" si="35"/>
        <v>1181</v>
      </c>
      <c r="AG124" s="33" t="e">
        <f>IFERROR(AVERAGEIFS(data_brute!M:M,data_brute!J:J,"&gt;="&amp;AE124,data_brute!J:J,"&lt;="&amp;AF124),NA())</f>
        <v>#N/A</v>
      </c>
      <c r="AH124" s="46" t="e">
        <f t="shared" si="36"/>
        <v>#N/A</v>
      </c>
      <c r="AJ124" s="46">
        <f t="shared" si="37"/>
        <v>1172</v>
      </c>
      <c r="AK124" s="46">
        <f t="shared" si="38"/>
        <v>1181</v>
      </c>
      <c r="AL124" s="33">
        <f ca="1">IFERROR(AVERAGEIFS(data_brute!M:M,data_brute!J:J,"&lt;="&amp;AK124),NA())</f>
        <v>25.353524229074896</v>
      </c>
      <c r="AM124" s="46">
        <f t="shared" ca="1" si="39"/>
        <v>1180</v>
      </c>
      <c r="AN124" s="46" t="b">
        <f t="shared" si="40"/>
        <v>0</v>
      </c>
      <c r="AO124" s="50" t="b">
        <f t="shared" si="41"/>
        <v>0</v>
      </c>
    </row>
    <row r="125" spans="21:41" x14ac:dyDescent="0.2">
      <c r="U125" s="46">
        <f t="shared" si="29"/>
        <v>1182</v>
      </c>
      <c r="V125" s="46">
        <f t="shared" si="30"/>
        <v>1191</v>
      </c>
      <c r="W125" s="33" t="e">
        <f>IFERROR(AVERAGEIFS(data_brute!M:M,data_brute!J:J,"&lt;="&amp;V125,data_brute!J:J,"&gt;="&amp;U125),NA())</f>
        <v>#N/A</v>
      </c>
      <c r="X125" s="46" t="e">
        <f t="shared" si="31"/>
        <v>#N/A</v>
      </c>
      <c r="Y125" s="2" t="b">
        <f t="shared" si="32"/>
        <v>0</v>
      </c>
      <c r="Z125" s="2" t="b">
        <f t="shared" si="33"/>
        <v>0</v>
      </c>
      <c r="AE125" s="46">
        <f t="shared" si="34"/>
        <v>1182</v>
      </c>
      <c r="AF125" s="46">
        <f t="shared" si="35"/>
        <v>1191</v>
      </c>
      <c r="AG125" s="33" t="e">
        <f>IFERROR(AVERAGEIFS(data_brute!M:M,data_brute!J:J,"&gt;="&amp;AE125,data_brute!J:J,"&lt;="&amp;AF125),NA())</f>
        <v>#N/A</v>
      </c>
      <c r="AH125" s="46" t="e">
        <f t="shared" si="36"/>
        <v>#N/A</v>
      </c>
      <c r="AJ125" s="46">
        <f t="shared" si="37"/>
        <v>1182</v>
      </c>
      <c r="AK125" s="46">
        <f t="shared" si="38"/>
        <v>1191</v>
      </c>
      <c r="AL125" s="33">
        <f ca="1">IFERROR(AVERAGEIFS(data_brute!M:M,data_brute!J:J,"&lt;="&amp;AK125),NA())</f>
        <v>25.353524229074896</v>
      </c>
      <c r="AM125" s="46">
        <f t="shared" ca="1" si="39"/>
        <v>1190</v>
      </c>
      <c r="AN125" s="46" t="b">
        <f t="shared" si="40"/>
        <v>0</v>
      </c>
      <c r="AO125" s="50" t="b">
        <f t="shared" si="41"/>
        <v>0</v>
      </c>
    </row>
    <row r="126" spans="21:41" x14ac:dyDescent="0.2">
      <c r="U126" s="46">
        <f t="shared" si="29"/>
        <v>1192</v>
      </c>
      <c r="V126" s="46">
        <f t="shared" si="30"/>
        <v>1201</v>
      </c>
      <c r="W126" s="33" t="e">
        <f>IFERROR(AVERAGEIFS(data_brute!M:M,data_brute!J:J,"&lt;="&amp;V126,data_brute!J:J,"&gt;="&amp;U126),NA())</f>
        <v>#N/A</v>
      </c>
      <c r="X126" s="46" t="e">
        <f t="shared" si="31"/>
        <v>#N/A</v>
      </c>
      <c r="Y126" s="2" t="b">
        <f t="shared" si="32"/>
        <v>0</v>
      </c>
      <c r="Z126" s="2" t="b">
        <f t="shared" si="33"/>
        <v>0</v>
      </c>
      <c r="AE126" s="46">
        <f t="shared" si="34"/>
        <v>1192</v>
      </c>
      <c r="AF126" s="46">
        <f t="shared" si="35"/>
        <v>1201</v>
      </c>
      <c r="AG126" s="33" t="e">
        <f>IFERROR(AVERAGEIFS(data_brute!M:M,data_brute!J:J,"&gt;="&amp;AE126,data_brute!J:J,"&lt;="&amp;AF126),NA())</f>
        <v>#N/A</v>
      </c>
      <c r="AH126" s="46" t="e">
        <f t="shared" si="36"/>
        <v>#N/A</v>
      </c>
      <c r="AJ126" s="46">
        <f t="shared" si="37"/>
        <v>1192</v>
      </c>
      <c r="AK126" s="46">
        <f t="shared" si="38"/>
        <v>1201</v>
      </c>
      <c r="AL126" s="33">
        <f ca="1">IFERROR(AVERAGEIFS(data_brute!M:M,data_brute!J:J,"&lt;="&amp;AK126),NA())</f>
        <v>25.353524229074896</v>
      </c>
      <c r="AM126" s="46">
        <f t="shared" ca="1" si="39"/>
        <v>1200</v>
      </c>
      <c r="AN126" s="46" t="b">
        <f t="shared" si="40"/>
        <v>0</v>
      </c>
      <c r="AO126" s="50" t="b">
        <f t="shared" si="41"/>
        <v>0</v>
      </c>
    </row>
    <row r="127" spans="21:41" x14ac:dyDescent="0.2">
      <c r="U127" s="46">
        <f t="shared" si="29"/>
        <v>1202</v>
      </c>
      <c r="V127" s="46">
        <f t="shared" si="30"/>
        <v>1211</v>
      </c>
      <c r="W127" s="33" t="e">
        <f>IFERROR(AVERAGEIFS(data_brute!M:M,data_brute!J:J,"&lt;="&amp;V127,data_brute!J:J,"&gt;="&amp;U127),NA())</f>
        <v>#N/A</v>
      </c>
      <c r="X127" s="46" t="e">
        <f t="shared" si="31"/>
        <v>#N/A</v>
      </c>
      <c r="Y127" s="2" t="b">
        <f t="shared" si="32"/>
        <v>0</v>
      </c>
      <c r="Z127" s="2" t="b">
        <f t="shared" si="33"/>
        <v>0</v>
      </c>
      <c r="AE127" s="46">
        <f t="shared" si="34"/>
        <v>1202</v>
      </c>
      <c r="AF127" s="46">
        <f t="shared" si="35"/>
        <v>1211</v>
      </c>
      <c r="AG127" s="33" t="e">
        <f>IFERROR(AVERAGEIFS(data_brute!M:M,data_brute!J:J,"&gt;="&amp;AE127,data_brute!J:J,"&lt;="&amp;AF127),NA())</f>
        <v>#N/A</v>
      </c>
      <c r="AH127" s="46" t="e">
        <f t="shared" si="36"/>
        <v>#N/A</v>
      </c>
      <c r="AJ127" s="46">
        <f t="shared" si="37"/>
        <v>1202</v>
      </c>
      <c r="AK127" s="46">
        <f t="shared" si="38"/>
        <v>1211</v>
      </c>
      <c r="AL127" s="33">
        <f ca="1">IFERROR(AVERAGEIFS(data_brute!M:M,data_brute!J:J,"&lt;="&amp;AK127),NA())</f>
        <v>25.353524229074896</v>
      </c>
      <c r="AM127" s="46">
        <f t="shared" ca="1" si="39"/>
        <v>1210</v>
      </c>
      <c r="AN127" s="46" t="b">
        <f t="shared" si="40"/>
        <v>0</v>
      </c>
      <c r="AO127" s="50" t="b">
        <f t="shared" si="41"/>
        <v>0</v>
      </c>
    </row>
    <row r="128" spans="21:41" x14ac:dyDescent="0.2">
      <c r="U128" s="46">
        <f t="shared" si="29"/>
        <v>1212</v>
      </c>
      <c r="V128" s="46">
        <f t="shared" si="30"/>
        <v>1221</v>
      </c>
      <c r="W128" s="33" t="e">
        <f>IFERROR(AVERAGEIFS(data_brute!M:M,data_brute!J:J,"&lt;="&amp;V128,data_brute!J:J,"&gt;="&amp;U128),NA())</f>
        <v>#N/A</v>
      </c>
      <c r="X128" s="46" t="e">
        <f t="shared" si="31"/>
        <v>#N/A</v>
      </c>
      <c r="Y128" s="2" t="b">
        <f t="shared" si="32"/>
        <v>0</v>
      </c>
      <c r="Z128" s="2" t="b">
        <f t="shared" si="33"/>
        <v>0</v>
      </c>
      <c r="AE128" s="46">
        <f t="shared" si="34"/>
        <v>1212</v>
      </c>
      <c r="AF128" s="46">
        <f t="shared" si="35"/>
        <v>1221</v>
      </c>
      <c r="AG128" s="33" t="e">
        <f>IFERROR(AVERAGEIFS(data_brute!M:M,data_brute!J:J,"&gt;="&amp;AE128,data_brute!J:J,"&lt;="&amp;AF128),NA())</f>
        <v>#N/A</v>
      </c>
      <c r="AH128" s="46" t="e">
        <f t="shared" si="36"/>
        <v>#N/A</v>
      </c>
      <c r="AJ128" s="46">
        <f t="shared" si="37"/>
        <v>1212</v>
      </c>
      <c r="AK128" s="46">
        <f t="shared" si="38"/>
        <v>1221</v>
      </c>
      <c r="AL128" s="33">
        <f ca="1">IFERROR(AVERAGEIFS(data_brute!M:M,data_brute!J:J,"&lt;="&amp;AK128),NA())</f>
        <v>25.353524229074896</v>
      </c>
      <c r="AM128" s="46">
        <f t="shared" ca="1" si="39"/>
        <v>1220</v>
      </c>
      <c r="AN128" s="46" t="b">
        <f t="shared" si="40"/>
        <v>0</v>
      </c>
      <c r="AO128" s="50" t="b">
        <f t="shared" si="41"/>
        <v>0</v>
      </c>
    </row>
    <row r="129" spans="21:41" x14ac:dyDescent="0.2">
      <c r="U129" s="46">
        <f t="shared" si="29"/>
        <v>1222</v>
      </c>
      <c r="V129" s="46">
        <f t="shared" si="30"/>
        <v>1231</v>
      </c>
      <c r="W129" s="33" t="e">
        <f>IFERROR(AVERAGEIFS(data_brute!M:M,data_brute!J:J,"&lt;="&amp;V129,data_brute!J:J,"&gt;="&amp;U129),NA())</f>
        <v>#N/A</v>
      </c>
      <c r="X129" s="46" t="e">
        <f t="shared" si="31"/>
        <v>#N/A</v>
      </c>
      <c r="Y129" s="2" t="b">
        <f t="shared" si="32"/>
        <v>0</v>
      </c>
      <c r="Z129" s="2" t="b">
        <f t="shared" si="33"/>
        <v>0</v>
      </c>
      <c r="AE129" s="46">
        <f t="shared" si="34"/>
        <v>1222</v>
      </c>
      <c r="AF129" s="46">
        <f t="shared" si="35"/>
        <v>1231</v>
      </c>
      <c r="AG129" s="33" t="e">
        <f>IFERROR(AVERAGEIFS(data_brute!M:M,data_brute!J:J,"&gt;="&amp;AE129,data_brute!J:J,"&lt;="&amp;AF129),NA())</f>
        <v>#N/A</v>
      </c>
      <c r="AH129" s="46" t="e">
        <f t="shared" si="36"/>
        <v>#N/A</v>
      </c>
      <c r="AJ129" s="46">
        <f t="shared" si="37"/>
        <v>1222</v>
      </c>
      <c r="AK129" s="46">
        <f t="shared" si="38"/>
        <v>1231</v>
      </c>
      <c r="AL129" s="33">
        <f ca="1">IFERROR(AVERAGEIFS(data_brute!M:M,data_brute!J:J,"&lt;="&amp;AK129),NA())</f>
        <v>25.353524229074896</v>
      </c>
      <c r="AM129" s="46">
        <f t="shared" ca="1" si="39"/>
        <v>1230</v>
      </c>
      <c r="AN129" s="46" t="b">
        <f t="shared" si="40"/>
        <v>0</v>
      </c>
      <c r="AO129" s="50" t="b">
        <f t="shared" si="41"/>
        <v>0</v>
      </c>
    </row>
    <row r="130" spans="21:41" x14ac:dyDescent="0.2">
      <c r="U130" s="46">
        <f t="shared" si="29"/>
        <v>1232</v>
      </c>
      <c r="V130" s="46">
        <f t="shared" si="30"/>
        <v>1241</v>
      </c>
      <c r="W130" s="33" t="e">
        <f>IFERROR(AVERAGEIFS(data_brute!M:M,data_brute!J:J,"&lt;="&amp;V130,data_brute!J:J,"&gt;="&amp;U130),NA())</f>
        <v>#N/A</v>
      </c>
      <c r="X130" s="46" t="e">
        <f t="shared" si="31"/>
        <v>#N/A</v>
      </c>
      <c r="Y130" s="2" t="b">
        <f t="shared" si="32"/>
        <v>0</v>
      </c>
      <c r="Z130" s="2" t="b">
        <f t="shared" si="33"/>
        <v>0</v>
      </c>
      <c r="AE130" s="46">
        <f t="shared" si="34"/>
        <v>1232</v>
      </c>
      <c r="AF130" s="46">
        <f t="shared" si="35"/>
        <v>1241</v>
      </c>
      <c r="AG130" s="33" t="e">
        <f>IFERROR(AVERAGEIFS(data_brute!M:M,data_brute!J:J,"&gt;="&amp;AE130,data_brute!J:J,"&lt;="&amp;AF130),NA())</f>
        <v>#N/A</v>
      </c>
      <c r="AH130" s="46" t="e">
        <f t="shared" si="36"/>
        <v>#N/A</v>
      </c>
      <c r="AJ130" s="46">
        <f t="shared" si="37"/>
        <v>1232</v>
      </c>
      <c r="AK130" s="46">
        <f t="shared" si="38"/>
        <v>1241</v>
      </c>
      <c r="AL130" s="33">
        <f ca="1">IFERROR(AVERAGEIFS(data_brute!M:M,data_brute!J:J,"&lt;="&amp;AK130),NA())</f>
        <v>25.353524229074896</v>
      </c>
      <c r="AM130" s="46">
        <f t="shared" ca="1" si="39"/>
        <v>1240</v>
      </c>
      <c r="AN130" s="46" t="b">
        <f t="shared" si="40"/>
        <v>0</v>
      </c>
      <c r="AO130" s="50" t="b">
        <f t="shared" si="41"/>
        <v>0</v>
      </c>
    </row>
    <row r="131" spans="21:41" x14ac:dyDescent="0.2">
      <c r="U131" s="46">
        <f t="shared" si="29"/>
        <v>1242</v>
      </c>
      <c r="V131" s="46">
        <f t="shared" si="30"/>
        <v>1251</v>
      </c>
      <c r="W131" s="33" t="e">
        <f>IFERROR(AVERAGEIFS(data_brute!M:M,data_brute!J:J,"&lt;="&amp;V131,data_brute!J:J,"&gt;="&amp;U131),NA())</f>
        <v>#N/A</v>
      </c>
      <c r="X131" s="46" t="e">
        <f t="shared" si="31"/>
        <v>#N/A</v>
      </c>
      <c r="Y131" s="2" t="b">
        <f t="shared" si="32"/>
        <v>0</v>
      </c>
      <c r="Z131" s="2" t="b">
        <f t="shared" si="33"/>
        <v>0</v>
      </c>
      <c r="AE131" s="46">
        <f t="shared" si="34"/>
        <v>1242</v>
      </c>
      <c r="AF131" s="46">
        <f t="shared" si="35"/>
        <v>1251</v>
      </c>
      <c r="AG131" s="33" t="e">
        <f>IFERROR(AVERAGEIFS(data_brute!M:M,data_brute!J:J,"&gt;="&amp;AE131,data_brute!J:J,"&lt;="&amp;AF131),NA())</f>
        <v>#N/A</v>
      </c>
      <c r="AH131" s="46" t="e">
        <f t="shared" si="36"/>
        <v>#N/A</v>
      </c>
      <c r="AJ131" s="46">
        <f t="shared" si="37"/>
        <v>1242</v>
      </c>
      <c r="AK131" s="46">
        <f t="shared" si="38"/>
        <v>1251</v>
      </c>
      <c r="AL131" s="33">
        <f ca="1">IFERROR(AVERAGEIFS(data_brute!M:M,data_brute!J:J,"&lt;="&amp;AK131),NA())</f>
        <v>25.353524229074896</v>
      </c>
      <c r="AM131" s="46">
        <f t="shared" ca="1" si="39"/>
        <v>1250</v>
      </c>
      <c r="AN131" s="46" t="b">
        <f t="shared" si="40"/>
        <v>0</v>
      </c>
      <c r="AO131" s="50" t="b">
        <f t="shared" si="41"/>
        <v>0</v>
      </c>
    </row>
    <row r="132" spans="21:41" x14ac:dyDescent="0.2">
      <c r="U132" s="46">
        <f t="shared" si="29"/>
        <v>1252</v>
      </c>
      <c r="V132" s="46">
        <f t="shared" si="30"/>
        <v>1261</v>
      </c>
      <c r="W132" s="33" t="e">
        <f>IFERROR(AVERAGEIFS(data_brute!M:M,data_brute!J:J,"&lt;="&amp;V132,data_brute!J:J,"&gt;="&amp;U132),NA())</f>
        <v>#N/A</v>
      </c>
      <c r="X132" s="46" t="e">
        <f t="shared" si="31"/>
        <v>#N/A</v>
      </c>
      <c r="Y132" s="2" t="b">
        <f t="shared" si="32"/>
        <v>0</v>
      </c>
      <c r="Z132" s="2" t="b">
        <f t="shared" si="33"/>
        <v>0</v>
      </c>
      <c r="AE132" s="46">
        <f t="shared" si="34"/>
        <v>1252</v>
      </c>
      <c r="AF132" s="46">
        <f t="shared" si="35"/>
        <v>1261</v>
      </c>
      <c r="AG132" s="33" t="e">
        <f>IFERROR(AVERAGEIFS(data_brute!M:M,data_brute!J:J,"&gt;="&amp;AE132,data_brute!J:J,"&lt;="&amp;AF132),NA())</f>
        <v>#N/A</v>
      </c>
      <c r="AH132" s="46" t="e">
        <f t="shared" si="36"/>
        <v>#N/A</v>
      </c>
      <c r="AJ132" s="46">
        <f t="shared" si="37"/>
        <v>1252</v>
      </c>
      <c r="AK132" s="46">
        <f t="shared" si="38"/>
        <v>1261</v>
      </c>
      <c r="AL132" s="33">
        <f ca="1">IFERROR(AVERAGEIFS(data_brute!M:M,data_brute!J:J,"&lt;="&amp;AK132),NA())</f>
        <v>25.353524229074896</v>
      </c>
      <c r="AM132" s="46">
        <f t="shared" ca="1" si="39"/>
        <v>1260</v>
      </c>
      <c r="AN132" s="46" t="b">
        <f t="shared" si="40"/>
        <v>0</v>
      </c>
      <c r="AO132" s="50" t="b">
        <f t="shared" si="41"/>
        <v>0</v>
      </c>
    </row>
    <row r="133" spans="21:41" x14ac:dyDescent="0.2">
      <c r="U133" s="46">
        <f t="shared" si="29"/>
        <v>1262</v>
      </c>
      <c r="V133" s="46">
        <f t="shared" si="30"/>
        <v>1271</v>
      </c>
      <c r="W133" s="33" t="e">
        <f>IFERROR(AVERAGEIFS(data_brute!M:M,data_brute!J:J,"&lt;="&amp;V133,data_brute!J:J,"&gt;="&amp;U133),NA())</f>
        <v>#N/A</v>
      </c>
      <c r="X133" s="46" t="e">
        <f t="shared" si="31"/>
        <v>#N/A</v>
      </c>
      <c r="Y133" s="2" t="b">
        <f t="shared" si="32"/>
        <v>0</v>
      </c>
      <c r="Z133" s="2" t="b">
        <f t="shared" si="33"/>
        <v>0</v>
      </c>
      <c r="AE133" s="46">
        <f t="shared" si="34"/>
        <v>1262</v>
      </c>
      <c r="AF133" s="46">
        <f t="shared" si="35"/>
        <v>1271</v>
      </c>
      <c r="AG133" s="33" t="e">
        <f>IFERROR(AVERAGEIFS(data_brute!M:M,data_brute!J:J,"&gt;="&amp;AE133,data_brute!J:J,"&lt;="&amp;AF133),NA())</f>
        <v>#N/A</v>
      </c>
      <c r="AH133" s="46" t="e">
        <f t="shared" si="36"/>
        <v>#N/A</v>
      </c>
      <c r="AJ133" s="46">
        <f t="shared" si="37"/>
        <v>1262</v>
      </c>
      <c r="AK133" s="46">
        <f t="shared" si="38"/>
        <v>1271</v>
      </c>
      <c r="AL133" s="33">
        <f ca="1">IFERROR(AVERAGEIFS(data_brute!M:M,data_brute!J:J,"&lt;="&amp;AK133),NA())</f>
        <v>25.353524229074896</v>
      </c>
      <c r="AM133" s="46">
        <f t="shared" ca="1" si="39"/>
        <v>1270</v>
      </c>
      <c r="AN133" s="46" t="b">
        <f t="shared" si="40"/>
        <v>0</v>
      </c>
      <c r="AO133" s="50" t="b">
        <f t="shared" si="41"/>
        <v>0</v>
      </c>
    </row>
    <row r="134" spans="21:41" x14ac:dyDescent="0.2">
      <c r="U134" s="46">
        <f t="shared" si="29"/>
        <v>1272</v>
      </c>
      <c r="V134" s="46">
        <f t="shared" si="30"/>
        <v>1281</v>
      </c>
      <c r="W134" s="33" t="e">
        <f>IFERROR(AVERAGEIFS(data_brute!M:M,data_brute!J:J,"&lt;="&amp;V134,data_brute!J:J,"&gt;="&amp;U134),NA())</f>
        <v>#N/A</v>
      </c>
      <c r="X134" s="46" t="e">
        <f t="shared" si="31"/>
        <v>#N/A</v>
      </c>
      <c r="Y134" s="2" t="b">
        <f t="shared" si="32"/>
        <v>0</v>
      </c>
      <c r="Z134" s="2" t="b">
        <f t="shared" si="33"/>
        <v>0</v>
      </c>
      <c r="AE134" s="46">
        <f t="shared" si="34"/>
        <v>1272</v>
      </c>
      <c r="AF134" s="46">
        <f t="shared" si="35"/>
        <v>1281</v>
      </c>
      <c r="AG134" s="33" t="e">
        <f>IFERROR(AVERAGEIFS(data_brute!M:M,data_brute!J:J,"&gt;="&amp;AE134,data_brute!J:J,"&lt;="&amp;AF134),NA())</f>
        <v>#N/A</v>
      </c>
      <c r="AH134" s="46" t="e">
        <f t="shared" si="36"/>
        <v>#N/A</v>
      </c>
      <c r="AJ134" s="46">
        <f t="shared" si="37"/>
        <v>1272</v>
      </c>
      <c r="AK134" s="46">
        <f t="shared" si="38"/>
        <v>1281</v>
      </c>
      <c r="AL134" s="33">
        <f ca="1">IFERROR(AVERAGEIFS(data_brute!M:M,data_brute!J:J,"&lt;="&amp;AK134),NA())</f>
        <v>25.353524229074896</v>
      </c>
      <c r="AM134" s="46">
        <f t="shared" ca="1" si="39"/>
        <v>1280</v>
      </c>
      <c r="AN134" s="46" t="b">
        <f t="shared" si="40"/>
        <v>0</v>
      </c>
      <c r="AO134" s="50" t="b">
        <f t="shared" si="41"/>
        <v>0</v>
      </c>
    </row>
    <row r="135" spans="21:41" x14ac:dyDescent="0.2">
      <c r="U135" s="46">
        <f t="shared" si="29"/>
        <v>1282</v>
      </c>
      <c r="V135" s="46">
        <f t="shared" si="30"/>
        <v>1291</v>
      </c>
      <c r="W135" s="33" t="e">
        <f>IFERROR(AVERAGEIFS(data_brute!M:M,data_brute!J:J,"&lt;="&amp;V135,data_brute!J:J,"&gt;="&amp;U135),NA())</f>
        <v>#N/A</v>
      </c>
      <c r="X135" s="46" t="e">
        <f t="shared" si="31"/>
        <v>#N/A</v>
      </c>
      <c r="Y135" s="2" t="b">
        <f t="shared" si="32"/>
        <v>0</v>
      </c>
      <c r="Z135" s="2" t="b">
        <f t="shared" si="33"/>
        <v>0</v>
      </c>
      <c r="AE135" s="46">
        <f t="shared" si="34"/>
        <v>1282</v>
      </c>
      <c r="AF135" s="46">
        <f t="shared" si="35"/>
        <v>1291</v>
      </c>
      <c r="AG135" s="33" t="e">
        <f>IFERROR(AVERAGEIFS(data_brute!M:M,data_brute!J:J,"&gt;="&amp;AE135,data_brute!J:J,"&lt;="&amp;AF135),NA())</f>
        <v>#N/A</v>
      </c>
      <c r="AH135" s="46" t="e">
        <f t="shared" si="36"/>
        <v>#N/A</v>
      </c>
      <c r="AJ135" s="46">
        <f t="shared" si="37"/>
        <v>1282</v>
      </c>
      <c r="AK135" s="46">
        <f t="shared" si="38"/>
        <v>1291</v>
      </c>
      <c r="AL135" s="33">
        <f ca="1">IFERROR(AVERAGEIFS(data_brute!M:M,data_brute!J:J,"&lt;="&amp;AK135),NA())</f>
        <v>25.353524229074896</v>
      </c>
      <c r="AM135" s="46">
        <f t="shared" ca="1" si="39"/>
        <v>1290</v>
      </c>
      <c r="AN135" s="46" t="b">
        <f t="shared" si="40"/>
        <v>0</v>
      </c>
      <c r="AO135" s="50" t="b">
        <f t="shared" si="41"/>
        <v>0</v>
      </c>
    </row>
    <row r="136" spans="21:41" x14ac:dyDescent="0.2">
      <c r="U136" s="46">
        <f t="shared" si="29"/>
        <v>1292</v>
      </c>
      <c r="V136" s="46">
        <f t="shared" si="30"/>
        <v>1301</v>
      </c>
      <c r="W136" s="33" t="e">
        <f>IFERROR(AVERAGEIFS(data_brute!M:M,data_brute!J:J,"&lt;="&amp;V136,data_brute!J:J,"&gt;="&amp;U136),NA())</f>
        <v>#N/A</v>
      </c>
      <c r="X136" s="46" t="e">
        <f t="shared" si="31"/>
        <v>#N/A</v>
      </c>
      <c r="Y136" s="2" t="b">
        <f t="shared" si="32"/>
        <v>0</v>
      </c>
      <c r="Z136" s="2" t="b">
        <f t="shared" si="33"/>
        <v>0</v>
      </c>
      <c r="AE136" s="46">
        <f t="shared" si="34"/>
        <v>1292</v>
      </c>
      <c r="AF136" s="46">
        <f t="shared" si="35"/>
        <v>1301</v>
      </c>
      <c r="AG136" s="33" t="e">
        <f>IFERROR(AVERAGEIFS(data_brute!M:M,data_brute!J:J,"&gt;="&amp;AE136,data_brute!J:J,"&lt;="&amp;AF136),NA())</f>
        <v>#N/A</v>
      </c>
      <c r="AH136" s="46" t="e">
        <f t="shared" si="36"/>
        <v>#N/A</v>
      </c>
      <c r="AJ136" s="46">
        <f t="shared" si="37"/>
        <v>1292</v>
      </c>
      <c r="AK136" s="46">
        <f t="shared" si="38"/>
        <v>1301</v>
      </c>
      <c r="AL136" s="33">
        <f ca="1">IFERROR(AVERAGEIFS(data_brute!M:M,data_brute!J:J,"&lt;="&amp;AK136),NA())</f>
        <v>25.353524229074896</v>
      </c>
      <c r="AM136" s="46">
        <f t="shared" ca="1" si="39"/>
        <v>1300</v>
      </c>
      <c r="AN136" s="46" t="b">
        <f t="shared" si="40"/>
        <v>0</v>
      </c>
      <c r="AO136" s="50" t="b">
        <f t="shared" si="41"/>
        <v>0</v>
      </c>
    </row>
    <row r="137" spans="21:41" x14ac:dyDescent="0.2">
      <c r="U137" s="46">
        <f t="shared" si="29"/>
        <v>1302</v>
      </c>
      <c r="V137" s="46">
        <f t="shared" si="30"/>
        <v>1311</v>
      </c>
      <c r="W137" s="33" t="e">
        <f>IFERROR(AVERAGEIFS(data_brute!M:M,data_brute!J:J,"&lt;="&amp;V137,data_brute!J:J,"&gt;="&amp;U137),NA())</f>
        <v>#N/A</v>
      </c>
      <c r="X137" s="46" t="e">
        <f t="shared" si="31"/>
        <v>#N/A</v>
      </c>
      <c r="Y137" s="2" t="b">
        <f t="shared" si="32"/>
        <v>0</v>
      </c>
      <c r="Z137" s="2" t="b">
        <f t="shared" si="33"/>
        <v>0</v>
      </c>
      <c r="AE137" s="46">
        <f t="shared" si="34"/>
        <v>1302</v>
      </c>
      <c r="AF137" s="46">
        <f t="shared" si="35"/>
        <v>1311</v>
      </c>
      <c r="AG137" s="33" t="e">
        <f>IFERROR(AVERAGEIFS(data_brute!M:M,data_brute!J:J,"&gt;="&amp;AE137,data_brute!J:J,"&lt;="&amp;AF137),NA())</f>
        <v>#N/A</v>
      </c>
      <c r="AH137" s="46" t="e">
        <f t="shared" si="36"/>
        <v>#N/A</v>
      </c>
      <c r="AJ137" s="46">
        <f t="shared" si="37"/>
        <v>1302</v>
      </c>
      <c r="AK137" s="46">
        <f t="shared" si="38"/>
        <v>1311</v>
      </c>
      <c r="AL137" s="33">
        <f ca="1">IFERROR(AVERAGEIFS(data_brute!M:M,data_brute!J:J,"&lt;="&amp;AK137),NA())</f>
        <v>25.353524229074896</v>
      </c>
      <c r="AM137" s="46">
        <f t="shared" ca="1" si="39"/>
        <v>1310</v>
      </c>
      <c r="AN137" s="46" t="b">
        <f t="shared" si="40"/>
        <v>0</v>
      </c>
      <c r="AO137" s="50" t="b">
        <f t="shared" si="41"/>
        <v>0</v>
      </c>
    </row>
    <row r="138" spans="21:41" x14ac:dyDescent="0.2">
      <c r="U138" s="46">
        <f t="shared" si="29"/>
        <v>1312</v>
      </c>
      <c r="V138" s="46">
        <f t="shared" si="30"/>
        <v>1321</v>
      </c>
      <c r="W138" s="33" t="e">
        <f>IFERROR(AVERAGEIFS(data_brute!M:M,data_brute!J:J,"&lt;="&amp;V138,data_brute!J:J,"&gt;="&amp;U138),NA())</f>
        <v>#N/A</v>
      </c>
      <c r="X138" s="46" t="e">
        <f t="shared" si="31"/>
        <v>#N/A</v>
      </c>
      <c r="Y138" s="2" t="b">
        <f t="shared" si="32"/>
        <v>0</v>
      </c>
      <c r="Z138" s="2" t="b">
        <f t="shared" si="33"/>
        <v>0</v>
      </c>
      <c r="AE138" s="46">
        <f t="shared" si="34"/>
        <v>1312</v>
      </c>
      <c r="AF138" s="46">
        <f t="shared" si="35"/>
        <v>1321</v>
      </c>
      <c r="AG138" s="33" t="e">
        <f>IFERROR(AVERAGEIFS(data_brute!M:M,data_brute!J:J,"&gt;="&amp;AE138,data_brute!J:J,"&lt;="&amp;AF138),NA())</f>
        <v>#N/A</v>
      </c>
      <c r="AH138" s="46" t="e">
        <f t="shared" si="36"/>
        <v>#N/A</v>
      </c>
      <c r="AJ138" s="46">
        <f t="shared" si="37"/>
        <v>1312</v>
      </c>
      <c r="AK138" s="46">
        <f t="shared" si="38"/>
        <v>1321</v>
      </c>
      <c r="AL138" s="33">
        <f ca="1">IFERROR(AVERAGEIFS(data_brute!M:M,data_brute!J:J,"&lt;="&amp;AK138),NA())</f>
        <v>25.353524229074896</v>
      </c>
      <c r="AM138" s="46">
        <f t="shared" ca="1" si="39"/>
        <v>1320</v>
      </c>
      <c r="AN138" s="46" t="b">
        <f t="shared" si="40"/>
        <v>0</v>
      </c>
      <c r="AO138" s="50" t="b">
        <f t="shared" si="41"/>
        <v>0</v>
      </c>
    </row>
    <row r="139" spans="21:41" x14ac:dyDescent="0.2">
      <c r="U139" s="46">
        <f t="shared" si="29"/>
        <v>1322</v>
      </c>
      <c r="V139" s="46">
        <f t="shared" si="30"/>
        <v>1331</v>
      </c>
      <c r="W139" s="33" t="e">
        <f>IFERROR(AVERAGEIFS(data_brute!M:M,data_brute!J:J,"&lt;="&amp;V139,data_brute!J:J,"&gt;="&amp;U139),NA())</f>
        <v>#N/A</v>
      </c>
      <c r="X139" s="46" t="e">
        <f t="shared" si="31"/>
        <v>#N/A</v>
      </c>
      <c r="Y139" s="2" t="b">
        <f t="shared" si="32"/>
        <v>0</v>
      </c>
      <c r="Z139" s="2" t="b">
        <f t="shared" si="33"/>
        <v>0</v>
      </c>
      <c r="AE139" s="46">
        <f t="shared" si="34"/>
        <v>1322</v>
      </c>
      <c r="AF139" s="46">
        <f t="shared" si="35"/>
        <v>1331</v>
      </c>
      <c r="AG139" s="33" t="e">
        <f>IFERROR(AVERAGEIFS(data_brute!M:M,data_brute!J:J,"&gt;="&amp;AE139,data_brute!J:J,"&lt;="&amp;AF139),NA())</f>
        <v>#N/A</v>
      </c>
      <c r="AH139" s="46" t="e">
        <f t="shared" si="36"/>
        <v>#N/A</v>
      </c>
      <c r="AJ139" s="46">
        <f t="shared" si="37"/>
        <v>1322</v>
      </c>
      <c r="AK139" s="46">
        <f t="shared" si="38"/>
        <v>1331</v>
      </c>
      <c r="AL139" s="33">
        <f ca="1">IFERROR(AVERAGEIFS(data_brute!M:M,data_brute!J:J,"&lt;="&amp;AK139),NA())</f>
        <v>25.353524229074896</v>
      </c>
      <c r="AM139" s="46">
        <f t="shared" ca="1" si="39"/>
        <v>1330</v>
      </c>
      <c r="AN139" s="46" t="b">
        <f t="shared" si="40"/>
        <v>0</v>
      </c>
      <c r="AO139" s="50" t="b">
        <f t="shared" si="41"/>
        <v>0</v>
      </c>
    </row>
    <row r="140" spans="21:41" x14ac:dyDescent="0.2">
      <c r="U140" s="46">
        <f t="shared" si="29"/>
        <v>1332</v>
      </c>
      <c r="V140" s="46">
        <f t="shared" si="30"/>
        <v>1341</v>
      </c>
      <c r="W140" s="33" t="e">
        <f>IFERROR(AVERAGEIFS(data_brute!M:M,data_brute!J:J,"&lt;="&amp;V140,data_brute!J:J,"&gt;="&amp;U140),NA())</f>
        <v>#N/A</v>
      </c>
      <c r="X140" s="46" t="e">
        <f t="shared" si="31"/>
        <v>#N/A</v>
      </c>
      <c r="Y140" s="2" t="b">
        <f t="shared" si="32"/>
        <v>0</v>
      </c>
      <c r="Z140" s="2" t="b">
        <f t="shared" si="33"/>
        <v>0</v>
      </c>
      <c r="AE140" s="46">
        <f t="shared" si="34"/>
        <v>1332</v>
      </c>
      <c r="AF140" s="46">
        <f t="shared" si="35"/>
        <v>1341</v>
      </c>
      <c r="AG140" s="33" t="e">
        <f>IFERROR(AVERAGEIFS(data_brute!M:M,data_brute!J:J,"&gt;="&amp;AE140,data_brute!J:J,"&lt;="&amp;AF140),NA())</f>
        <v>#N/A</v>
      </c>
      <c r="AH140" s="46" t="e">
        <f t="shared" si="36"/>
        <v>#N/A</v>
      </c>
      <c r="AJ140" s="46">
        <f t="shared" si="37"/>
        <v>1332</v>
      </c>
      <c r="AK140" s="46">
        <f t="shared" si="38"/>
        <v>1341</v>
      </c>
      <c r="AL140" s="33">
        <f ca="1">IFERROR(AVERAGEIFS(data_brute!M:M,data_brute!J:J,"&lt;="&amp;AK140),NA())</f>
        <v>25.353524229074896</v>
      </c>
      <c r="AM140" s="46">
        <f t="shared" ca="1" si="39"/>
        <v>1340</v>
      </c>
      <c r="AN140" s="46" t="b">
        <f t="shared" si="40"/>
        <v>0</v>
      </c>
      <c r="AO140" s="50" t="b">
        <f t="shared" si="41"/>
        <v>0</v>
      </c>
    </row>
    <row r="141" spans="21:41" x14ac:dyDescent="0.2">
      <c r="U141" s="46">
        <f t="shared" si="29"/>
        <v>1342</v>
      </c>
      <c r="V141" s="46">
        <f t="shared" si="30"/>
        <v>1351</v>
      </c>
      <c r="W141" s="33" t="e">
        <f>IFERROR(AVERAGEIFS(data_brute!M:M,data_brute!J:J,"&lt;="&amp;V141,data_brute!J:J,"&gt;="&amp;U141),NA())</f>
        <v>#N/A</v>
      </c>
      <c r="X141" s="46" t="e">
        <f t="shared" si="31"/>
        <v>#N/A</v>
      </c>
      <c r="Y141" s="2" t="b">
        <f t="shared" si="32"/>
        <v>0</v>
      </c>
      <c r="Z141" s="2" t="b">
        <f t="shared" si="33"/>
        <v>0</v>
      </c>
      <c r="AE141" s="46">
        <f t="shared" si="34"/>
        <v>1342</v>
      </c>
      <c r="AF141" s="46">
        <f t="shared" si="35"/>
        <v>1351</v>
      </c>
      <c r="AG141" s="33" t="e">
        <f>IFERROR(AVERAGEIFS(data_brute!M:M,data_brute!J:J,"&gt;="&amp;AE141,data_brute!J:J,"&lt;="&amp;AF141),NA())</f>
        <v>#N/A</v>
      </c>
      <c r="AH141" s="46" t="e">
        <f t="shared" si="36"/>
        <v>#N/A</v>
      </c>
      <c r="AJ141" s="46">
        <f t="shared" si="37"/>
        <v>1342</v>
      </c>
      <c r="AK141" s="46">
        <f t="shared" si="38"/>
        <v>1351</v>
      </c>
      <c r="AL141" s="33">
        <f ca="1">IFERROR(AVERAGEIFS(data_brute!M:M,data_brute!J:J,"&lt;="&amp;AK141),NA())</f>
        <v>25.353524229074896</v>
      </c>
      <c r="AM141" s="46">
        <f t="shared" ca="1" si="39"/>
        <v>1350</v>
      </c>
      <c r="AN141" s="46" t="b">
        <f t="shared" si="40"/>
        <v>0</v>
      </c>
      <c r="AO141" s="50" t="b">
        <f t="shared" si="41"/>
        <v>0</v>
      </c>
    </row>
    <row r="142" spans="21:41" x14ac:dyDescent="0.2">
      <c r="U142" s="46">
        <f t="shared" si="29"/>
        <v>1352</v>
      </c>
      <c r="V142" s="46">
        <f t="shared" si="30"/>
        <v>1361</v>
      </c>
      <c r="W142" s="33" t="e">
        <f>IFERROR(AVERAGEIFS(data_brute!M:M,data_brute!J:J,"&lt;="&amp;V142,data_brute!J:J,"&gt;="&amp;U142),NA())</f>
        <v>#N/A</v>
      </c>
      <c r="X142" s="46" t="e">
        <f t="shared" si="31"/>
        <v>#N/A</v>
      </c>
      <c r="Y142" s="2" t="b">
        <f t="shared" si="32"/>
        <v>0</v>
      </c>
      <c r="Z142" s="2" t="b">
        <f t="shared" si="33"/>
        <v>0</v>
      </c>
      <c r="AE142" s="46">
        <f t="shared" si="34"/>
        <v>1352</v>
      </c>
      <c r="AF142" s="46">
        <f t="shared" si="35"/>
        <v>1361</v>
      </c>
      <c r="AG142" s="33" t="e">
        <f>IFERROR(AVERAGEIFS(data_brute!M:M,data_brute!J:J,"&gt;="&amp;AE142,data_brute!J:J,"&lt;="&amp;AF142),NA())</f>
        <v>#N/A</v>
      </c>
      <c r="AH142" s="46" t="e">
        <f t="shared" si="36"/>
        <v>#N/A</v>
      </c>
      <c r="AJ142" s="46">
        <f t="shared" si="37"/>
        <v>1352</v>
      </c>
      <c r="AK142" s="46">
        <f t="shared" si="38"/>
        <v>1361</v>
      </c>
      <c r="AL142" s="33">
        <f ca="1">IFERROR(AVERAGEIFS(data_brute!M:M,data_brute!J:J,"&lt;="&amp;AK142),NA())</f>
        <v>25.353524229074896</v>
      </c>
      <c r="AM142" s="46">
        <f t="shared" ca="1" si="39"/>
        <v>1360</v>
      </c>
      <c r="AN142" s="46" t="b">
        <f t="shared" si="40"/>
        <v>0</v>
      </c>
      <c r="AO142" s="50" t="b">
        <f t="shared" si="41"/>
        <v>0</v>
      </c>
    </row>
    <row r="143" spans="21:41" x14ac:dyDescent="0.2">
      <c r="U143" s="46">
        <f t="shared" si="29"/>
        <v>1362</v>
      </c>
      <c r="V143" s="46">
        <f t="shared" si="30"/>
        <v>1371</v>
      </c>
      <c r="W143" s="33" t="e">
        <f>IFERROR(AVERAGEIFS(data_brute!M:M,data_brute!J:J,"&lt;="&amp;V143,data_brute!J:J,"&gt;="&amp;U143),NA())</f>
        <v>#N/A</v>
      </c>
      <c r="X143" s="46" t="e">
        <f t="shared" si="31"/>
        <v>#N/A</v>
      </c>
      <c r="Y143" s="2" t="b">
        <f t="shared" si="32"/>
        <v>0</v>
      </c>
      <c r="Z143" s="2" t="b">
        <f t="shared" si="33"/>
        <v>0</v>
      </c>
      <c r="AE143" s="46">
        <f t="shared" si="34"/>
        <v>1362</v>
      </c>
      <c r="AF143" s="46">
        <f t="shared" si="35"/>
        <v>1371</v>
      </c>
      <c r="AG143" s="33" t="e">
        <f>IFERROR(AVERAGEIFS(data_brute!M:M,data_brute!J:J,"&gt;="&amp;AE143,data_brute!J:J,"&lt;="&amp;AF143),NA())</f>
        <v>#N/A</v>
      </c>
      <c r="AH143" s="46" t="e">
        <f t="shared" si="36"/>
        <v>#N/A</v>
      </c>
      <c r="AJ143" s="46">
        <f t="shared" si="37"/>
        <v>1362</v>
      </c>
      <c r="AK143" s="46">
        <f t="shared" si="38"/>
        <v>1371</v>
      </c>
      <c r="AL143" s="33">
        <f ca="1">IFERROR(AVERAGEIFS(data_brute!M:M,data_brute!J:J,"&lt;="&amp;AK143),NA())</f>
        <v>25.353524229074896</v>
      </c>
      <c r="AM143" s="46">
        <f t="shared" ca="1" si="39"/>
        <v>1370</v>
      </c>
      <c r="AN143" s="46" t="b">
        <f t="shared" si="40"/>
        <v>0</v>
      </c>
      <c r="AO143" s="50" t="b">
        <f t="shared" si="41"/>
        <v>0</v>
      </c>
    </row>
    <row r="144" spans="21:41" x14ac:dyDescent="0.2">
      <c r="U144" s="46">
        <f t="shared" si="29"/>
        <v>1372</v>
      </c>
      <c r="V144" s="46">
        <f t="shared" si="30"/>
        <v>1381</v>
      </c>
      <c r="W144" s="33" t="e">
        <f>IFERROR(AVERAGEIFS(data_brute!M:M,data_brute!J:J,"&lt;="&amp;V144,data_brute!J:J,"&gt;="&amp;U144),NA())</f>
        <v>#N/A</v>
      </c>
      <c r="X144" s="46" t="e">
        <f t="shared" si="31"/>
        <v>#N/A</v>
      </c>
      <c r="Y144" s="2" t="b">
        <f t="shared" si="32"/>
        <v>0</v>
      </c>
      <c r="Z144" s="2" t="b">
        <f t="shared" si="33"/>
        <v>0</v>
      </c>
      <c r="AE144" s="46">
        <f t="shared" si="34"/>
        <v>1372</v>
      </c>
      <c r="AF144" s="46">
        <f t="shared" si="35"/>
        <v>1381</v>
      </c>
      <c r="AG144" s="33" t="e">
        <f>IFERROR(AVERAGEIFS(data_brute!M:M,data_brute!J:J,"&gt;="&amp;AE144,data_brute!J:J,"&lt;="&amp;AF144),NA())</f>
        <v>#N/A</v>
      </c>
      <c r="AH144" s="46" t="e">
        <f t="shared" si="36"/>
        <v>#N/A</v>
      </c>
      <c r="AJ144" s="46">
        <f t="shared" si="37"/>
        <v>1372</v>
      </c>
      <c r="AK144" s="46">
        <f t="shared" si="38"/>
        <v>1381</v>
      </c>
      <c r="AL144" s="33">
        <f ca="1">IFERROR(AVERAGEIFS(data_brute!M:M,data_brute!J:J,"&lt;="&amp;AK144),NA())</f>
        <v>25.353524229074896</v>
      </c>
      <c r="AM144" s="46">
        <f t="shared" ca="1" si="39"/>
        <v>1380</v>
      </c>
      <c r="AN144" s="46" t="b">
        <f t="shared" si="40"/>
        <v>0</v>
      </c>
      <c r="AO144" s="50" t="b">
        <f t="shared" si="41"/>
        <v>0</v>
      </c>
    </row>
    <row r="145" spans="21:41" x14ac:dyDescent="0.2">
      <c r="U145" s="46">
        <f t="shared" si="29"/>
        <v>1382</v>
      </c>
      <c r="V145" s="46">
        <f t="shared" si="30"/>
        <v>1391</v>
      </c>
      <c r="W145" s="33" t="e">
        <f>IFERROR(AVERAGEIFS(data_brute!M:M,data_brute!J:J,"&lt;="&amp;V145,data_brute!J:J,"&gt;="&amp;U145),NA())</f>
        <v>#N/A</v>
      </c>
      <c r="X145" s="46" t="e">
        <f t="shared" si="31"/>
        <v>#N/A</v>
      </c>
      <c r="Y145" s="2" t="b">
        <f t="shared" si="32"/>
        <v>0</v>
      </c>
      <c r="Z145" s="2" t="b">
        <f t="shared" si="33"/>
        <v>0</v>
      </c>
      <c r="AE145" s="46">
        <f t="shared" si="34"/>
        <v>1382</v>
      </c>
      <c r="AF145" s="46">
        <f t="shared" si="35"/>
        <v>1391</v>
      </c>
      <c r="AG145" s="33" t="e">
        <f>IFERROR(AVERAGEIFS(data_brute!M:M,data_brute!J:J,"&gt;="&amp;AE145,data_brute!J:J,"&lt;="&amp;AF145),NA())</f>
        <v>#N/A</v>
      </c>
      <c r="AH145" s="46" t="e">
        <f t="shared" si="36"/>
        <v>#N/A</v>
      </c>
      <c r="AJ145" s="46">
        <f t="shared" si="37"/>
        <v>1382</v>
      </c>
      <c r="AK145" s="46">
        <f t="shared" si="38"/>
        <v>1391</v>
      </c>
      <c r="AL145" s="33">
        <f ca="1">IFERROR(AVERAGEIFS(data_brute!M:M,data_brute!J:J,"&lt;="&amp;AK145),NA())</f>
        <v>25.353524229074896</v>
      </c>
      <c r="AM145" s="46">
        <f t="shared" ca="1" si="39"/>
        <v>1390</v>
      </c>
      <c r="AN145" s="46" t="b">
        <f t="shared" si="40"/>
        <v>0</v>
      </c>
      <c r="AO145" s="50" t="b">
        <f t="shared" si="41"/>
        <v>0</v>
      </c>
    </row>
    <row r="146" spans="21:41" x14ac:dyDescent="0.2">
      <c r="U146" s="46">
        <f t="shared" si="29"/>
        <v>1392</v>
      </c>
      <c r="V146" s="46">
        <f t="shared" si="30"/>
        <v>1401</v>
      </c>
      <c r="W146" s="33" t="e">
        <f>IFERROR(AVERAGEIFS(data_brute!M:M,data_brute!J:J,"&lt;="&amp;V146,data_brute!J:J,"&gt;="&amp;U146),NA())</f>
        <v>#N/A</v>
      </c>
      <c r="X146" s="46" t="e">
        <f t="shared" si="31"/>
        <v>#N/A</v>
      </c>
      <c r="Y146" s="2" t="b">
        <f t="shared" si="32"/>
        <v>0</v>
      </c>
      <c r="Z146" s="2" t="b">
        <f t="shared" si="33"/>
        <v>0</v>
      </c>
      <c r="AE146" s="46">
        <f t="shared" si="34"/>
        <v>1392</v>
      </c>
      <c r="AF146" s="46">
        <f t="shared" si="35"/>
        <v>1401</v>
      </c>
      <c r="AG146" s="33" t="e">
        <f>IFERROR(AVERAGEIFS(data_brute!M:M,data_brute!J:J,"&gt;="&amp;AE146,data_brute!J:J,"&lt;="&amp;AF146),NA())</f>
        <v>#N/A</v>
      </c>
      <c r="AH146" s="46" t="e">
        <f t="shared" si="36"/>
        <v>#N/A</v>
      </c>
      <c r="AJ146" s="46">
        <f t="shared" si="37"/>
        <v>1392</v>
      </c>
      <c r="AK146" s="46">
        <f t="shared" si="38"/>
        <v>1401</v>
      </c>
      <c r="AL146" s="33">
        <f ca="1">IFERROR(AVERAGEIFS(data_brute!M:M,data_brute!J:J,"&lt;="&amp;AK146),NA())</f>
        <v>25.353524229074896</v>
      </c>
      <c r="AM146" s="46">
        <f t="shared" ca="1" si="39"/>
        <v>1400</v>
      </c>
      <c r="AN146" s="46" t="b">
        <f t="shared" si="40"/>
        <v>0</v>
      </c>
      <c r="AO146" s="50" t="b">
        <f t="shared" si="41"/>
        <v>0</v>
      </c>
    </row>
    <row r="147" spans="21:41" x14ac:dyDescent="0.2">
      <c r="U147" s="46">
        <f t="shared" si="29"/>
        <v>1402</v>
      </c>
      <c r="V147" s="46">
        <f t="shared" si="30"/>
        <v>1411</v>
      </c>
      <c r="W147" s="33" t="e">
        <f>IFERROR(AVERAGEIFS(data_brute!M:M,data_brute!J:J,"&lt;="&amp;V147,data_brute!J:J,"&gt;="&amp;U147),NA())</f>
        <v>#N/A</v>
      </c>
      <c r="X147" s="46" t="e">
        <f t="shared" si="31"/>
        <v>#N/A</v>
      </c>
      <c r="Y147" s="2" t="b">
        <f t="shared" si="32"/>
        <v>0</v>
      </c>
      <c r="Z147" s="2" t="b">
        <f t="shared" si="33"/>
        <v>0</v>
      </c>
      <c r="AE147" s="46">
        <f t="shared" si="34"/>
        <v>1402</v>
      </c>
      <c r="AF147" s="46">
        <f t="shared" si="35"/>
        <v>1411</v>
      </c>
      <c r="AG147" s="33" t="e">
        <f>IFERROR(AVERAGEIFS(data_brute!M:M,data_brute!J:J,"&gt;="&amp;AE147,data_brute!J:J,"&lt;="&amp;AF147),NA())</f>
        <v>#N/A</v>
      </c>
      <c r="AH147" s="46" t="e">
        <f t="shared" si="36"/>
        <v>#N/A</v>
      </c>
      <c r="AJ147" s="46">
        <f t="shared" si="37"/>
        <v>1402</v>
      </c>
      <c r="AK147" s="46">
        <f t="shared" si="38"/>
        <v>1411</v>
      </c>
      <c r="AL147" s="33">
        <f ca="1">IFERROR(AVERAGEIFS(data_brute!M:M,data_brute!J:J,"&lt;="&amp;AK147),NA())</f>
        <v>25.353524229074896</v>
      </c>
      <c r="AM147" s="46">
        <f t="shared" ca="1" si="39"/>
        <v>1410</v>
      </c>
      <c r="AN147" s="46" t="b">
        <f t="shared" si="40"/>
        <v>0</v>
      </c>
      <c r="AO147" s="50" t="b">
        <f t="shared" si="41"/>
        <v>0</v>
      </c>
    </row>
    <row r="148" spans="21:41" x14ac:dyDescent="0.2">
      <c r="U148" s="46">
        <f t="shared" si="29"/>
        <v>1412</v>
      </c>
      <c r="V148" s="46">
        <f t="shared" si="30"/>
        <v>1421</v>
      </c>
      <c r="W148" s="33" t="e">
        <f>IFERROR(AVERAGEIFS(data_brute!M:M,data_brute!J:J,"&lt;="&amp;V148,data_brute!J:J,"&gt;="&amp;U148),NA())</f>
        <v>#N/A</v>
      </c>
      <c r="X148" s="46" t="e">
        <f t="shared" si="31"/>
        <v>#N/A</v>
      </c>
      <c r="Y148" s="2" t="b">
        <f t="shared" si="32"/>
        <v>0</v>
      </c>
      <c r="Z148" s="2" t="b">
        <f t="shared" si="33"/>
        <v>0</v>
      </c>
      <c r="AE148" s="46">
        <f t="shared" si="34"/>
        <v>1412</v>
      </c>
      <c r="AF148" s="46">
        <f t="shared" si="35"/>
        <v>1421</v>
      </c>
      <c r="AG148" s="33" t="e">
        <f>IFERROR(AVERAGEIFS(data_brute!M:M,data_brute!J:J,"&gt;="&amp;AE148,data_brute!J:J,"&lt;="&amp;AF148),NA())</f>
        <v>#N/A</v>
      </c>
      <c r="AH148" s="46" t="e">
        <f t="shared" si="36"/>
        <v>#N/A</v>
      </c>
      <c r="AJ148" s="46">
        <f t="shared" si="37"/>
        <v>1412</v>
      </c>
      <c r="AK148" s="46">
        <f t="shared" si="38"/>
        <v>1421</v>
      </c>
      <c r="AL148" s="33">
        <f ca="1">IFERROR(AVERAGEIFS(data_brute!M:M,data_brute!J:J,"&lt;="&amp;AK148),NA())</f>
        <v>25.353524229074896</v>
      </c>
      <c r="AM148" s="46">
        <f t="shared" ca="1" si="39"/>
        <v>1420</v>
      </c>
      <c r="AN148" s="46" t="b">
        <f t="shared" si="40"/>
        <v>0</v>
      </c>
      <c r="AO148" s="50" t="b">
        <f t="shared" si="41"/>
        <v>0</v>
      </c>
    </row>
    <row r="149" spans="21:41" x14ac:dyDescent="0.2">
      <c r="U149" s="46">
        <f t="shared" si="29"/>
        <v>1422</v>
      </c>
      <c r="V149" s="46">
        <f t="shared" si="30"/>
        <v>1431</v>
      </c>
      <c r="W149" s="33" t="e">
        <f>IFERROR(AVERAGEIFS(data_brute!M:M,data_brute!J:J,"&lt;="&amp;V149,data_brute!J:J,"&gt;="&amp;U149),NA())</f>
        <v>#N/A</v>
      </c>
      <c r="X149" s="46" t="e">
        <f t="shared" si="31"/>
        <v>#N/A</v>
      </c>
      <c r="Y149" s="2" t="b">
        <f t="shared" si="32"/>
        <v>0</v>
      </c>
      <c r="Z149" s="2" t="b">
        <f t="shared" si="33"/>
        <v>0</v>
      </c>
      <c r="AE149" s="46">
        <f t="shared" si="34"/>
        <v>1422</v>
      </c>
      <c r="AF149" s="46">
        <f t="shared" si="35"/>
        <v>1431</v>
      </c>
      <c r="AG149" s="33" t="e">
        <f>IFERROR(AVERAGEIFS(data_brute!M:M,data_brute!J:J,"&gt;="&amp;AE149,data_brute!J:J,"&lt;="&amp;AF149),NA())</f>
        <v>#N/A</v>
      </c>
      <c r="AH149" s="46" t="e">
        <f t="shared" si="36"/>
        <v>#N/A</v>
      </c>
      <c r="AJ149" s="46">
        <f t="shared" si="37"/>
        <v>1422</v>
      </c>
      <c r="AK149" s="46">
        <f t="shared" si="38"/>
        <v>1431</v>
      </c>
      <c r="AL149" s="33">
        <f ca="1">IFERROR(AVERAGEIFS(data_brute!M:M,data_brute!J:J,"&lt;="&amp;AK149),NA())</f>
        <v>25.353524229074896</v>
      </c>
      <c r="AM149" s="46">
        <f t="shared" ca="1" si="39"/>
        <v>1430</v>
      </c>
      <c r="AN149" s="46" t="b">
        <f t="shared" si="40"/>
        <v>0</v>
      </c>
      <c r="AO149" s="50" t="b">
        <f t="shared" si="41"/>
        <v>0</v>
      </c>
    </row>
    <row r="150" spans="21:41" x14ac:dyDescent="0.2">
      <c r="U150" s="46">
        <f t="shared" si="29"/>
        <v>1432</v>
      </c>
      <c r="V150" s="46">
        <f t="shared" si="30"/>
        <v>1441</v>
      </c>
      <c r="W150" s="33" t="e">
        <f>IFERROR(AVERAGEIFS(data_brute!M:M,data_brute!J:J,"&lt;="&amp;V150,data_brute!J:J,"&gt;="&amp;U150),NA())</f>
        <v>#N/A</v>
      </c>
      <c r="X150" s="46" t="e">
        <f t="shared" si="31"/>
        <v>#N/A</v>
      </c>
      <c r="Y150" s="2" t="b">
        <f t="shared" si="32"/>
        <v>0</v>
      </c>
      <c r="Z150" s="2" t="b">
        <f t="shared" si="33"/>
        <v>0</v>
      </c>
      <c r="AE150" s="46">
        <f t="shared" si="34"/>
        <v>1432</v>
      </c>
      <c r="AF150" s="46">
        <f t="shared" si="35"/>
        <v>1441</v>
      </c>
      <c r="AG150" s="33" t="e">
        <f>IFERROR(AVERAGEIFS(data_brute!M:M,data_brute!J:J,"&gt;="&amp;AE150,data_brute!J:J,"&lt;="&amp;AF150),NA())</f>
        <v>#N/A</v>
      </c>
      <c r="AH150" s="46" t="e">
        <f t="shared" si="36"/>
        <v>#N/A</v>
      </c>
      <c r="AJ150" s="46">
        <f t="shared" si="37"/>
        <v>1432</v>
      </c>
      <c r="AK150" s="46">
        <f t="shared" si="38"/>
        <v>1441</v>
      </c>
      <c r="AL150" s="33">
        <f ca="1">IFERROR(AVERAGEIFS(data_brute!M:M,data_brute!J:J,"&lt;="&amp;AK150),NA())</f>
        <v>25.353524229074896</v>
      </c>
      <c r="AM150" s="46">
        <f t="shared" ca="1" si="39"/>
        <v>1440</v>
      </c>
      <c r="AN150" s="46" t="b">
        <f t="shared" si="40"/>
        <v>0</v>
      </c>
      <c r="AO150" s="50" t="b">
        <f t="shared" si="41"/>
        <v>0</v>
      </c>
    </row>
    <row r="151" spans="21:41" x14ac:dyDescent="0.2">
      <c r="U151" s="46">
        <f t="shared" si="29"/>
        <v>1442</v>
      </c>
      <c r="V151" s="46">
        <f t="shared" si="30"/>
        <v>1451</v>
      </c>
      <c r="W151" s="33" t="e">
        <f>IFERROR(AVERAGEIFS(data_brute!M:M,data_brute!J:J,"&lt;="&amp;V151,data_brute!J:J,"&gt;="&amp;U151),NA())</f>
        <v>#N/A</v>
      </c>
      <c r="X151" s="46" t="e">
        <f t="shared" si="31"/>
        <v>#N/A</v>
      </c>
      <c r="Y151" s="2" t="b">
        <f t="shared" si="32"/>
        <v>0</v>
      </c>
      <c r="Z151" s="2" t="b">
        <f t="shared" si="33"/>
        <v>0</v>
      </c>
      <c r="AE151" s="46">
        <f t="shared" si="34"/>
        <v>1442</v>
      </c>
      <c r="AF151" s="46">
        <f t="shared" si="35"/>
        <v>1451</v>
      </c>
      <c r="AG151" s="33" t="e">
        <f>IFERROR(AVERAGEIFS(data_brute!M:M,data_brute!J:J,"&gt;="&amp;AE151,data_brute!J:J,"&lt;="&amp;AF151),NA())</f>
        <v>#N/A</v>
      </c>
      <c r="AH151" s="46" t="e">
        <f t="shared" si="36"/>
        <v>#N/A</v>
      </c>
      <c r="AJ151" s="46">
        <f t="shared" si="37"/>
        <v>1442</v>
      </c>
      <c r="AK151" s="46">
        <f t="shared" si="38"/>
        <v>1451</v>
      </c>
      <c r="AL151" s="33">
        <f ca="1">IFERROR(AVERAGEIFS(data_brute!M:M,data_brute!J:J,"&lt;="&amp;AK151),NA())</f>
        <v>25.353524229074896</v>
      </c>
      <c r="AM151" s="46">
        <f t="shared" ca="1" si="39"/>
        <v>1450</v>
      </c>
      <c r="AN151" s="46" t="b">
        <f t="shared" si="40"/>
        <v>0</v>
      </c>
      <c r="AO151" s="50" t="b">
        <f t="shared" si="41"/>
        <v>0</v>
      </c>
    </row>
    <row r="152" spans="21:41" x14ac:dyDescent="0.2">
      <c r="U152" s="46">
        <f t="shared" si="29"/>
        <v>1452</v>
      </c>
      <c r="V152" s="46">
        <f t="shared" si="30"/>
        <v>1461</v>
      </c>
      <c r="W152" s="33" t="e">
        <f>IFERROR(AVERAGEIFS(data_brute!M:M,data_brute!J:J,"&lt;="&amp;V152,data_brute!J:J,"&gt;="&amp;U152),NA())</f>
        <v>#N/A</v>
      </c>
      <c r="X152" s="46" t="e">
        <f t="shared" si="31"/>
        <v>#N/A</v>
      </c>
      <c r="Y152" s="2" t="b">
        <f t="shared" si="32"/>
        <v>0</v>
      </c>
      <c r="Z152" s="2" t="b">
        <f t="shared" si="33"/>
        <v>0</v>
      </c>
      <c r="AE152" s="46">
        <f t="shared" ref="AE152:AE215" si="42">AF151+1</f>
        <v>1452</v>
      </c>
      <c r="AF152" s="46">
        <f t="shared" ref="AF152:AF215" si="43">AE152+$AG$2-1</f>
        <v>1461</v>
      </c>
      <c r="AG152" s="33" t="e">
        <f>IFERROR(AVERAGEIFS(data_brute!M:M,data_brute!J:J,"&gt;="&amp;AE152,data_brute!J:J,"&lt;="&amp;AF152),NA())</f>
        <v>#N/A</v>
      </c>
      <c r="AH152" s="46" t="e">
        <f t="shared" ref="AH152:AH215" si="44">IF(AG152&lt;&gt;"",$AG$2*(ROW()-ROW($AH$6)),NA())</f>
        <v>#N/A</v>
      </c>
      <c r="AJ152" s="46">
        <f t="shared" si="37"/>
        <v>1452</v>
      </c>
      <c r="AK152" s="46">
        <f t="shared" si="38"/>
        <v>1461</v>
      </c>
      <c r="AL152" s="33">
        <f ca="1">IFERROR(AVERAGEIFS(data_brute!M:M,data_brute!J:J,"&lt;="&amp;AK152),NA())</f>
        <v>25.353524229074896</v>
      </c>
      <c r="AM152" s="46">
        <f t="shared" ca="1" si="39"/>
        <v>1460</v>
      </c>
      <c r="AN152" s="46" t="b">
        <f t="shared" si="40"/>
        <v>0</v>
      </c>
      <c r="AO152" s="50" t="b">
        <f t="shared" si="41"/>
        <v>0</v>
      </c>
    </row>
    <row r="153" spans="21:41" x14ac:dyDescent="0.2">
      <c r="U153" s="46">
        <f t="shared" si="29"/>
        <v>1462</v>
      </c>
      <c r="V153" s="46">
        <f t="shared" si="30"/>
        <v>1471</v>
      </c>
      <c r="W153" s="33" t="e">
        <f>IFERROR(AVERAGEIFS(data_brute!M:M,data_brute!J:J,"&lt;="&amp;V153,data_brute!J:J,"&gt;="&amp;U153),NA())</f>
        <v>#N/A</v>
      </c>
      <c r="X153" s="46" t="e">
        <f t="shared" si="31"/>
        <v>#N/A</v>
      </c>
      <c r="Y153" s="2" t="b">
        <f t="shared" si="32"/>
        <v>0</v>
      </c>
      <c r="Z153" s="2" t="b">
        <f t="shared" si="33"/>
        <v>0</v>
      </c>
      <c r="AE153" s="46">
        <f t="shared" si="42"/>
        <v>1462</v>
      </c>
      <c r="AF153" s="46">
        <f t="shared" si="43"/>
        <v>1471</v>
      </c>
      <c r="AG153" s="33" t="e">
        <f>IFERROR(AVERAGEIFS(data_brute!M:M,data_brute!J:J,"&gt;="&amp;AE153,data_brute!J:J,"&lt;="&amp;AF153),NA())</f>
        <v>#N/A</v>
      </c>
      <c r="AH153" s="46" t="e">
        <f t="shared" si="44"/>
        <v>#N/A</v>
      </c>
      <c r="AJ153" s="46">
        <f t="shared" si="37"/>
        <v>1462</v>
      </c>
      <c r="AK153" s="46">
        <f t="shared" si="38"/>
        <v>1471</v>
      </c>
      <c r="AL153" s="33">
        <f ca="1">IFERROR(AVERAGEIFS(data_brute!M:M,data_brute!J:J,"&lt;="&amp;AK153),NA())</f>
        <v>25.353524229074896</v>
      </c>
      <c r="AM153" s="46">
        <f t="shared" ca="1" si="39"/>
        <v>1470</v>
      </c>
      <c r="AN153" s="46" t="b">
        <f t="shared" si="40"/>
        <v>0</v>
      </c>
      <c r="AO153" s="50" t="b">
        <f t="shared" si="41"/>
        <v>0</v>
      </c>
    </row>
    <row r="154" spans="21:41" x14ac:dyDescent="0.2">
      <c r="U154" s="46">
        <f t="shared" si="29"/>
        <v>1472</v>
      </c>
      <c r="V154" s="46">
        <f t="shared" si="30"/>
        <v>1481</v>
      </c>
      <c r="W154" s="33" t="e">
        <f>IFERROR(AVERAGEIFS(data_brute!M:M,data_brute!J:J,"&lt;="&amp;V154,data_brute!J:J,"&gt;="&amp;U154),NA())</f>
        <v>#N/A</v>
      </c>
      <c r="X154" s="46" t="e">
        <f t="shared" si="31"/>
        <v>#N/A</v>
      </c>
      <c r="Y154" s="2" t="b">
        <f t="shared" si="32"/>
        <v>0</v>
      </c>
      <c r="Z154" s="2" t="b">
        <f t="shared" si="33"/>
        <v>0</v>
      </c>
      <c r="AE154" s="46">
        <f t="shared" si="42"/>
        <v>1472</v>
      </c>
      <c r="AF154" s="46">
        <f t="shared" si="43"/>
        <v>1481</v>
      </c>
      <c r="AG154" s="33" t="e">
        <f>IFERROR(AVERAGEIFS(data_brute!M:M,data_brute!J:J,"&gt;="&amp;AE154,data_brute!J:J,"&lt;="&amp;AF154),NA())</f>
        <v>#N/A</v>
      </c>
      <c r="AH154" s="46" t="e">
        <f t="shared" si="44"/>
        <v>#N/A</v>
      </c>
      <c r="AJ154" s="46">
        <f t="shared" si="37"/>
        <v>1472</v>
      </c>
      <c r="AK154" s="46">
        <f t="shared" si="38"/>
        <v>1481</v>
      </c>
      <c r="AL154" s="33">
        <f ca="1">IFERROR(AVERAGEIFS(data_brute!M:M,data_brute!J:J,"&lt;="&amp;AK154),NA())</f>
        <v>25.353524229074896</v>
      </c>
      <c r="AM154" s="46">
        <f t="shared" ca="1" si="39"/>
        <v>1480</v>
      </c>
      <c r="AN154" s="46" t="b">
        <f t="shared" si="40"/>
        <v>0</v>
      </c>
      <c r="AO154" s="50" t="b">
        <f t="shared" si="41"/>
        <v>0</v>
      </c>
    </row>
    <row r="155" spans="21:41" x14ac:dyDescent="0.2">
      <c r="U155" s="46">
        <f t="shared" si="29"/>
        <v>1482</v>
      </c>
      <c r="V155" s="46">
        <f t="shared" si="30"/>
        <v>1491</v>
      </c>
      <c r="W155" s="33" t="e">
        <f>IFERROR(AVERAGEIFS(data_brute!M:M,data_brute!J:J,"&lt;="&amp;V155,data_brute!J:J,"&gt;="&amp;U155),NA())</f>
        <v>#N/A</v>
      </c>
      <c r="X155" s="46" t="e">
        <f t="shared" si="31"/>
        <v>#N/A</v>
      </c>
      <c r="Y155" s="2" t="b">
        <f t="shared" si="32"/>
        <v>0</v>
      </c>
      <c r="Z155" s="2" t="b">
        <f t="shared" si="33"/>
        <v>0</v>
      </c>
      <c r="AE155" s="46">
        <f t="shared" si="42"/>
        <v>1482</v>
      </c>
      <c r="AF155" s="46">
        <f t="shared" si="43"/>
        <v>1491</v>
      </c>
      <c r="AG155" s="33" t="e">
        <f>IFERROR(AVERAGEIFS(data_brute!M:M,data_brute!J:J,"&gt;="&amp;AE155,data_brute!J:J,"&lt;="&amp;AF155),NA())</f>
        <v>#N/A</v>
      </c>
      <c r="AH155" s="46" t="e">
        <f t="shared" si="44"/>
        <v>#N/A</v>
      </c>
      <c r="AJ155" s="46">
        <f t="shared" si="37"/>
        <v>1482</v>
      </c>
      <c r="AK155" s="46">
        <f t="shared" si="38"/>
        <v>1491</v>
      </c>
      <c r="AL155" s="33">
        <f ca="1">IFERROR(AVERAGEIFS(data_brute!M:M,data_brute!J:J,"&lt;="&amp;AK155),NA())</f>
        <v>25.353524229074896</v>
      </c>
      <c r="AM155" s="46">
        <f t="shared" ca="1" si="39"/>
        <v>1490</v>
      </c>
      <c r="AN155" s="46" t="b">
        <f t="shared" si="40"/>
        <v>0</v>
      </c>
      <c r="AO155" s="50" t="b">
        <f t="shared" si="41"/>
        <v>0</v>
      </c>
    </row>
    <row r="156" spans="21:41" x14ac:dyDescent="0.2">
      <c r="U156" s="46">
        <f t="shared" si="29"/>
        <v>1492</v>
      </c>
      <c r="V156" s="46">
        <f t="shared" si="30"/>
        <v>1501</v>
      </c>
      <c r="W156" s="33" t="e">
        <f>IFERROR(AVERAGEIFS(data_brute!M:M,data_brute!J:J,"&lt;="&amp;V156,data_brute!J:J,"&gt;="&amp;U156),NA())</f>
        <v>#N/A</v>
      </c>
      <c r="X156" s="46" t="e">
        <f t="shared" si="31"/>
        <v>#N/A</v>
      </c>
      <c r="Y156" s="2" t="b">
        <f t="shared" si="32"/>
        <v>0</v>
      </c>
      <c r="Z156" s="2" t="b">
        <f t="shared" si="33"/>
        <v>0</v>
      </c>
      <c r="AE156" s="46">
        <f t="shared" si="42"/>
        <v>1492</v>
      </c>
      <c r="AF156" s="46">
        <f t="shared" si="43"/>
        <v>1501</v>
      </c>
      <c r="AG156" s="33" t="e">
        <f>IFERROR(AVERAGEIFS(data_brute!M:M,data_brute!J:J,"&gt;="&amp;AE156,data_brute!J:J,"&lt;="&amp;AF156),NA())</f>
        <v>#N/A</v>
      </c>
      <c r="AH156" s="46" t="e">
        <f t="shared" si="44"/>
        <v>#N/A</v>
      </c>
      <c r="AJ156" s="46">
        <f t="shared" si="37"/>
        <v>1492</v>
      </c>
      <c r="AK156" s="46">
        <f t="shared" si="38"/>
        <v>1501</v>
      </c>
      <c r="AL156" s="33">
        <f ca="1">IFERROR(AVERAGEIFS(data_brute!M:M,data_brute!J:J,"&lt;="&amp;AK156),NA())</f>
        <v>25.353524229074896</v>
      </c>
      <c r="AM156" s="46">
        <f t="shared" ca="1" si="39"/>
        <v>1500</v>
      </c>
      <c r="AN156" s="46" t="b">
        <f t="shared" si="40"/>
        <v>0</v>
      </c>
      <c r="AO156" s="50" t="b">
        <f t="shared" si="41"/>
        <v>0</v>
      </c>
    </row>
    <row r="157" spans="21:41" x14ac:dyDescent="0.2">
      <c r="U157" s="46">
        <f t="shared" si="29"/>
        <v>1502</v>
      </c>
      <c r="V157" s="46">
        <f t="shared" si="30"/>
        <v>1511</v>
      </c>
      <c r="W157" s="33" t="e">
        <f>IFERROR(AVERAGEIFS(data_brute!M:M,data_brute!J:J,"&lt;="&amp;V157,data_brute!J:J,"&gt;="&amp;U157),NA())</f>
        <v>#N/A</v>
      </c>
      <c r="X157" s="46" t="e">
        <f t="shared" si="31"/>
        <v>#N/A</v>
      </c>
      <c r="Y157" s="2" t="b">
        <f t="shared" si="32"/>
        <v>0</v>
      </c>
      <c r="Z157" s="2" t="b">
        <f t="shared" si="33"/>
        <v>0</v>
      </c>
      <c r="AE157" s="46">
        <f t="shared" si="42"/>
        <v>1502</v>
      </c>
      <c r="AF157" s="46">
        <f t="shared" si="43"/>
        <v>1511</v>
      </c>
      <c r="AG157" s="33" t="e">
        <f>IFERROR(AVERAGEIFS(data_brute!M:M,data_brute!J:J,"&gt;="&amp;AE157,data_brute!J:J,"&lt;="&amp;AF157),NA())</f>
        <v>#N/A</v>
      </c>
      <c r="AH157" s="46" t="e">
        <f t="shared" si="44"/>
        <v>#N/A</v>
      </c>
      <c r="AJ157" s="46">
        <f t="shared" si="37"/>
        <v>1502</v>
      </c>
      <c r="AK157" s="46">
        <f t="shared" si="38"/>
        <v>1511</v>
      </c>
      <c r="AL157" s="33">
        <f ca="1">IFERROR(AVERAGEIFS(data_brute!M:M,data_brute!J:J,"&lt;="&amp;AK157),NA())</f>
        <v>25.353524229074896</v>
      </c>
      <c r="AM157" s="46">
        <f t="shared" ca="1" si="39"/>
        <v>1510</v>
      </c>
      <c r="AN157" s="46" t="b">
        <f t="shared" si="40"/>
        <v>0</v>
      </c>
      <c r="AO157" s="50" t="b">
        <f t="shared" si="41"/>
        <v>0</v>
      </c>
    </row>
    <row r="158" spans="21:41" x14ac:dyDescent="0.2">
      <c r="U158" s="46">
        <f t="shared" si="29"/>
        <v>1512</v>
      </c>
      <c r="V158" s="46">
        <f t="shared" si="30"/>
        <v>1521</v>
      </c>
      <c r="W158" s="33" t="e">
        <f>IFERROR(AVERAGEIFS(data_brute!M:M,data_brute!J:J,"&lt;="&amp;V158,data_brute!J:J,"&gt;="&amp;U158),NA())</f>
        <v>#N/A</v>
      </c>
      <c r="X158" s="46" t="e">
        <f t="shared" si="31"/>
        <v>#N/A</v>
      </c>
      <c r="Y158" s="2" t="b">
        <f t="shared" si="32"/>
        <v>0</v>
      </c>
      <c r="Z158" s="2" t="b">
        <f t="shared" si="33"/>
        <v>0</v>
      </c>
      <c r="AE158" s="46">
        <f t="shared" si="42"/>
        <v>1512</v>
      </c>
      <c r="AF158" s="46">
        <f t="shared" si="43"/>
        <v>1521</v>
      </c>
      <c r="AG158" s="33" t="e">
        <f>IFERROR(AVERAGEIFS(data_brute!M:M,data_brute!J:J,"&gt;="&amp;AE158,data_brute!J:J,"&lt;="&amp;AF158),NA())</f>
        <v>#N/A</v>
      </c>
      <c r="AH158" s="46" t="e">
        <f t="shared" si="44"/>
        <v>#N/A</v>
      </c>
      <c r="AJ158" s="46">
        <f t="shared" si="37"/>
        <v>1512</v>
      </c>
      <c r="AK158" s="46">
        <f t="shared" si="38"/>
        <v>1521</v>
      </c>
      <c r="AL158" s="33">
        <f ca="1">IFERROR(AVERAGEIFS(data_brute!M:M,data_brute!J:J,"&lt;="&amp;AK158),NA())</f>
        <v>25.353524229074896</v>
      </c>
      <c r="AM158" s="46">
        <f t="shared" ca="1" si="39"/>
        <v>1520</v>
      </c>
      <c r="AN158" s="46" t="b">
        <f t="shared" si="40"/>
        <v>0</v>
      </c>
      <c r="AO158" s="50" t="b">
        <f t="shared" si="41"/>
        <v>0</v>
      </c>
    </row>
    <row r="159" spans="21:41" x14ac:dyDescent="0.2">
      <c r="U159" s="46">
        <f t="shared" si="29"/>
        <v>1522</v>
      </c>
      <c r="V159" s="46">
        <f t="shared" si="30"/>
        <v>1531</v>
      </c>
      <c r="W159" s="33" t="e">
        <f>IFERROR(AVERAGEIFS(data_brute!M:M,data_brute!J:J,"&lt;="&amp;V159,data_brute!J:J,"&gt;="&amp;U159),NA())</f>
        <v>#N/A</v>
      </c>
      <c r="X159" s="46" t="e">
        <f t="shared" si="31"/>
        <v>#N/A</v>
      </c>
      <c r="Y159" s="2" t="b">
        <f t="shared" si="32"/>
        <v>0</v>
      </c>
      <c r="Z159" s="2" t="b">
        <f t="shared" si="33"/>
        <v>0</v>
      </c>
      <c r="AE159" s="46">
        <f t="shared" si="42"/>
        <v>1522</v>
      </c>
      <c r="AF159" s="46">
        <f t="shared" si="43"/>
        <v>1531</v>
      </c>
      <c r="AG159" s="33" t="e">
        <f>IFERROR(AVERAGEIFS(data_brute!M:M,data_brute!J:J,"&gt;="&amp;AE159,data_brute!J:J,"&lt;="&amp;AF159),NA())</f>
        <v>#N/A</v>
      </c>
      <c r="AH159" s="46" t="e">
        <f t="shared" si="44"/>
        <v>#N/A</v>
      </c>
      <c r="AJ159" s="46">
        <f t="shared" si="37"/>
        <v>1522</v>
      </c>
      <c r="AK159" s="46">
        <f t="shared" si="38"/>
        <v>1531</v>
      </c>
      <c r="AL159" s="33">
        <f ca="1">IFERROR(AVERAGEIFS(data_brute!M:M,data_brute!J:J,"&lt;="&amp;AK159),NA())</f>
        <v>25.353524229074896</v>
      </c>
      <c r="AM159" s="46">
        <f t="shared" ca="1" si="39"/>
        <v>1530</v>
      </c>
      <c r="AN159" s="46" t="b">
        <f t="shared" si="40"/>
        <v>0</v>
      </c>
      <c r="AO159" s="50" t="b">
        <f t="shared" si="41"/>
        <v>0</v>
      </c>
    </row>
    <row r="160" spans="21:41" x14ac:dyDescent="0.2">
      <c r="U160" s="46">
        <f t="shared" si="29"/>
        <v>1532</v>
      </c>
      <c r="V160" s="46">
        <f t="shared" si="30"/>
        <v>1541</v>
      </c>
      <c r="W160" s="33" t="e">
        <f>IFERROR(AVERAGEIFS(data_brute!M:M,data_brute!J:J,"&lt;="&amp;V160,data_brute!J:J,"&gt;="&amp;U160),NA())</f>
        <v>#N/A</v>
      </c>
      <c r="X160" s="46" t="e">
        <f t="shared" si="31"/>
        <v>#N/A</v>
      </c>
      <c r="Y160" s="2" t="b">
        <f t="shared" si="32"/>
        <v>0</v>
      </c>
      <c r="Z160" s="2" t="b">
        <f t="shared" si="33"/>
        <v>0</v>
      </c>
      <c r="AE160" s="46">
        <f t="shared" si="42"/>
        <v>1532</v>
      </c>
      <c r="AF160" s="46">
        <f t="shared" si="43"/>
        <v>1541</v>
      </c>
      <c r="AG160" s="33" t="e">
        <f>IFERROR(AVERAGEIFS(data_brute!M:M,data_brute!J:J,"&gt;="&amp;AE160,data_brute!J:J,"&lt;="&amp;AF160),NA())</f>
        <v>#N/A</v>
      </c>
      <c r="AH160" s="46" t="e">
        <f t="shared" si="44"/>
        <v>#N/A</v>
      </c>
      <c r="AJ160" s="46">
        <f t="shared" si="37"/>
        <v>1532</v>
      </c>
      <c r="AK160" s="46">
        <f t="shared" si="38"/>
        <v>1541</v>
      </c>
      <c r="AL160" s="33">
        <f ca="1">IFERROR(AVERAGEIFS(data_brute!M:M,data_brute!J:J,"&lt;="&amp;AK160),NA())</f>
        <v>25.353524229074896</v>
      </c>
      <c r="AM160" s="46">
        <f t="shared" ca="1" si="39"/>
        <v>1540</v>
      </c>
      <c r="AN160" s="46" t="b">
        <f t="shared" si="40"/>
        <v>0</v>
      </c>
      <c r="AO160" s="50" t="b">
        <f t="shared" si="41"/>
        <v>0</v>
      </c>
    </row>
    <row r="161" spans="21:41" x14ac:dyDescent="0.2">
      <c r="U161" s="46">
        <f t="shared" si="29"/>
        <v>1542</v>
      </c>
      <c r="V161" s="46">
        <f t="shared" si="30"/>
        <v>1551</v>
      </c>
      <c r="W161" s="33" t="e">
        <f>IFERROR(AVERAGEIFS(data_brute!M:M,data_brute!J:J,"&lt;="&amp;V161,data_brute!J:J,"&gt;="&amp;U161),NA())</f>
        <v>#N/A</v>
      </c>
      <c r="X161" s="46" t="e">
        <f t="shared" si="31"/>
        <v>#N/A</v>
      </c>
      <c r="Y161" s="2" t="b">
        <f t="shared" si="32"/>
        <v>0</v>
      </c>
      <c r="Z161" s="2" t="b">
        <f t="shared" si="33"/>
        <v>0</v>
      </c>
      <c r="AE161" s="46">
        <f t="shared" si="42"/>
        <v>1542</v>
      </c>
      <c r="AF161" s="46">
        <f t="shared" si="43"/>
        <v>1551</v>
      </c>
      <c r="AG161" s="33" t="e">
        <f>IFERROR(AVERAGEIFS(data_brute!M:M,data_brute!J:J,"&gt;="&amp;AE161,data_brute!J:J,"&lt;="&amp;AF161),NA())</f>
        <v>#N/A</v>
      </c>
      <c r="AH161" s="46" t="e">
        <f t="shared" si="44"/>
        <v>#N/A</v>
      </c>
      <c r="AJ161" s="46">
        <f t="shared" si="37"/>
        <v>1542</v>
      </c>
      <c r="AK161" s="46">
        <f t="shared" si="38"/>
        <v>1551</v>
      </c>
      <c r="AL161" s="33">
        <f ca="1">IFERROR(AVERAGEIFS(data_brute!M:M,data_brute!J:J,"&lt;="&amp;AK161),NA())</f>
        <v>25.353524229074896</v>
      </c>
      <c r="AM161" s="46">
        <f t="shared" ca="1" si="39"/>
        <v>1550</v>
      </c>
      <c r="AN161" s="46" t="b">
        <f t="shared" si="40"/>
        <v>0</v>
      </c>
      <c r="AO161" s="50" t="b">
        <f t="shared" si="41"/>
        <v>0</v>
      </c>
    </row>
    <row r="162" spans="21:41" x14ac:dyDescent="0.2">
      <c r="U162" s="46">
        <f t="shared" si="29"/>
        <v>1552</v>
      </c>
      <c r="V162" s="46">
        <f t="shared" si="30"/>
        <v>1561</v>
      </c>
      <c r="W162" s="33" t="e">
        <f>IFERROR(AVERAGEIFS(data_brute!M:M,data_brute!J:J,"&lt;="&amp;V162,data_brute!J:J,"&gt;="&amp;U162),NA())</f>
        <v>#N/A</v>
      </c>
      <c r="X162" s="46" t="e">
        <f t="shared" si="31"/>
        <v>#N/A</v>
      </c>
      <c r="Y162" s="2" t="b">
        <f t="shared" si="32"/>
        <v>0</v>
      </c>
      <c r="Z162" s="2" t="b">
        <f t="shared" si="33"/>
        <v>0</v>
      </c>
      <c r="AE162" s="46">
        <f t="shared" si="42"/>
        <v>1552</v>
      </c>
      <c r="AF162" s="46">
        <f t="shared" si="43"/>
        <v>1561</v>
      </c>
      <c r="AG162" s="33" t="e">
        <f>IFERROR(AVERAGEIFS(data_brute!M:M,data_brute!J:J,"&gt;="&amp;AE162,data_brute!J:J,"&lt;="&amp;AF162),NA())</f>
        <v>#N/A</v>
      </c>
      <c r="AH162" s="46" t="e">
        <f t="shared" si="44"/>
        <v>#N/A</v>
      </c>
      <c r="AJ162" s="46">
        <f t="shared" si="37"/>
        <v>1552</v>
      </c>
      <c r="AK162" s="46">
        <f t="shared" si="38"/>
        <v>1561</v>
      </c>
      <c r="AL162" s="33">
        <f ca="1">IFERROR(AVERAGEIFS(data_brute!M:M,data_brute!J:J,"&lt;="&amp;AK162),NA())</f>
        <v>25.353524229074896</v>
      </c>
      <c r="AM162" s="46">
        <f t="shared" ca="1" si="39"/>
        <v>1560</v>
      </c>
      <c r="AN162" s="46" t="b">
        <f t="shared" si="40"/>
        <v>0</v>
      </c>
      <c r="AO162" s="50" t="b">
        <f t="shared" si="41"/>
        <v>0</v>
      </c>
    </row>
    <row r="163" spans="21:41" x14ac:dyDescent="0.2">
      <c r="U163" s="46">
        <f t="shared" ref="U163:U226" si="45">V162+1</f>
        <v>1562</v>
      </c>
      <c r="V163" s="46">
        <f t="shared" ref="V163:V226" si="46">U163+$AG$2-1</f>
        <v>1571</v>
      </c>
      <c r="W163" s="33" t="e">
        <f>IFERROR(AVERAGEIFS(data_brute!M:M,data_brute!J:J,"&lt;="&amp;V163,data_brute!J:J,"&gt;="&amp;U163),NA())</f>
        <v>#N/A</v>
      </c>
      <c r="X163" s="46" t="e">
        <f t="shared" ref="X163:X226" si="47">IF(W163&lt;&gt;"",$AG$2*(ROW()-ROW($AH$6)),NA())</f>
        <v>#N/A</v>
      </c>
      <c r="Y163" s="2" t="b">
        <f t="shared" ref="Y163:Y226" si="48">IF(AND($F$5&gt;=U163,$F$5&lt;=V163,V163=$F$5),TRUE,FALSE)</f>
        <v>0</v>
      </c>
      <c r="Z163" s="2" t="b">
        <f t="shared" ref="Z163:Z226" si="49">IF(AND($F$5&gt;=U163,$F$5&lt;=V163),TRUE,FALSE)</f>
        <v>0</v>
      </c>
      <c r="AE163" s="46">
        <f t="shared" si="42"/>
        <v>1562</v>
      </c>
      <c r="AF163" s="46">
        <f t="shared" si="43"/>
        <v>1571</v>
      </c>
      <c r="AG163" s="33" t="e">
        <f>IFERROR(AVERAGEIFS(data_brute!M:M,data_brute!J:J,"&gt;="&amp;AE163,data_brute!J:J,"&lt;="&amp;AF163),NA())</f>
        <v>#N/A</v>
      </c>
      <c r="AH163" s="46" t="e">
        <f t="shared" si="44"/>
        <v>#N/A</v>
      </c>
      <c r="AJ163" s="46">
        <f t="shared" si="37"/>
        <v>1562</v>
      </c>
      <c r="AK163" s="46">
        <f t="shared" si="38"/>
        <v>1571</v>
      </c>
      <c r="AL163" s="33">
        <f ca="1">IFERROR(AVERAGEIFS(data_brute!M:M,data_brute!J:J,"&lt;="&amp;AK163),NA())</f>
        <v>25.353524229074896</v>
      </c>
      <c r="AM163" s="46">
        <f t="shared" ca="1" si="39"/>
        <v>1570</v>
      </c>
      <c r="AN163" s="46" t="b">
        <f t="shared" si="40"/>
        <v>0</v>
      </c>
      <c r="AO163" s="50" t="b">
        <f t="shared" si="41"/>
        <v>0</v>
      </c>
    </row>
    <row r="164" spans="21:41" x14ac:dyDescent="0.2">
      <c r="U164" s="46">
        <f t="shared" si="45"/>
        <v>1572</v>
      </c>
      <c r="V164" s="46">
        <f t="shared" si="46"/>
        <v>1581</v>
      </c>
      <c r="W164" s="33" t="e">
        <f>IFERROR(AVERAGEIFS(data_brute!M:M,data_brute!J:J,"&lt;="&amp;V164,data_brute!J:J,"&gt;="&amp;U164),NA())</f>
        <v>#N/A</v>
      </c>
      <c r="X164" s="46" t="e">
        <f t="shared" si="47"/>
        <v>#N/A</v>
      </c>
      <c r="Y164" s="2" t="b">
        <f t="shared" si="48"/>
        <v>0</v>
      </c>
      <c r="Z164" s="2" t="b">
        <f t="shared" si="49"/>
        <v>0</v>
      </c>
      <c r="AE164" s="46">
        <f t="shared" si="42"/>
        <v>1572</v>
      </c>
      <c r="AF164" s="46">
        <f t="shared" si="43"/>
        <v>1581</v>
      </c>
      <c r="AG164" s="33" t="e">
        <f>IFERROR(AVERAGEIFS(data_brute!M:M,data_brute!J:J,"&gt;="&amp;AE164,data_brute!J:J,"&lt;="&amp;AF164),NA())</f>
        <v>#N/A</v>
      </c>
      <c r="AH164" s="46" t="e">
        <f t="shared" si="44"/>
        <v>#N/A</v>
      </c>
      <c r="AJ164" s="46">
        <f t="shared" ref="AJ164:AJ227" si="50">AK163+1</f>
        <v>1572</v>
      </c>
      <c r="AK164" s="46">
        <f t="shared" ref="AK164:AK227" si="51">AJ164+$AG$2-1</f>
        <v>1581</v>
      </c>
      <c r="AL164" s="33">
        <f ca="1">IFERROR(AVERAGEIFS(data_brute!M:M,data_brute!J:J,"&lt;="&amp;AK164),NA())</f>
        <v>25.353524229074896</v>
      </c>
      <c r="AM164" s="46">
        <f t="shared" ref="AM164:AM227" ca="1" si="52">IF(AL164&lt;&gt;"",$AG$2*(ROW()-ROW($AH$6)),NA())</f>
        <v>1580</v>
      </c>
      <c r="AN164" s="46" t="b">
        <f t="shared" ref="AN164:AN227" si="53">IF(AND($F$5&gt;=AJ164,$F$5&lt;=AK164,AK164=$F$5),TRUE,FALSE)</f>
        <v>0</v>
      </c>
      <c r="AO164" s="50" t="b">
        <f t="shared" ref="AO164:AO227" si="54">IF(AND($F$5&gt;=AJ164,$F$5&lt;=AK164),TRUE,FALSE)</f>
        <v>0</v>
      </c>
    </row>
    <row r="165" spans="21:41" x14ac:dyDescent="0.2">
      <c r="U165" s="46">
        <f t="shared" si="45"/>
        <v>1582</v>
      </c>
      <c r="V165" s="46">
        <f t="shared" si="46"/>
        <v>1591</v>
      </c>
      <c r="W165" s="33" t="e">
        <f>IFERROR(AVERAGEIFS(data_brute!M:M,data_brute!J:J,"&lt;="&amp;V165,data_brute!J:J,"&gt;="&amp;U165),NA())</f>
        <v>#N/A</v>
      </c>
      <c r="X165" s="46" t="e">
        <f t="shared" si="47"/>
        <v>#N/A</v>
      </c>
      <c r="Y165" s="2" t="b">
        <f t="shared" si="48"/>
        <v>0</v>
      </c>
      <c r="Z165" s="2" t="b">
        <f t="shared" si="49"/>
        <v>0</v>
      </c>
      <c r="AE165" s="46">
        <f t="shared" si="42"/>
        <v>1582</v>
      </c>
      <c r="AF165" s="46">
        <f t="shared" si="43"/>
        <v>1591</v>
      </c>
      <c r="AG165" s="33" t="e">
        <f>IFERROR(AVERAGEIFS(data_brute!M:M,data_brute!J:J,"&gt;="&amp;AE165,data_brute!J:J,"&lt;="&amp;AF165),NA())</f>
        <v>#N/A</v>
      </c>
      <c r="AH165" s="46" t="e">
        <f t="shared" si="44"/>
        <v>#N/A</v>
      </c>
      <c r="AJ165" s="46">
        <f t="shared" si="50"/>
        <v>1582</v>
      </c>
      <c r="AK165" s="46">
        <f t="shared" si="51"/>
        <v>1591</v>
      </c>
      <c r="AL165" s="33">
        <f ca="1">IFERROR(AVERAGEIFS(data_brute!M:M,data_brute!J:J,"&lt;="&amp;AK165),NA())</f>
        <v>25.353524229074896</v>
      </c>
      <c r="AM165" s="46">
        <f t="shared" ca="1" si="52"/>
        <v>1590</v>
      </c>
      <c r="AN165" s="46" t="b">
        <f t="shared" si="53"/>
        <v>0</v>
      </c>
      <c r="AO165" s="50" t="b">
        <f t="shared" si="54"/>
        <v>0</v>
      </c>
    </row>
    <row r="166" spans="21:41" x14ac:dyDescent="0.2">
      <c r="U166" s="46">
        <f t="shared" si="45"/>
        <v>1592</v>
      </c>
      <c r="V166" s="46">
        <f t="shared" si="46"/>
        <v>1601</v>
      </c>
      <c r="W166" s="33" t="e">
        <f>IFERROR(AVERAGEIFS(data_brute!M:M,data_brute!J:J,"&lt;="&amp;V166,data_brute!J:J,"&gt;="&amp;U166),NA())</f>
        <v>#N/A</v>
      </c>
      <c r="X166" s="46" t="e">
        <f t="shared" si="47"/>
        <v>#N/A</v>
      </c>
      <c r="Y166" s="2" t="b">
        <f t="shared" si="48"/>
        <v>0</v>
      </c>
      <c r="Z166" s="2" t="b">
        <f t="shared" si="49"/>
        <v>0</v>
      </c>
      <c r="AE166" s="46">
        <f t="shared" si="42"/>
        <v>1592</v>
      </c>
      <c r="AF166" s="46">
        <f t="shared" si="43"/>
        <v>1601</v>
      </c>
      <c r="AG166" s="33" t="e">
        <f>IFERROR(AVERAGEIFS(data_brute!M:M,data_brute!J:J,"&gt;="&amp;AE166,data_brute!J:J,"&lt;="&amp;AF166),NA())</f>
        <v>#N/A</v>
      </c>
      <c r="AH166" s="46" t="e">
        <f t="shared" si="44"/>
        <v>#N/A</v>
      </c>
      <c r="AJ166" s="46">
        <f t="shared" si="50"/>
        <v>1592</v>
      </c>
      <c r="AK166" s="46">
        <f t="shared" si="51"/>
        <v>1601</v>
      </c>
      <c r="AL166" s="33">
        <f ca="1">IFERROR(AVERAGEIFS(data_brute!M:M,data_brute!J:J,"&lt;="&amp;AK166),NA())</f>
        <v>25.353524229074896</v>
      </c>
      <c r="AM166" s="46">
        <f t="shared" ca="1" si="52"/>
        <v>1600</v>
      </c>
      <c r="AN166" s="46" t="b">
        <f t="shared" si="53"/>
        <v>0</v>
      </c>
      <c r="AO166" s="50" t="b">
        <f t="shared" si="54"/>
        <v>0</v>
      </c>
    </row>
    <row r="167" spans="21:41" x14ac:dyDescent="0.2">
      <c r="U167" s="46">
        <f t="shared" si="45"/>
        <v>1602</v>
      </c>
      <c r="V167" s="46">
        <f t="shared" si="46"/>
        <v>1611</v>
      </c>
      <c r="W167" s="33" t="e">
        <f>IFERROR(AVERAGEIFS(data_brute!M:M,data_brute!J:J,"&lt;="&amp;V167,data_brute!J:J,"&gt;="&amp;U167),NA())</f>
        <v>#N/A</v>
      </c>
      <c r="X167" s="46" t="e">
        <f t="shared" si="47"/>
        <v>#N/A</v>
      </c>
      <c r="Y167" s="2" t="b">
        <f t="shared" si="48"/>
        <v>0</v>
      </c>
      <c r="Z167" s="2" t="b">
        <f t="shared" si="49"/>
        <v>0</v>
      </c>
      <c r="AE167" s="46">
        <f t="shared" si="42"/>
        <v>1602</v>
      </c>
      <c r="AF167" s="46">
        <f t="shared" si="43"/>
        <v>1611</v>
      </c>
      <c r="AG167" s="33" t="e">
        <f>IFERROR(AVERAGEIFS(data_brute!M:M,data_brute!J:J,"&gt;="&amp;AE167,data_brute!J:J,"&lt;="&amp;AF167),NA())</f>
        <v>#N/A</v>
      </c>
      <c r="AH167" s="46" t="e">
        <f t="shared" si="44"/>
        <v>#N/A</v>
      </c>
      <c r="AJ167" s="46">
        <f t="shared" si="50"/>
        <v>1602</v>
      </c>
      <c r="AK167" s="46">
        <f t="shared" si="51"/>
        <v>1611</v>
      </c>
      <c r="AL167" s="33">
        <f ca="1">IFERROR(AVERAGEIFS(data_brute!M:M,data_brute!J:J,"&lt;="&amp;AK167),NA())</f>
        <v>25.353524229074896</v>
      </c>
      <c r="AM167" s="46">
        <f t="shared" ca="1" si="52"/>
        <v>1610</v>
      </c>
      <c r="AN167" s="46" t="b">
        <f t="shared" si="53"/>
        <v>0</v>
      </c>
      <c r="AO167" s="50" t="b">
        <f t="shared" si="54"/>
        <v>0</v>
      </c>
    </row>
    <row r="168" spans="21:41" x14ac:dyDescent="0.2">
      <c r="U168" s="46">
        <f t="shared" si="45"/>
        <v>1612</v>
      </c>
      <c r="V168" s="46">
        <f t="shared" si="46"/>
        <v>1621</v>
      </c>
      <c r="W168" s="33" t="e">
        <f>IFERROR(AVERAGEIFS(data_brute!M:M,data_brute!J:J,"&lt;="&amp;V168,data_brute!J:J,"&gt;="&amp;U168),NA())</f>
        <v>#N/A</v>
      </c>
      <c r="X168" s="46" t="e">
        <f t="shared" si="47"/>
        <v>#N/A</v>
      </c>
      <c r="Y168" s="2" t="b">
        <f t="shared" si="48"/>
        <v>0</v>
      </c>
      <c r="Z168" s="2" t="b">
        <f t="shared" si="49"/>
        <v>0</v>
      </c>
      <c r="AE168" s="46">
        <f t="shared" si="42"/>
        <v>1612</v>
      </c>
      <c r="AF168" s="46">
        <f t="shared" si="43"/>
        <v>1621</v>
      </c>
      <c r="AG168" s="33" t="e">
        <f>IFERROR(AVERAGEIFS(data_brute!M:M,data_brute!J:J,"&gt;="&amp;AE168,data_brute!J:J,"&lt;="&amp;AF168),NA())</f>
        <v>#N/A</v>
      </c>
      <c r="AH168" s="46" t="e">
        <f t="shared" si="44"/>
        <v>#N/A</v>
      </c>
      <c r="AJ168" s="46">
        <f t="shared" si="50"/>
        <v>1612</v>
      </c>
      <c r="AK168" s="46">
        <f t="shared" si="51"/>
        <v>1621</v>
      </c>
      <c r="AL168" s="33">
        <f ca="1">IFERROR(AVERAGEIFS(data_brute!M:M,data_brute!J:J,"&lt;="&amp;AK168),NA())</f>
        <v>25.353524229074896</v>
      </c>
      <c r="AM168" s="46">
        <f t="shared" ca="1" si="52"/>
        <v>1620</v>
      </c>
      <c r="AN168" s="46" t="b">
        <f t="shared" si="53"/>
        <v>0</v>
      </c>
      <c r="AO168" s="50" t="b">
        <f t="shared" si="54"/>
        <v>0</v>
      </c>
    </row>
    <row r="169" spans="21:41" x14ac:dyDescent="0.2">
      <c r="U169" s="46">
        <f t="shared" si="45"/>
        <v>1622</v>
      </c>
      <c r="V169" s="46">
        <f t="shared" si="46"/>
        <v>1631</v>
      </c>
      <c r="W169" s="33" t="e">
        <f>IFERROR(AVERAGEIFS(data_brute!M:M,data_brute!J:J,"&lt;="&amp;V169,data_brute!J:J,"&gt;="&amp;U169),NA())</f>
        <v>#N/A</v>
      </c>
      <c r="X169" s="46" t="e">
        <f t="shared" si="47"/>
        <v>#N/A</v>
      </c>
      <c r="Y169" s="2" t="b">
        <f t="shared" si="48"/>
        <v>0</v>
      </c>
      <c r="Z169" s="2" t="b">
        <f t="shared" si="49"/>
        <v>0</v>
      </c>
      <c r="AE169" s="46">
        <f t="shared" si="42"/>
        <v>1622</v>
      </c>
      <c r="AF169" s="46">
        <f t="shared" si="43"/>
        <v>1631</v>
      </c>
      <c r="AG169" s="33" t="e">
        <f>IFERROR(AVERAGEIFS(data_brute!M:M,data_brute!J:J,"&gt;="&amp;AE169,data_brute!J:J,"&lt;="&amp;AF169),NA())</f>
        <v>#N/A</v>
      </c>
      <c r="AH169" s="46" t="e">
        <f t="shared" si="44"/>
        <v>#N/A</v>
      </c>
      <c r="AJ169" s="46">
        <f t="shared" si="50"/>
        <v>1622</v>
      </c>
      <c r="AK169" s="46">
        <f t="shared" si="51"/>
        <v>1631</v>
      </c>
      <c r="AL169" s="33">
        <f ca="1">IFERROR(AVERAGEIFS(data_brute!M:M,data_brute!J:J,"&lt;="&amp;AK169),NA())</f>
        <v>25.353524229074896</v>
      </c>
      <c r="AM169" s="46">
        <f t="shared" ca="1" si="52"/>
        <v>1630</v>
      </c>
      <c r="AN169" s="46" t="b">
        <f t="shared" si="53"/>
        <v>0</v>
      </c>
      <c r="AO169" s="50" t="b">
        <f t="shared" si="54"/>
        <v>0</v>
      </c>
    </row>
    <row r="170" spans="21:41" x14ac:dyDescent="0.2">
      <c r="U170" s="46">
        <f t="shared" si="45"/>
        <v>1632</v>
      </c>
      <c r="V170" s="46">
        <f t="shared" si="46"/>
        <v>1641</v>
      </c>
      <c r="W170" s="33" t="e">
        <f>IFERROR(AVERAGEIFS(data_brute!M:M,data_brute!J:J,"&lt;="&amp;V170,data_brute!J:J,"&gt;="&amp;U170),NA())</f>
        <v>#N/A</v>
      </c>
      <c r="X170" s="46" t="e">
        <f t="shared" si="47"/>
        <v>#N/A</v>
      </c>
      <c r="Y170" s="2" t="b">
        <f t="shared" si="48"/>
        <v>0</v>
      </c>
      <c r="Z170" s="2" t="b">
        <f t="shared" si="49"/>
        <v>0</v>
      </c>
      <c r="AE170" s="46">
        <f t="shared" si="42"/>
        <v>1632</v>
      </c>
      <c r="AF170" s="46">
        <f t="shared" si="43"/>
        <v>1641</v>
      </c>
      <c r="AG170" s="33" t="e">
        <f>IFERROR(AVERAGEIFS(data_brute!M:M,data_brute!J:J,"&gt;="&amp;AE170,data_brute!J:J,"&lt;="&amp;AF170),NA())</f>
        <v>#N/A</v>
      </c>
      <c r="AH170" s="46" t="e">
        <f t="shared" si="44"/>
        <v>#N/A</v>
      </c>
      <c r="AJ170" s="46">
        <f t="shared" si="50"/>
        <v>1632</v>
      </c>
      <c r="AK170" s="46">
        <f t="shared" si="51"/>
        <v>1641</v>
      </c>
      <c r="AL170" s="33">
        <f ca="1">IFERROR(AVERAGEIFS(data_brute!M:M,data_brute!J:J,"&lt;="&amp;AK170),NA())</f>
        <v>25.353524229074896</v>
      </c>
      <c r="AM170" s="46">
        <f t="shared" ca="1" si="52"/>
        <v>1640</v>
      </c>
      <c r="AN170" s="46" t="b">
        <f t="shared" si="53"/>
        <v>0</v>
      </c>
      <c r="AO170" s="50" t="b">
        <f t="shared" si="54"/>
        <v>0</v>
      </c>
    </row>
    <row r="171" spans="21:41" x14ac:dyDescent="0.2">
      <c r="U171" s="46">
        <f t="shared" si="45"/>
        <v>1642</v>
      </c>
      <c r="V171" s="46">
        <f t="shared" si="46"/>
        <v>1651</v>
      </c>
      <c r="W171" s="33" t="e">
        <f>IFERROR(AVERAGEIFS(data_brute!M:M,data_brute!J:J,"&lt;="&amp;V171,data_brute!J:J,"&gt;="&amp;U171),NA())</f>
        <v>#N/A</v>
      </c>
      <c r="X171" s="46" t="e">
        <f t="shared" si="47"/>
        <v>#N/A</v>
      </c>
      <c r="Y171" s="2" t="b">
        <f t="shared" si="48"/>
        <v>0</v>
      </c>
      <c r="Z171" s="2" t="b">
        <f t="shared" si="49"/>
        <v>0</v>
      </c>
      <c r="AE171" s="46">
        <f t="shared" si="42"/>
        <v>1642</v>
      </c>
      <c r="AF171" s="46">
        <f t="shared" si="43"/>
        <v>1651</v>
      </c>
      <c r="AG171" s="33" t="e">
        <f>IFERROR(AVERAGEIFS(data_brute!M:M,data_brute!J:J,"&gt;="&amp;AE171,data_brute!J:J,"&lt;="&amp;AF171),NA())</f>
        <v>#N/A</v>
      </c>
      <c r="AH171" s="46" t="e">
        <f t="shared" si="44"/>
        <v>#N/A</v>
      </c>
      <c r="AJ171" s="46">
        <f t="shared" si="50"/>
        <v>1642</v>
      </c>
      <c r="AK171" s="46">
        <f t="shared" si="51"/>
        <v>1651</v>
      </c>
      <c r="AL171" s="33">
        <f ca="1">IFERROR(AVERAGEIFS(data_brute!M:M,data_brute!J:J,"&lt;="&amp;AK171),NA())</f>
        <v>25.353524229074896</v>
      </c>
      <c r="AM171" s="46">
        <f t="shared" ca="1" si="52"/>
        <v>1650</v>
      </c>
      <c r="AN171" s="46" t="b">
        <f t="shared" si="53"/>
        <v>0</v>
      </c>
      <c r="AO171" s="50" t="b">
        <f t="shared" si="54"/>
        <v>0</v>
      </c>
    </row>
    <row r="172" spans="21:41" x14ac:dyDescent="0.2">
      <c r="U172" s="46">
        <f t="shared" si="45"/>
        <v>1652</v>
      </c>
      <c r="V172" s="46">
        <f t="shared" si="46"/>
        <v>1661</v>
      </c>
      <c r="W172" s="33" t="e">
        <f>IFERROR(AVERAGEIFS(data_brute!M:M,data_brute!J:J,"&lt;="&amp;V172,data_brute!J:J,"&gt;="&amp;U172),NA())</f>
        <v>#N/A</v>
      </c>
      <c r="X172" s="46" t="e">
        <f t="shared" si="47"/>
        <v>#N/A</v>
      </c>
      <c r="Y172" s="2" t="b">
        <f t="shared" si="48"/>
        <v>0</v>
      </c>
      <c r="Z172" s="2" t="b">
        <f t="shared" si="49"/>
        <v>0</v>
      </c>
      <c r="AE172" s="46">
        <f t="shared" si="42"/>
        <v>1652</v>
      </c>
      <c r="AF172" s="46">
        <f t="shared" si="43"/>
        <v>1661</v>
      </c>
      <c r="AG172" s="33" t="e">
        <f>IFERROR(AVERAGEIFS(data_brute!M:M,data_brute!J:J,"&gt;="&amp;AE172,data_brute!J:J,"&lt;="&amp;AF172),NA())</f>
        <v>#N/A</v>
      </c>
      <c r="AH172" s="46" t="e">
        <f t="shared" si="44"/>
        <v>#N/A</v>
      </c>
      <c r="AJ172" s="46">
        <f t="shared" si="50"/>
        <v>1652</v>
      </c>
      <c r="AK172" s="46">
        <f t="shared" si="51"/>
        <v>1661</v>
      </c>
      <c r="AL172" s="33">
        <f ca="1">IFERROR(AVERAGEIFS(data_brute!M:M,data_brute!J:J,"&lt;="&amp;AK172),NA())</f>
        <v>25.353524229074896</v>
      </c>
      <c r="AM172" s="46">
        <f t="shared" ca="1" si="52"/>
        <v>1660</v>
      </c>
      <c r="AN172" s="46" t="b">
        <f t="shared" si="53"/>
        <v>0</v>
      </c>
      <c r="AO172" s="50" t="b">
        <f t="shared" si="54"/>
        <v>0</v>
      </c>
    </row>
    <row r="173" spans="21:41" x14ac:dyDescent="0.2">
      <c r="U173" s="46">
        <f t="shared" si="45"/>
        <v>1662</v>
      </c>
      <c r="V173" s="46">
        <f t="shared" si="46"/>
        <v>1671</v>
      </c>
      <c r="W173" s="33" t="e">
        <f>IFERROR(AVERAGEIFS(data_brute!M:M,data_brute!J:J,"&lt;="&amp;V173,data_brute!J:J,"&gt;="&amp;U173),NA())</f>
        <v>#N/A</v>
      </c>
      <c r="X173" s="46" t="e">
        <f t="shared" si="47"/>
        <v>#N/A</v>
      </c>
      <c r="Y173" s="2" t="b">
        <f t="shared" si="48"/>
        <v>0</v>
      </c>
      <c r="Z173" s="2" t="b">
        <f t="shared" si="49"/>
        <v>0</v>
      </c>
      <c r="AE173" s="46">
        <f t="shared" si="42"/>
        <v>1662</v>
      </c>
      <c r="AF173" s="46">
        <f t="shared" si="43"/>
        <v>1671</v>
      </c>
      <c r="AG173" s="33" t="e">
        <f>IFERROR(AVERAGEIFS(data_brute!M:M,data_brute!J:J,"&gt;="&amp;AE173,data_brute!J:J,"&lt;="&amp;AF173),NA())</f>
        <v>#N/A</v>
      </c>
      <c r="AH173" s="46" t="e">
        <f t="shared" si="44"/>
        <v>#N/A</v>
      </c>
      <c r="AJ173" s="46">
        <f t="shared" si="50"/>
        <v>1662</v>
      </c>
      <c r="AK173" s="46">
        <f t="shared" si="51"/>
        <v>1671</v>
      </c>
      <c r="AL173" s="33">
        <f ca="1">IFERROR(AVERAGEIFS(data_brute!M:M,data_brute!J:J,"&lt;="&amp;AK173),NA())</f>
        <v>25.353524229074896</v>
      </c>
      <c r="AM173" s="46">
        <f t="shared" ca="1" si="52"/>
        <v>1670</v>
      </c>
      <c r="AN173" s="46" t="b">
        <f t="shared" si="53"/>
        <v>0</v>
      </c>
      <c r="AO173" s="50" t="b">
        <f t="shared" si="54"/>
        <v>0</v>
      </c>
    </row>
    <row r="174" spans="21:41" x14ac:dyDescent="0.2">
      <c r="U174" s="46">
        <f t="shared" si="45"/>
        <v>1672</v>
      </c>
      <c r="V174" s="46">
        <f t="shared" si="46"/>
        <v>1681</v>
      </c>
      <c r="W174" s="33" t="e">
        <f>IFERROR(AVERAGEIFS(data_brute!M:M,data_brute!J:J,"&lt;="&amp;V174,data_brute!J:J,"&gt;="&amp;U174),NA())</f>
        <v>#N/A</v>
      </c>
      <c r="X174" s="46" t="e">
        <f t="shared" si="47"/>
        <v>#N/A</v>
      </c>
      <c r="Y174" s="2" t="b">
        <f t="shared" si="48"/>
        <v>0</v>
      </c>
      <c r="Z174" s="2" t="b">
        <f t="shared" si="49"/>
        <v>0</v>
      </c>
      <c r="AE174" s="46">
        <f t="shared" si="42"/>
        <v>1672</v>
      </c>
      <c r="AF174" s="46">
        <f t="shared" si="43"/>
        <v>1681</v>
      </c>
      <c r="AG174" s="33" t="e">
        <f>IFERROR(AVERAGEIFS(data_brute!M:M,data_brute!J:J,"&gt;="&amp;AE174,data_brute!J:J,"&lt;="&amp;AF174),NA())</f>
        <v>#N/A</v>
      </c>
      <c r="AH174" s="46" t="e">
        <f t="shared" si="44"/>
        <v>#N/A</v>
      </c>
      <c r="AJ174" s="46">
        <f t="shared" si="50"/>
        <v>1672</v>
      </c>
      <c r="AK174" s="46">
        <f t="shared" si="51"/>
        <v>1681</v>
      </c>
      <c r="AL174" s="33">
        <f ca="1">IFERROR(AVERAGEIFS(data_brute!M:M,data_brute!J:J,"&lt;="&amp;AK174),NA())</f>
        <v>25.353524229074896</v>
      </c>
      <c r="AM174" s="46">
        <f t="shared" ca="1" si="52"/>
        <v>1680</v>
      </c>
      <c r="AN174" s="46" t="b">
        <f t="shared" si="53"/>
        <v>0</v>
      </c>
      <c r="AO174" s="50" t="b">
        <f t="shared" si="54"/>
        <v>0</v>
      </c>
    </row>
    <row r="175" spans="21:41" x14ac:dyDescent="0.2">
      <c r="U175" s="46">
        <f t="shared" si="45"/>
        <v>1682</v>
      </c>
      <c r="V175" s="46">
        <f t="shared" si="46"/>
        <v>1691</v>
      </c>
      <c r="W175" s="33" t="e">
        <f>IFERROR(AVERAGEIFS(data_brute!M:M,data_brute!J:J,"&lt;="&amp;V175,data_brute!J:J,"&gt;="&amp;U175),NA())</f>
        <v>#N/A</v>
      </c>
      <c r="X175" s="46" t="e">
        <f t="shared" si="47"/>
        <v>#N/A</v>
      </c>
      <c r="Y175" s="2" t="b">
        <f t="shared" si="48"/>
        <v>0</v>
      </c>
      <c r="Z175" s="2" t="b">
        <f t="shared" si="49"/>
        <v>0</v>
      </c>
      <c r="AE175" s="46">
        <f t="shared" si="42"/>
        <v>1682</v>
      </c>
      <c r="AF175" s="46">
        <f t="shared" si="43"/>
        <v>1691</v>
      </c>
      <c r="AG175" s="33" t="e">
        <f>IFERROR(AVERAGEIFS(data_brute!M:M,data_brute!J:J,"&gt;="&amp;AE175,data_brute!J:J,"&lt;="&amp;AF175),NA())</f>
        <v>#N/A</v>
      </c>
      <c r="AH175" s="46" t="e">
        <f t="shared" si="44"/>
        <v>#N/A</v>
      </c>
      <c r="AJ175" s="46">
        <f t="shared" si="50"/>
        <v>1682</v>
      </c>
      <c r="AK175" s="46">
        <f t="shared" si="51"/>
        <v>1691</v>
      </c>
      <c r="AL175" s="33">
        <f ca="1">IFERROR(AVERAGEIFS(data_brute!M:M,data_brute!J:J,"&lt;="&amp;AK175),NA())</f>
        <v>25.353524229074896</v>
      </c>
      <c r="AM175" s="46">
        <f t="shared" ca="1" si="52"/>
        <v>1690</v>
      </c>
      <c r="AN175" s="46" t="b">
        <f t="shared" si="53"/>
        <v>0</v>
      </c>
      <c r="AO175" s="50" t="b">
        <f t="shared" si="54"/>
        <v>0</v>
      </c>
    </row>
    <row r="176" spans="21:41" x14ac:dyDescent="0.2">
      <c r="U176" s="46">
        <f t="shared" si="45"/>
        <v>1692</v>
      </c>
      <c r="V176" s="46">
        <f t="shared" si="46"/>
        <v>1701</v>
      </c>
      <c r="W176" s="33" t="e">
        <f>IFERROR(AVERAGEIFS(data_brute!M:M,data_brute!J:J,"&lt;="&amp;V176,data_brute!J:J,"&gt;="&amp;U176),NA())</f>
        <v>#N/A</v>
      </c>
      <c r="X176" s="46" t="e">
        <f t="shared" si="47"/>
        <v>#N/A</v>
      </c>
      <c r="Y176" s="2" t="b">
        <f t="shared" si="48"/>
        <v>0</v>
      </c>
      <c r="Z176" s="2" t="b">
        <f t="shared" si="49"/>
        <v>0</v>
      </c>
      <c r="AE176" s="46">
        <f t="shared" si="42"/>
        <v>1692</v>
      </c>
      <c r="AF176" s="46">
        <f t="shared" si="43"/>
        <v>1701</v>
      </c>
      <c r="AG176" s="33" t="e">
        <f>IFERROR(AVERAGEIFS(data_brute!M:M,data_brute!J:J,"&gt;="&amp;AE176,data_brute!J:J,"&lt;="&amp;AF176),NA())</f>
        <v>#N/A</v>
      </c>
      <c r="AH176" s="46" t="e">
        <f t="shared" si="44"/>
        <v>#N/A</v>
      </c>
      <c r="AJ176" s="46">
        <f t="shared" si="50"/>
        <v>1692</v>
      </c>
      <c r="AK176" s="46">
        <f t="shared" si="51"/>
        <v>1701</v>
      </c>
      <c r="AL176" s="33">
        <f ca="1">IFERROR(AVERAGEIFS(data_brute!M:M,data_brute!J:J,"&lt;="&amp;AK176),NA())</f>
        <v>25.353524229074896</v>
      </c>
      <c r="AM176" s="46">
        <f t="shared" ca="1" si="52"/>
        <v>1700</v>
      </c>
      <c r="AN176" s="46" t="b">
        <f t="shared" si="53"/>
        <v>0</v>
      </c>
      <c r="AO176" s="50" t="b">
        <f t="shared" si="54"/>
        <v>0</v>
      </c>
    </row>
    <row r="177" spans="21:41" x14ac:dyDescent="0.2">
      <c r="U177" s="46">
        <f t="shared" si="45"/>
        <v>1702</v>
      </c>
      <c r="V177" s="46">
        <f t="shared" si="46"/>
        <v>1711</v>
      </c>
      <c r="W177" s="33" t="e">
        <f>IFERROR(AVERAGEIFS(data_brute!M:M,data_brute!J:J,"&lt;="&amp;V177,data_brute!J:J,"&gt;="&amp;U177),NA())</f>
        <v>#N/A</v>
      </c>
      <c r="X177" s="46" t="e">
        <f t="shared" si="47"/>
        <v>#N/A</v>
      </c>
      <c r="Y177" s="2" t="b">
        <f t="shared" si="48"/>
        <v>0</v>
      </c>
      <c r="Z177" s="2" t="b">
        <f t="shared" si="49"/>
        <v>0</v>
      </c>
      <c r="AE177" s="46">
        <f t="shared" si="42"/>
        <v>1702</v>
      </c>
      <c r="AF177" s="46">
        <f t="shared" si="43"/>
        <v>1711</v>
      </c>
      <c r="AG177" s="33" t="e">
        <f>IFERROR(AVERAGEIFS(data_brute!M:M,data_brute!J:J,"&gt;="&amp;AE177,data_brute!J:J,"&lt;="&amp;AF177),NA())</f>
        <v>#N/A</v>
      </c>
      <c r="AH177" s="46" t="e">
        <f t="shared" si="44"/>
        <v>#N/A</v>
      </c>
      <c r="AJ177" s="46">
        <f t="shared" si="50"/>
        <v>1702</v>
      </c>
      <c r="AK177" s="46">
        <f t="shared" si="51"/>
        <v>1711</v>
      </c>
      <c r="AL177" s="33">
        <f ca="1">IFERROR(AVERAGEIFS(data_brute!M:M,data_brute!J:J,"&lt;="&amp;AK177),NA())</f>
        <v>25.353524229074896</v>
      </c>
      <c r="AM177" s="46">
        <f t="shared" ca="1" si="52"/>
        <v>1710</v>
      </c>
      <c r="AN177" s="46" t="b">
        <f t="shared" si="53"/>
        <v>0</v>
      </c>
      <c r="AO177" s="50" t="b">
        <f t="shared" si="54"/>
        <v>0</v>
      </c>
    </row>
    <row r="178" spans="21:41" x14ac:dyDescent="0.2">
      <c r="U178" s="46">
        <f t="shared" si="45"/>
        <v>1712</v>
      </c>
      <c r="V178" s="46">
        <f t="shared" si="46"/>
        <v>1721</v>
      </c>
      <c r="W178" s="33" t="e">
        <f>IFERROR(AVERAGEIFS(data_brute!M:M,data_brute!J:J,"&lt;="&amp;V178,data_brute!J:J,"&gt;="&amp;U178),NA())</f>
        <v>#N/A</v>
      </c>
      <c r="X178" s="46" t="e">
        <f t="shared" si="47"/>
        <v>#N/A</v>
      </c>
      <c r="Y178" s="2" t="b">
        <f t="shared" si="48"/>
        <v>0</v>
      </c>
      <c r="Z178" s="2" t="b">
        <f t="shared" si="49"/>
        <v>0</v>
      </c>
      <c r="AE178" s="46">
        <f t="shared" si="42"/>
        <v>1712</v>
      </c>
      <c r="AF178" s="46">
        <f t="shared" si="43"/>
        <v>1721</v>
      </c>
      <c r="AG178" s="33" t="e">
        <f>IFERROR(AVERAGEIFS(data_brute!M:M,data_brute!J:J,"&gt;="&amp;AE178,data_brute!J:J,"&lt;="&amp;AF178),NA())</f>
        <v>#N/A</v>
      </c>
      <c r="AH178" s="46" t="e">
        <f t="shared" si="44"/>
        <v>#N/A</v>
      </c>
      <c r="AJ178" s="46">
        <f t="shared" si="50"/>
        <v>1712</v>
      </c>
      <c r="AK178" s="46">
        <f t="shared" si="51"/>
        <v>1721</v>
      </c>
      <c r="AL178" s="33">
        <f ca="1">IFERROR(AVERAGEIFS(data_brute!M:M,data_brute!J:J,"&lt;="&amp;AK178),NA())</f>
        <v>25.353524229074896</v>
      </c>
      <c r="AM178" s="46">
        <f t="shared" ca="1" si="52"/>
        <v>1720</v>
      </c>
      <c r="AN178" s="46" t="b">
        <f t="shared" si="53"/>
        <v>0</v>
      </c>
      <c r="AO178" s="50" t="b">
        <f t="shared" si="54"/>
        <v>0</v>
      </c>
    </row>
    <row r="179" spans="21:41" x14ac:dyDescent="0.2">
      <c r="U179" s="46">
        <f t="shared" si="45"/>
        <v>1722</v>
      </c>
      <c r="V179" s="46">
        <f t="shared" si="46"/>
        <v>1731</v>
      </c>
      <c r="W179" s="33" t="e">
        <f>IFERROR(AVERAGEIFS(data_brute!M:M,data_brute!J:J,"&lt;="&amp;V179,data_brute!J:J,"&gt;="&amp;U179),NA())</f>
        <v>#N/A</v>
      </c>
      <c r="X179" s="46" t="e">
        <f t="shared" si="47"/>
        <v>#N/A</v>
      </c>
      <c r="Y179" s="2" t="b">
        <f t="shared" si="48"/>
        <v>0</v>
      </c>
      <c r="Z179" s="2" t="b">
        <f t="shared" si="49"/>
        <v>0</v>
      </c>
      <c r="AE179" s="46">
        <f t="shared" si="42"/>
        <v>1722</v>
      </c>
      <c r="AF179" s="46">
        <f t="shared" si="43"/>
        <v>1731</v>
      </c>
      <c r="AG179" s="33" t="e">
        <f>IFERROR(AVERAGEIFS(data_brute!M:M,data_brute!J:J,"&gt;="&amp;AE179,data_brute!J:J,"&lt;="&amp;AF179),NA())</f>
        <v>#N/A</v>
      </c>
      <c r="AH179" s="46" t="e">
        <f t="shared" si="44"/>
        <v>#N/A</v>
      </c>
      <c r="AJ179" s="46">
        <f t="shared" si="50"/>
        <v>1722</v>
      </c>
      <c r="AK179" s="46">
        <f t="shared" si="51"/>
        <v>1731</v>
      </c>
      <c r="AL179" s="33">
        <f ca="1">IFERROR(AVERAGEIFS(data_brute!M:M,data_brute!J:J,"&lt;="&amp;AK179),NA())</f>
        <v>25.353524229074896</v>
      </c>
      <c r="AM179" s="46">
        <f t="shared" ca="1" si="52"/>
        <v>1730</v>
      </c>
      <c r="AN179" s="46" t="b">
        <f t="shared" si="53"/>
        <v>0</v>
      </c>
      <c r="AO179" s="50" t="b">
        <f t="shared" si="54"/>
        <v>0</v>
      </c>
    </row>
    <row r="180" spans="21:41" x14ac:dyDescent="0.2">
      <c r="U180" s="46">
        <f t="shared" si="45"/>
        <v>1732</v>
      </c>
      <c r="V180" s="46">
        <f t="shared" si="46"/>
        <v>1741</v>
      </c>
      <c r="W180" s="33" t="e">
        <f>IFERROR(AVERAGEIFS(data_brute!M:M,data_brute!J:J,"&lt;="&amp;V180,data_brute!J:J,"&gt;="&amp;U180),NA())</f>
        <v>#N/A</v>
      </c>
      <c r="X180" s="46" t="e">
        <f t="shared" si="47"/>
        <v>#N/A</v>
      </c>
      <c r="Y180" s="2" t="b">
        <f t="shared" si="48"/>
        <v>0</v>
      </c>
      <c r="Z180" s="2" t="b">
        <f t="shared" si="49"/>
        <v>0</v>
      </c>
      <c r="AE180" s="46">
        <f t="shared" si="42"/>
        <v>1732</v>
      </c>
      <c r="AF180" s="46">
        <f t="shared" si="43"/>
        <v>1741</v>
      </c>
      <c r="AG180" s="33" t="e">
        <f>IFERROR(AVERAGEIFS(data_brute!M:M,data_brute!J:J,"&gt;="&amp;AE180,data_brute!J:J,"&lt;="&amp;AF180),NA())</f>
        <v>#N/A</v>
      </c>
      <c r="AH180" s="46" t="e">
        <f t="shared" si="44"/>
        <v>#N/A</v>
      </c>
      <c r="AJ180" s="46">
        <f t="shared" si="50"/>
        <v>1732</v>
      </c>
      <c r="AK180" s="46">
        <f t="shared" si="51"/>
        <v>1741</v>
      </c>
      <c r="AL180" s="33">
        <f ca="1">IFERROR(AVERAGEIFS(data_brute!M:M,data_brute!J:J,"&lt;="&amp;AK180),NA())</f>
        <v>25.353524229074896</v>
      </c>
      <c r="AM180" s="46">
        <f t="shared" ca="1" si="52"/>
        <v>1740</v>
      </c>
      <c r="AN180" s="46" t="b">
        <f t="shared" si="53"/>
        <v>0</v>
      </c>
      <c r="AO180" s="50" t="b">
        <f t="shared" si="54"/>
        <v>0</v>
      </c>
    </row>
    <row r="181" spans="21:41" x14ac:dyDescent="0.2">
      <c r="U181" s="46">
        <f t="shared" si="45"/>
        <v>1742</v>
      </c>
      <c r="V181" s="46">
        <f t="shared" si="46"/>
        <v>1751</v>
      </c>
      <c r="W181" s="33" t="e">
        <f>IFERROR(AVERAGEIFS(data_brute!M:M,data_brute!J:J,"&lt;="&amp;V181,data_brute!J:J,"&gt;="&amp;U181),NA())</f>
        <v>#N/A</v>
      </c>
      <c r="X181" s="46" t="e">
        <f t="shared" si="47"/>
        <v>#N/A</v>
      </c>
      <c r="Y181" s="2" t="b">
        <f t="shared" si="48"/>
        <v>0</v>
      </c>
      <c r="Z181" s="2" t="b">
        <f t="shared" si="49"/>
        <v>0</v>
      </c>
      <c r="AE181" s="46">
        <f t="shared" si="42"/>
        <v>1742</v>
      </c>
      <c r="AF181" s="46">
        <f t="shared" si="43"/>
        <v>1751</v>
      </c>
      <c r="AG181" s="33" t="e">
        <f>IFERROR(AVERAGEIFS(data_brute!M:M,data_brute!J:J,"&gt;="&amp;AE181,data_brute!J:J,"&lt;="&amp;AF181),NA())</f>
        <v>#N/A</v>
      </c>
      <c r="AH181" s="46" t="e">
        <f t="shared" si="44"/>
        <v>#N/A</v>
      </c>
      <c r="AJ181" s="46">
        <f t="shared" si="50"/>
        <v>1742</v>
      </c>
      <c r="AK181" s="46">
        <f t="shared" si="51"/>
        <v>1751</v>
      </c>
      <c r="AL181" s="33">
        <f ca="1">IFERROR(AVERAGEIFS(data_brute!M:M,data_brute!J:J,"&lt;="&amp;AK181),NA())</f>
        <v>25.353524229074896</v>
      </c>
      <c r="AM181" s="46">
        <f t="shared" ca="1" si="52"/>
        <v>1750</v>
      </c>
      <c r="AN181" s="46" t="b">
        <f t="shared" si="53"/>
        <v>0</v>
      </c>
      <c r="AO181" s="50" t="b">
        <f t="shared" si="54"/>
        <v>0</v>
      </c>
    </row>
    <row r="182" spans="21:41" x14ac:dyDescent="0.2">
      <c r="U182" s="46">
        <f t="shared" si="45"/>
        <v>1752</v>
      </c>
      <c r="V182" s="46">
        <f t="shared" si="46"/>
        <v>1761</v>
      </c>
      <c r="W182" s="33" t="e">
        <f>IFERROR(AVERAGEIFS(data_brute!M:M,data_brute!J:J,"&lt;="&amp;V182,data_brute!J:J,"&gt;="&amp;U182),NA())</f>
        <v>#N/A</v>
      </c>
      <c r="X182" s="46" t="e">
        <f t="shared" si="47"/>
        <v>#N/A</v>
      </c>
      <c r="Y182" s="2" t="b">
        <f t="shared" si="48"/>
        <v>0</v>
      </c>
      <c r="Z182" s="2" t="b">
        <f t="shared" si="49"/>
        <v>0</v>
      </c>
      <c r="AE182" s="46">
        <f t="shared" si="42"/>
        <v>1752</v>
      </c>
      <c r="AF182" s="46">
        <f t="shared" si="43"/>
        <v>1761</v>
      </c>
      <c r="AG182" s="33" t="e">
        <f>IFERROR(AVERAGEIFS(data_brute!M:M,data_brute!J:J,"&gt;="&amp;AE182,data_brute!J:J,"&lt;="&amp;AF182),NA())</f>
        <v>#N/A</v>
      </c>
      <c r="AH182" s="46" t="e">
        <f t="shared" si="44"/>
        <v>#N/A</v>
      </c>
      <c r="AJ182" s="46">
        <f t="shared" si="50"/>
        <v>1752</v>
      </c>
      <c r="AK182" s="46">
        <f t="shared" si="51"/>
        <v>1761</v>
      </c>
      <c r="AL182" s="33">
        <f ca="1">IFERROR(AVERAGEIFS(data_brute!M:M,data_brute!J:J,"&lt;="&amp;AK182),NA())</f>
        <v>25.353524229074896</v>
      </c>
      <c r="AM182" s="46">
        <f t="shared" ca="1" si="52"/>
        <v>1760</v>
      </c>
      <c r="AN182" s="46" t="b">
        <f t="shared" si="53"/>
        <v>0</v>
      </c>
      <c r="AO182" s="50" t="b">
        <f t="shared" si="54"/>
        <v>0</v>
      </c>
    </row>
    <row r="183" spans="21:41" x14ac:dyDescent="0.2">
      <c r="U183" s="46">
        <f t="shared" si="45"/>
        <v>1762</v>
      </c>
      <c r="V183" s="46">
        <f t="shared" si="46"/>
        <v>1771</v>
      </c>
      <c r="W183" s="33" t="e">
        <f>IFERROR(AVERAGEIFS(data_brute!M:M,data_brute!J:J,"&lt;="&amp;V183,data_brute!J:J,"&gt;="&amp;U183),NA())</f>
        <v>#N/A</v>
      </c>
      <c r="X183" s="46" t="e">
        <f t="shared" si="47"/>
        <v>#N/A</v>
      </c>
      <c r="Y183" s="2" t="b">
        <f t="shared" si="48"/>
        <v>0</v>
      </c>
      <c r="Z183" s="2" t="b">
        <f t="shared" si="49"/>
        <v>0</v>
      </c>
      <c r="AE183" s="46">
        <f t="shared" si="42"/>
        <v>1762</v>
      </c>
      <c r="AF183" s="46">
        <f t="shared" si="43"/>
        <v>1771</v>
      </c>
      <c r="AG183" s="33" t="e">
        <f>IFERROR(AVERAGEIFS(data_brute!M:M,data_brute!J:J,"&gt;="&amp;AE183,data_brute!J:J,"&lt;="&amp;AF183),NA())</f>
        <v>#N/A</v>
      </c>
      <c r="AH183" s="46" t="e">
        <f t="shared" si="44"/>
        <v>#N/A</v>
      </c>
      <c r="AJ183" s="46">
        <f t="shared" si="50"/>
        <v>1762</v>
      </c>
      <c r="AK183" s="46">
        <f t="shared" si="51"/>
        <v>1771</v>
      </c>
      <c r="AL183" s="33">
        <f ca="1">IFERROR(AVERAGEIFS(data_brute!M:M,data_brute!J:J,"&lt;="&amp;AK183),NA())</f>
        <v>25.353524229074896</v>
      </c>
      <c r="AM183" s="46">
        <f t="shared" ca="1" si="52"/>
        <v>1770</v>
      </c>
      <c r="AN183" s="46" t="b">
        <f t="shared" si="53"/>
        <v>0</v>
      </c>
      <c r="AO183" s="50" t="b">
        <f t="shared" si="54"/>
        <v>0</v>
      </c>
    </row>
    <row r="184" spans="21:41" x14ac:dyDescent="0.2">
      <c r="U184" s="46">
        <f t="shared" si="45"/>
        <v>1772</v>
      </c>
      <c r="V184" s="46">
        <f t="shared" si="46"/>
        <v>1781</v>
      </c>
      <c r="W184" s="33" t="e">
        <f>IFERROR(AVERAGEIFS(data_brute!M:M,data_brute!J:J,"&lt;="&amp;V184,data_brute!J:J,"&gt;="&amp;U184),NA())</f>
        <v>#N/A</v>
      </c>
      <c r="X184" s="46" t="e">
        <f t="shared" si="47"/>
        <v>#N/A</v>
      </c>
      <c r="Y184" s="2" t="b">
        <f t="shared" si="48"/>
        <v>0</v>
      </c>
      <c r="Z184" s="2" t="b">
        <f t="shared" si="49"/>
        <v>0</v>
      </c>
      <c r="AE184" s="46">
        <f t="shared" si="42"/>
        <v>1772</v>
      </c>
      <c r="AF184" s="46">
        <f t="shared" si="43"/>
        <v>1781</v>
      </c>
      <c r="AG184" s="33" t="e">
        <f>IFERROR(AVERAGEIFS(data_brute!M:M,data_brute!J:J,"&gt;="&amp;AE184,data_brute!J:J,"&lt;="&amp;AF184),NA())</f>
        <v>#N/A</v>
      </c>
      <c r="AH184" s="46" t="e">
        <f t="shared" si="44"/>
        <v>#N/A</v>
      </c>
      <c r="AJ184" s="46">
        <f t="shared" si="50"/>
        <v>1772</v>
      </c>
      <c r="AK184" s="46">
        <f t="shared" si="51"/>
        <v>1781</v>
      </c>
      <c r="AL184" s="33">
        <f ca="1">IFERROR(AVERAGEIFS(data_brute!M:M,data_brute!J:J,"&lt;="&amp;AK184),NA())</f>
        <v>25.353524229074896</v>
      </c>
      <c r="AM184" s="46">
        <f t="shared" ca="1" si="52"/>
        <v>1780</v>
      </c>
      <c r="AN184" s="46" t="b">
        <f t="shared" si="53"/>
        <v>0</v>
      </c>
      <c r="AO184" s="50" t="b">
        <f t="shared" si="54"/>
        <v>0</v>
      </c>
    </row>
    <row r="185" spans="21:41" x14ac:dyDescent="0.2">
      <c r="U185" s="46">
        <f t="shared" si="45"/>
        <v>1782</v>
      </c>
      <c r="V185" s="46">
        <f t="shared" si="46"/>
        <v>1791</v>
      </c>
      <c r="W185" s="33" t="e">
        <f>IFERROR(AVERAGEIFS(data_brute!M:M,data_brute!J:J,"&lt;="&amp;V185,data_brute!J:J,"&gt;="&amp;U185),NA())</f>
        <v>#N/A</v>
      </c>
      <c r="X185" s="46" t="e">
        <f t="shared" si="47"/>
        <v>#N/A</v>
      </c>
      <c r="Y185" s="2" t="b">
        <f t="shared" si="48"/>
        <v>0</v>
      </c>
      <c r="Z185" s="2" t="b">
        <f t="shared" si="49"/>
        <v>0</v>
      </c>
      <c r="AE185" s="46">
        <f t="shared" si="42"/>
        <v>1782</v>
      </c>
      <c r="AF185" s="46">
        <f t="shared" si="43"/>
        <v>1791</v>
      </c>
      <c r="AG185" s="33" t="e">
        <f>IFERROR(AVERAGEIFS(data_brute!M:M,data_brute!J:J,"&gt;="&amp;AE185,data_brute!J:J,"&lt;="&amp;AF185),NA())</f>
        <v>#N/A</v>
      </c>
      <c r="AH185" s="46" t="e">
        <f t="shared" si="44"/>
        <v>#N/A</v>
      </c>
      <c r="AJ185" s="46">
        <f t="shared" si="50"/>
        <v>1782</v>
      </c>
      <c r="AK185" s="46">
        <f t="shared" si="51"/>
        <v>1791</v>
      </c>
      <c r="AL185" s="33">
        <f ca="1">IFERROR(AVERAGEIFS(data_brute!M:M,data_brute!J:J,"&lt;="&amp;AK185),NA())</f>
        <v>25.353524229074896</v>
      </c>
      <c r="AM185" s="46">
        <f t="shared" ca="1" si="52"/>
        <v>1790</v>
      </c>
      <c r="AN185" s="46" t="b">
        <f t="shared" si="53"/>
        <v>0</v>
      </c>
      <c r="AO185" s="50" t="b">
        <f t="shared" si="54"/>
        <v>0</v>
      </c>
    </row>
    <row r="186" spans="21:41" x14ac:dyDescent="0.2">
      <c r="U186" s="46">
        <f t="shared" si="45"/>
        <v>1792</v>
      </c>
      <c r="V186" s="46">
        <f t="shared" si="46"/>
        <v>1801</v>
      </c>
      <c r="W186" s="33" t="e">
        <f>IFERROR(AVERAGEIFS(data_brute!M:M,data_brute!J:J,"&lt;="&amp;V186,data_brute!J:J,"&gt;="&amp;U186),NA())</f>
        <v>#N/A</v>
      </c>
      <c r="X186" s="46" t="e">
        <f t="shared" si="47"/>
        <v>#N/A</v>
      </c>
      <c r="Y186" s="2" t="b">
        <f t="shared" si="48"/>
        <v>0</v>
      </c>
      <c r="Z186" s="2" t="b">
        <f t="shared" si="49"/>
        <v>0</v>
      </c>
      <c r="AE186" s="46">
        <f t="shared" si="42"/>
        <v>1792</v>
      </c>
      <c r="AF186" s="46">
        <f t="shared" si="43"/>
        <v>1801</v>
      </c>
      <c r="AG186" s="33" t="e">
        <f>IFERROR(AVERAGEIFS(data_brute!M:M,data_brute!J:J,"&gt;="&amp;AE186,data_brute!J:J,"&lt;="&amp;AF186),NA())</f>
        <v>#N/A</v>
      </c>
      <c r="AH186" s="46" t="e">
        <f t="shared" si="44"/>
        <v>#N/A</v>
      </c>
      <c r="AJ186" s="46">
        <f t="shared" si="50"/>
        <v>1792</v>
      </c>
      <c r="AK186" s="46">
        <f t="shared" si="51"/>
        <v>1801</v>
      </c>
      <c r="AL186" s="33">
        <f ca="1">IFERROR(AVERAGEIFS(data_brute!M:M,data_brute!J:J,"&lt;="&amp;AK186),NA())</f>
        <v>25.353524229074896</v>
      </c>
      <c r="AM186" s="46">
        <f t="shared" ca="1" si="52"/>
        <v>1800</v>
      </c>
      <c r="AN186" s="46" t="b">
        <f t="shared" si="53"/>
        <v>0</v>
      </c>
      <c r="AO186" s="50" t="b">
        <f t="shared" si="54"/>
        <v>0</v>
      </c>
    </row>
    <row r="187" spans="21:41" x14ac:dyDescent="0.2">
      <c r="U187" s="46">
        <f t="shared" si="45"/>
        <v>1802</v>
      </c>
      <c r="V187" s="46">
        <f t="shared" si="46"/>
        <v>1811</v>
      </c>
      <c r="W187" s="33" t="e">
        <f>IFERROR(AVERAGEIFS(data_brute!M:M,data_brute!J:J,"&lt;="&amp;V187,data_brute!J:J,"&gt;="&amp;U187),NA())</f>
        <v>#N/A</v>
      </c>
      <c r="X187" s="46" t="e">
        <f t="shared" si="47"/>
        <v>#N/A</v>
      </c>
      <c r="Y187" s="2" t="b">
        <f t="shared" si="48"/>
        <v>0</v>
      </c>
      <c r="Z187" s="2" t="b">
        <f t="shared" si="49"/>
        <v>0</v>
      </c>
      <c r="AE187" s="46">
        <f t="shared" si="42"/>
        <v>1802</v>
      </c>
      <c r="AF187" s="46">
        <f t="shared" si="43"/>
        <v>1811</v>
      </c>
      <c r="AG187" s="33" t="e">
        <f>IFERROR(AVERAGEIFS(data_brute!M:M,data_brute!J:J,"&gt;="&amp;AE187,data_brute!J:J,"&lt;="&amp;AF187),NA())</f>
        <v>#N/A</v>
      </c>
      <c r="AH187" s="46" t="e">
        <f t="shared" si="44"/>
        <v>#N/A</v>
      </c>
      <c r="AJ187" s="46">
        <f t="shared" si="50"/>
        <v>1802</v>
      </c>
      <c r="AK187" s="46">
        <f t="shared" si="51"/>
        <v>1811</v>
      </c>
      <c r="AL187" s="33">
        <f ca="1">IFERROR(AVERAGEIFS(data_brute!M:M,data_brute!J:J,"&lt;="&amp;AK187),NA())</f>
        <v>25.353524229074896</v>
      </c>
      <c r="AM187" s="46">
        <f t="shared" ca="1" si="52"/>
        <v>1810</v>
      </c>
      <c r="AN187" s="46" t="b">
        <f t="shared" si="53"/>
        <v>0</v>
      </c>
      <c r="AO187" s="50" t="b">
        <f t="shared" si="54"/>
        <v>0</v>
      </c>
    </row>
    <row r="188" spans="21:41" x14ac:dyDescent="0.2">
      <c r="U188" s="46">
        <f t="shared" si="45"/>
        <v>1812</v>
      </c>
      <c r="V188" s="46">
        <f t="shared" si="46"/>
        <v>1821</v>
      </c>
      <c r="W188" s="33" t="e">
        <f>IFERROR(AVERAGEIFS(data_brute!M:M,data_brute!J:J,"&lt;="&amp;V188,data_brute!J:J,"&gt;="&amp;U188),NA())</f>
        <v>#N/A</v>
      </c>
      <c r="X188" s="46" t="e">
        <f t="shared" si="47"/>
        <v>#N/A</v>
      </c>
      <c r="Y188" s="2" t="b">
        <f t="shared" si="48"/>
        <v>0</v>
      </c>
      <c r="Z188" s="2" t="b">
        <f t="shared" si="49"/>
        <v>0</v>
      </c>
      <c r="AE188" s="46">
        <f t="shared" si="42"/>
        <v>1812</v>
      </c>
      <c r="AF188" s="46">
        <f t="shared" si="43"/>
        <v>1821</v>
      </c>
      <c r="AG188" s="33" t="e">
        <f>IFERROR(AVERAGEIFS(data_brute!M:M,data_brute!J:J,"&gt;="&amp;AE188,data_brute!J:J,"&lt;="&amp;AF188),NA())</f>
        <v>#N/A</v>
      </c>
      <c r="AH188" s="46" t="e">
        <f t="shared" si="44"/>
        <v>#N/A</v>
      </c>
      <c r="AJ188" s="46">
        <f t="shared" si="50"/>
        <v>1812</v>
      </c>
      <c r="AK188" s="46">
        <f t="shared" si="51"/>
        <v>1821</v>
      </c>
      <c r="AL188" s="33">
        <f ca="1">IFERROR(AVERAGEIFS(data_brute!M:M,data_brute!J:J,"&lt;="&amp;AK188),NA())</f>
        <v>25.353524229074896</v>
      </c>
      <c r="AM188" s="46">
        <f t="shared" ca="1" si="52"/>
        <v>1820</v>
      </c>
      <c r="AN188" s="46" t="b">
        <f t="shared" si="53"/>
        <v>0</v>
      </c>
      <c r="AO188" s="50" t="b">
        <f t="shared" si="54"/>
        <v>0</v>
      </c>
    </row>
    <row r="189" spans="21:41" x14ac:dyDescent="0.2">
      <c r="U189" s="46">
        <f t="shared" si="45"/>
        <v>1822</v>
      </c>
      <c r="V189" s="46">
        <f t="shared" si="46"/>
        <v>1831</v>
      </c>
      <c r="W189" s="33" t="e">
        <f>IFERROR(AVERAGEIFS(data_brute!M:M,data_brute!J:J,"&lt;="&amp;V189,data_brute!J:J,"&gt;="&amp;U189),NA())</f>
        <v>#N/A</v>
      </c>
      <c r="X189" s="46" t="e">
        <f t="shared" si="47"/>
        <v>#N/A</v>
      </c>
      <c r="Y189" s="2" t="b">
        <f t="shared" si="48"/>
        <v>0</v>
      </c>
      <c r="Z189" s="2" t="b">
        <f t="shared" si="49"/>
        <v>0</v>
      </c>
      <c r="AE189" s="46">
        <f t="shared" si="42"/>
        <v>1822</v>
      </c>
      <c r="AF189" s="46">
        <f t="shared" si="43"/>
        <v>1831</v>
      </c>
      <c r="AG189" s="33" t="e">
        <f>IFERROR(AVERAGEIFS(data_brute!M:M,data_brute!J:J,"&gt;="&amp;AE189,data_brute!J:J,"&lt;="&amp;AF189),NA())</f>
        <v>#N/A</v>
      </c>
      <c r="AH189" s="46" t="e">
        <f t="shared" si="44"/>
        <v>#N/A</v>
      </c>
      <c r="AJ189" s="46">
        <f t="shared" si="50"/>
        <v>1822</v>
      </c>
      <c r="AK189" s="46">
        <f t="shared" si="51"/>
        <v>1831</v>
      </c>
      <c r="AL189" s="33">
        <f ca="1">IFERROR(AVERAGEIFS(data_brute!M:M,data_brute!J:J,"&lt;="&amp;AK189),NA())</f>
        <v>25.353524229074896</v>
      </c>
      <c r="AM189" s="46">
        <f t="shared" ca="1" si="52"/>
        <v>1830</v>
      </c>
      <c r="AN189" s="46" t="b">
        <f t="shared" si="53"/>
        <v>0</v>
      </c>
      <c r="AO189" s="50" t="b">
        <f t="shared" si="54"/>
        <v>0</v>
      </c>
    </row>
    <row r="190" spans="21:41" x14ac:dyDescent="0.2">
      <c r="U190" s="46">
        <f t="shared" si="45"/>
        <v>1832</v>
      </c>
      <c r="V190" s="46">
        <f t="shared" si="46"/>
        <v>1841</v>
      </c>
      <c r="W190" s="33" t="e">
        <f>IFERROR(AVERAGEIFS(data_brute!M:M,data_brute!J:J,"&lt;="&amp;V190,data_brute!J:J,"&gt;="&amp;U190),NA())</f>
        <v>#N/A</v>
      </c>
      <c r="X190" s="46" t="e">
        <f t="shared" si="47"/>
        <v>#N/A</v>
      </c>
      <c r="Y190" s="2" t="b">
        <f t="shared" si="48"/>
        <v>0</v>
      </c>
      <c r="Z190" s="2" t="b">
        <f t="shared" si="49"/>
        <v>0</v>
      </c>
      <c r="AE190" s="46">
        <f t="shared" si="42"/>
        <v>1832</v>
      </c>
      <c r="AF190" s="46">
        <f t="shared" si="43"/>
        <v>1841</v>
      </c>
      <c r="AG190" s="33" t="e">
        <f>IFERROR(AVERAGEIFS(data_brute!M:M,data_brute!J:J,"&gt;="&amp;AE190,data_brute!J:J,"&lt;="&amp;AF190),NA())</f>
        <v>#N/A</v>
      </c>
      <c r="AH190" s="46" t="e">
        <f t="shared" si="44"/>
        <v>#N/A</v>
      </c>
      <c r="AJ190" s="46">
        <f t="shared" si="50"/>
        <v>1832</v>
      </c>
      <c r="AK190" s="46">
        <f t="shared" si="51"/>
        <v>1841</v>
      </c>
      <c r="AL190" s="33">
        <f ca="1">IFERROR(AVERAGEIFS(data_brute!M:M,data_brute!J:J,"&lt;="&amp;AK190),NA())</f>
        <v>25.353524229074896</v>
      </c>
      <c r="AM190" s="46">
        <f t="shared" ca="1" si="52"/>
        <v>1840</v>
      </c>
      <c r="AN190" s="46" t="b">
        <f t="shared" si="53"/>
        <v>0</v>
      </c>
      <c r="AO190" s="50" t="b">
        <f t="shared" si="54"/>
        <v>0</v>
      </c>
    </row>
    <row r="191" spans="21:41" x14ac:dyDescent="0.2">
      <c r="U191" s="46">
        <f t="shared" si="45"/>
        <v>1842</v>
      </c>
      <c r="V191" s="46">
        <f t="shared" si="46"/>
        <v>1851</v>
      </c>
      <c r="W191" s="33" t="e">
        <f>IFERROR(AVERAGEIFS(data_brute!M:M,data_brute!J:J,"&lt;="&amp;V191,data_brute!J:J,"&gt;="&amp;U191),NA())</f>
        <v>#N/A</v>
      </c>
      <c r="X191" s="46" t="e">
        <f t="shared" si="47"/>
        <v>#N/A</v>
      </c>
      <c r="Y191" s="2" t="b">
        <f t="shared" si="48"/>
        <v>0</v>
      </c>
      <c r="Z191" s="2" t="b">
        <f t="shared" si="49"/>
        <v>0</v>
      </c>
      <c r="AE191" s="46">
        <f t="shared" si="42"/>
        <v>1842</v>
      </c>
      <c r="AF191" s="46">
        <f t="shared" si="43"/>
        <v>1851</v>
      </c>
      <c r="AG191" s="33" t="e">
        <f>IFERROR(AVERAGEIFS(data_brute!M:M,data_brute!J:J,"&gt;="&amp;AE191,data_brute!J:J,"&lt;="&amp;AF191),NA())</f>
        <v>#N/A</v>
      </c>
      <c r="AH191" s="46" t="e">
        <f t="shared" si="44"/>
        <v>#N/A</v>
      </c>
      <c r="AJ191" s="46">
        <f t="shared" si="50"/>
        <v>1842</v>
      </c>
      <c r="AK191" s="46">
        <f t="shared" si="51"/>
        <v>1851</v>
      </c>
      <c r="AL191" s="33">
        <f ca="1">IFERROR(AVERAGEIFS(data_brute!M:M,data_brute!J:J,"&lt;="&amp;AK191),NA())</f>
        <v>25.353524229074896</v>
      </c>
      <c r="AM191" s="46">
        <f t="shared" ca="1" si="52"/>
        <v>1850</v>
      </c>
      <c r="AN191" s="46" t="b">
        <f t="shared" si="53"/>
        <v>0</v>
      </c>
      <c r="AO191" s="50" t="b">
        <f t="shared" si="54"/>
        <v>0</v>
      </c>
    </row>
    <row r="192" spans="21:41" x14ac:dyDescent="0.2">
      <c r="U192" s="46">
        <f t="shared" si="45"/>
        <v>1852</v>
      </c>
      <c r="V192" s="46">
        <f t="shared" si="46"/>
        <v>1861</v>
      </c>
      <c r="W192" s="33" t="e">
        <f>IFERROR(AVERAGEIFS(data_brute!M:M,data_brute!J:J,"&lt;="&amp;V192,data_brute!J:J,"&gt;="&amp;U192),NA())</f>
        <v>#N/A</v>
      </c>
      <c r="X192" s="46" t="e">
        <f t="shared" si="47"/>
        <v>#N/A</v>
      </c>
      <c r="Y192" s="2" t="b">
        <f t="shared" si="48"/>
        <v>0</v>
      </c>
      <c r="Z192" s="2" t="b">
        <f t="shared" si="49"/>
        <v>0</v>
      </c>
      <c r="AE192" s="46">
        <f t="shared" si="42"/>
        <v>1852</v>
      </c>
      <c r="AF192" s="46">
        <f t="shared" si="43"/>
        <v>1861</v>
      </c>
      <c r="AG192" s="33" t="e">
        <f>IFERROR(AVERAGEIFS(data_brute!M:M,data_brute!J:J,"&gt;="&amp;AE192,data_brute!J:J,"&lt;="&amp;AF192),NA())</f>
        <v>#N/A</v>
      </c>
      <c r="AH192" s="46" t="e">
        <f t="shared" si="44"/>
        <v>#N/A</v>
      </c>
      <c r="AJ192" s="46">
        <f t="shared" si="50"/>
        <v>1852</v>
      </c>
      <c r="AK192" s="46">
        <f t="shared" si="51"/>
        <v>1861</v>
      </c>
      <c r="AL192" s="33">
        <f ca="1">IFERROR(AVERAGEIFS(data_brute!M:M,data_brute!J:J,"&lt;="&amp;AK192),NA())</f>
        <v>25.353524229074896</v>
      </c>
      <c r="AM192" s="46">
        <f t="shared" ca="1" si="52"/>
        <v>1860</v>
      </c>
      <c r="AN192" s="46" t="b">
        <f t="shared" si="53"/>
        <v>0</v>
      </c>
      <c r="AO192" s="50" t="b">
        <f t="shared" si="54"/>
        <v>0</v>
      </c>
    </row>
    <row r="193" spans="21:41" x14ac:dyDescent="0.2">
      <c r="U193" s="46">
        <f t="shared" si="45"/>
        <v>1862</v>
      </c>
      <c r="V193" s="46">
        <f t="shared" si="46"/>
        <v>1871</v>
      </c>
      <c r="W193" s="33" t="e">
        <f>IFERROR(AVERAGEIFS(data_brute!M:M,data_brute!J:J,"&lt;="&amp;V193,data_brute!J:J,"&gt;="&amp;U193),NA())</f>
        <v>#N/A</v>
      </c>
      <c r="X193" s="46" t="e">
        <f t="shared" si="47"/>
        <v>#N/A</v>
      </c>
      <c r="Y193" s="2" t="b">
        <f t="shared" si="48"/>
        <v>0</v>
      </c>
      <c r="Z193" s="2" t="b">
        <f t="shared" si="49"/>
        <v>0</v>
      </c>
      <c r="AE193" s="46">
        <f t="shared" si="42"/>
        <v>1862</v>
      </c>
      <c r="AF193" s="46">
        <f t="shared" si="43"/>
        <v>1871</v>
      </c>
      <c r="AG193" s="33" t="e">
        <f>IFERROR(AVERAGEIFS(data_brute!M:M,data_brute!J:J,"&gt;="&amp;AE193,data_brute!J:J,"&lt;="&amp;AF193),NA())</f>
        <v>#N/A</v>
      </c>
      <c r="AH193" s="46" t="e">
        <f t="shared" si="44"/>
        <v>#N/A</v>
      </c>
      <c r="AJ193" s="46">
        <f t="shared" si="50"/>
        <v>1862</v>
      </c>
      <c r="AK193" s="46">
        <f t="shared" si="51"/>
        <v>1871</v>
      </c>
      <c r="AL193" s="33">
        <f ca="1">IFERROR(AVERAGEIFS(data_brute!M:M,data_brute!J:J,"&lt;="&amp;AK193),NA())</f>
        <v>25.353524229074896</v>
      </c>
      <c r="AM193" s="46">
        <f t="shared" ca="1" si="52"/>
        <v>1870</v>
      </c>
      <c r="AN193" s="46" t="b">
        <f t="shared" si="53"/>
        <v>0</v>
      </c>
      <c r="AO193" s="50" t="b">
        <f t="shared" si="54"/>
        <v>0</v>
      </c>
    </row>
    <row r="194" spans="21:41" x14ac:dyDescent="0.2">
      <c r="U194" s="46">
        <f t="shared" si="45"/>
        <v>1872</v>
      </c>
      <c r="V194" s="46">
        <f t="shared" si="46"/>
        <v>1881</v>
      </c>
      <c r="W194" s="33" t="e">
        <f>IFERROR(AVERAGEIFS(data_brute!M:M,data_brute!J:J,"&lt;="&amp;V194,data_brute!J:J,"&gt;="&amp;U194),NA())</f>
        <v>#N/A</v>
      </c>
      <c r="X194" s="46" t="e">
        <f t="shared" si="47"/>
        <v>#N/A</v>
      </c>
      <c r="Y194" s="2" t="b">
        <f t="shared" si="48"/>
        <v>0</v>
      </c>
      <c r="Z194" s="2" t="b">
        <f t="shared" si="49"/>
        <v>0</v>
      </c>
      <c r="AE194" s="46">
        <f t="shared" si="42"/>
        <v>1872</v>
      </c>
      <c r="AF194" s="46">
        <f t="shared" si="43"/>
        <v>1881</v>
      </c>
      <c r="AG194" s="33" t="e">
        <f>IFERROR(AVERAGEIFS(data_brute!M:M,data_brute!J:J,"&gt;="&amp;AE194,data_brute!J:J,"&lt;="&amp;AF194),NA())</f>
        <v>#N/A</v>
      </c>
      <c r="AH194" s="46" t="e">
        <f t="shared" si="44"/>
        <v>#N/A</v>
      </c>
      <c r="AJ194" s="46">
        <f t="shared" si="50"/>
        <v>1872</v>
      </c>
      <c r="AK194" s="46">
        <f t="shared" si="51"/>
        <v>1881</v>
      </c>
      <c r="AL194" s="33">
        <f ca="1">IFERROR(AVERAGEIFS(data_brute!M:M,data_brute!J:J,"&lt;="&amp;AK194),NA())</f>
        <v>25.353524229074896</v>
      </c>
      <c r="AM194" s="46">
        <f t="shared" ca="1" si="52"/>
        <v>1880</v>
      </c>
      <c r="AN194" s="46" t="b">
        <f t="shared" si="53"/>
        <v>0</v>
      </c>
      <c r="AO194" s="50" t="b">
        <f t="shared" si="54"/>
        <v>0</v>
      </c>
    </row>
    <row r="195" spans="21:41" x14ac:dyDescent="0.2">
      <c r="U195" s="46">
        <f t="shared" si="45"/>
        <v>1882</v>
      </c>
      <c r="V195" s="46">
        <f t="shared" si="46"/>
        <v>1891</v>
      </c>
      <c r="W195" s="33" t="e">
        <f>IFERROR(AVERAGEIFS(data_brute!M:M,data_brute!J:J,"&lt;="&amp;V195,data_brute!J:J,"&gt;="&amp;U195),NA())</f>
        <v>#N/A</v>
      </c>
      <c r="X195" s="46" t="e">
        <f t="shared" si="47"/>
        <v>#N/A</v>
      </c>
      <c r="Y195" s="2" t="b">
        <f t="shared" si="48"/>
        <v>0</v>
      </c>
      <c r="Z195" s="2" t="b">
        <f t="shared" si="49"/>
        <v>0</v>
      </c>
      <c r="AE195" s="46">
        <f t="shared" si="42"/>
        <v>1882</v>
      </c>
      <c r="AF195" s="46">
        <f t="shared" si="43"/>
        <v>1891</v>
      </c>
      <c r="AG195" s="33" t="e">
        <f>IFERROR(AVERAGEIFS(data_brute!M:M,data_brute!J:J,"&gt;="&amp;AE195,data_brute!J:J,"&lt;="&amp;AF195),NA())</f>
        <v>#N/A</v>
      </c>
      <c r="AH195" s="46" t="e">
        <f t="shared" si="44"/>
        <v>#N/A</v>
      </c>
      <c r="AJ195" s="46">
        <f t="shared" si="50"/>
        <v>1882</v>
      </c>
      <c r="AK195" s="46">
        <f t="shared" si="51"/>
        <v>1891</v>
      </c>
      <c r="AL195" s="33">
        <f ca="1">IFERROR(AVERAGEIFS(data_brute!M:M,data_brute!J:J,"&lt;="&amp;AK195),NA())</f>
        <v>25.353524229074896</v>
      </c>
      <c r="AM195" s="46">
        <f t="shared" ca="1" si="52"/>
        <v>1890</v>
      </c>
      <c r="AN195" s="46" t="b">
        <f t="shared" si="53"/>
        <v>0</v>
      </c>
      <c r="AO195" s="50" t="b">
        <f t="shared" si="54"/>
        <v>0</v>
      </c>
    </row>
    <row r="196" spans="21:41" x14ac:dyDescent="0.2">
      <c r="U196" s="46">
        <f t="shared" si="45"/>
        <v>1892</v>
      </c>
      <c r="V196" s="46">
        <f t="shared" si="46"/>
        <v>1901</v>
      </c>
      <c r="W196" s="33" t="e">
        <f>IFERROR(AVERAGEIFS(data_brute!M:M,data_brute!J:J,"&lt;="&amp;V196,data_brute!J:J,"&gt;="&amp;U196),NA())</f>
        <v>#N/A</v>
      </c>
      <c r="X196" s="46" t="e">
        <f t="shared" si="47"/>
        <v>#N/A</v>
      </c>
      <c r="Y196" s="2" t="b">
        <f t="shared" si="48"/>
        <v>0</v>
      </c>
      <c r="Z196" s="2" t="b">
        <f t="shared" si="49"/>
        <v>0</v>
      </c>
      <c r="AE196" s="46">
        <f t="shared" si="42"/>
        <v>1892</v>
      </c>
      <c r="AF196" s="46">
        <f t="shared" si="43"/>
        <v>1901</v>
      </c>
      <c r="AG196" s="33" t="e">
        <f>IFERROR(AVERAGEIFS(data_brute!M:M,data_brute!J:J,"&gt;="&amp;AE196,data_brute!J:J,"&lt;="&amp;AF196),NA())</f>
        <v>#N/A</v>
      </c>
      <c r="AH196" s="46" t="e">
        <f t="shared" si="44"/>
        <v>#N/A</v>
      </c>
      <c r="AJ196" s="46">
        <f t="shared" si="50"/>
        <v>1892</v>
      </c>
      <c r="AK196" s="46">
        <f t="shared" si="51"/>
        <v>1901</v>
      </c>
      <c r="AL196" s="33">
        <f ca="1">IFERROR(AVERAGEIFS(data_brute!M:M,data_brute!J:J,"&lt;="&amp;AK196),NA())</f>
        <v>25.353524229074896</v>
      </c>
      <c r="AM196" s="46">
        <f t="shared" ca="1" si="52"/>
        <v>1900</v>
      </c>
      <c r="AN196" s="46" t="b">
        <f t="shared" si="53"/>
        <v>0</v>
      </c>
      <c r="AO196" s="50" t="b">
        <f t="shared" si="54"/>
        <v>0</v>
      </c>
    </row>
    <row r="197" spans="21:41" x14ac:dyDescent="0.2">
      <c r="U197" s="46">
        <f t="shared" si="45"/>
        <v>1902</v>
      </c>
      <c r="V197" s="46">
        <f t="shared" si="46"/>
        <v>1911</v>
      </c>
      <c r="W197" s="33" t="e">
        <f>IFERROR(AVERAGEIFS(data_brute!M:M,data_brute!J:J,"&lt;="&amp;V197,data_brute!J:J,"&gt;="&amp;U197),NA())</f>
        <v>#N/A</v>
      </c>
      <c r="X197" s="46" t="e">
        <f t="shared" si="47"/>
        <v>#N/A</v>
      </c>
      <c r="Y197" s="2" t="b">
        <f t="shared" si="48"/>
        <v>0</v>
      </c>
      <c r="Z197" s="2" t="b">
        <f t="shared" si="49"/>
        <v>0</v>
      </c>
      <c r="AE197" s="46">
        <f t="shared" si="42"/>
        <v>1902</v>
      </c>
      <c r="AF197" s="46">
        <f t="shared" si="43"/>
        <v>1911</v>
      </c>
      <c r="AG197" s="33" t="e">
        <f>IFERROR(AVERAGEIFS(data_brute!M:M,data_brute!J:J,"&gt;="&amp;AE197,data_brute!J:J,"&lt;="&amp;AF197),NA())</f>
        <v>#N/A</v>
      </c>
      <c r="AH197" s="46" t="e">
        <f t="shared" si="44"/>
        <v>#N/A</v>
      </c>
      <c r="AJ197" s="46">
        <f t="shared" si="50"/>
        <v>1902</v>
      </c>
      <c r="AK197" s="46">
        <f t="shared" si="51"/>
        <v>1911</v>
      </c>
      <c r="AL197" s="33">
        <f ca="1">IFERROR(AVERAGEIFS(data_brute!M:M,data_brute!J:J,"&lt;="&amp;AK197),NA())</f>
        <v>25.353524229074896</v>
      </c>
      <c r="AM197" s="46">
        <f t="shared" ca="1" si="52"/>
        <v>1910</v>
      </c>
      <c r="AN197" s="46" t="b">
        <f t="shared" si="53"/>
        <v>0</v>
      </c>
      <c r="AO197" s="50" t="b">
        <f t="shared" si="54"/>
        <v>0</v>
      </c>
    </row>
    <row r="198" spans="21:41" x14ac:dyDescent="0.2">
      <c r="U198" s="46">
        <f t="shared" si="45"/>
        <v>1912</v>
      </c>
      <c r="V198" s="46">
        <f t="shared" si="46"/>
        <v>1921</v>
      </c>
      <c r="W198" s="33" t="e">
        <f>IFERROR(AVERAGEIFS(data_brute!M:M,data_brute!J:J,"&lt;="&amp;V198,data_brute!J:J,"&gt;="&amp;U198),NA())</f>
        <v>#N/A</v>
      </c>
      <c r="X198" s="46" t="e">
        <f t="shared" si="47"/>
        <v>#N/A</v>
      </c>
      <c r="Y198" s="2" t="b">
        <f t="shared" si="48"/>
        <v>0</v>
      </c>
      <c r="Z198" s="2" t="b">
        <f t="shared" si="49"/>
        <v>0</v>
      </c>
      <c r="AE198" s="46">
        <f t="shared" si="42"/>
        <v>1912</v>
      </c>
      <c r="AF198" s="46">
        <f t="shared" si="43"/>
        <v>1921</v>
      </c>
      <c r="AG198" s="33" t="e">
        <f>IFERROR(AVERAGEIFS(data_brute!M:M,data_brute!J:J,"&gt;="&amp;AE198,data_brute!J:J,"&lt;="&amp;AF198),NA())</f>
        <v>#N/A</v>
      </c>
      <c r="AH198" s="46" t="e">
        <f t="shared" si="44"/>
        <v>#N/A</v>
      </c>
      <c r="AJ198" s="46">
        <f t="shared" si="50"/>
        <v>1912</v>
      </c>
      <c r="AK198" s="46">
        <f t="shared" si="51"/>
        <v>1921</v>
      </c>
      <c r="AL198" s="33">
        <f ca="1">IFERROR(AVERAGEIFS(data_brute!M:M,data_brute!J:J,"&lt;="&amp;AK198),NA())</f>
        <v>25.353524229074896</v>
      </c>
      <c r="AM198" s="46">
        <f t="shared" ca="1" si="52"/>
        <v>1920</v>
      </c>
      <c r="AN198" s="46" t="b">
        <f t="shared" si="53"/>
        <v>0</v>
      </c>
      <c r="AO198" s="50" t="b">
        <f t="shared" si="54"/>
        <v>0</v>
      </c>
    </row>
    <row r="199" spans="21:41" x14ac:dyDescent="0.2">
      <c r="U199" s="46">
        <f t="shared" si="45"/>
        <v>1922</v>
      </c>
      <c r="V199" s="46">
        <f t="shared" si="46"/>
        <v>1931</v>
      </c>
      <c r="W199" s="33" t="e">
        <f>IFERROR(AVERAGEIFS(data_brute!M:M,data_brute!J:J,"&lt;="&amp;V199,data_brute!J:J,"&gt;="&amp;U199),NA())</f>
        <v>#N/A</v>
      </c>
      <c r="X199" s="46" t="e">
        <f t="shared" si="47"/>
        <v>#N/A</v>
      </c>
      <c r="Y199" s="2" t="b">
        <f t="shared" si="48"/>
        <v>0</v>
      </c>
      <c r="Z199" s="2" t="b">
        <f t="shared" si="49"/>
        <v>0</v>
      </c>
      <c r="AE199" s="46">
        <f t="shared" si="42"/>
        <v>1922</v>
      </c>
      <c r="AF199" s="46">
        <f t="shared" si="43"/>
        <v>1931</v>
      </c>
      <c r="AG199" s="33" t="e">
        <f>IFERROR(AVERAGEIFS(data_brute!M:M,data_brute!J:J,"&gt;="&amp;AE199,data_brute!J:J,"&lt;="&amp;AF199),NA())</f>
        <v>#N/A</v>
      </c>
      <c r="AH199" s="46" t="e">
        <f t="shared" si="44"/>
        <v>#N/A</v>
      </c>
      <c r="AJ199" s="46">
        <f t="shared" si="50"/>
        <v>1922</v>
      </c>
      <c r="AK199" s="46">
        <f t="shared" si="51"/>
        <v>1931</v>
      </c>
      <c r="AL199" s="33">
        <f ca="1">IFERROR(AVERAGEIFS(data_brute!M:M,data_brute!J:J,"&lt;="&amp;AK199),NA())</f>
        <v>25.353524229074896</v>
      </c>
      <c r="AM199" s="46">
        <f t="shared" ca="1" si="52"/>
        <v>1930</v>
      </c>
      <c r="AN199" s="46" t="b">
        <f t="shared" si="53"/>
        <v>0</v>
      </c>
      <c r="AO199" s="50" t="b">
        <f t="shared" si="54"/>
        <v>0</v>
      </c>
    </row>
    <row r="200" spans="21:41" x14ac:dyDescent="0.2">
      <c r="U200" s="46">
        <f t="shared" si="45"/>
        <v>1932</v>
      </c>
      <c r="V200" s="46">
        <f t="shared" si="46"/>
        <v>1941</v>
      </c>
      <c r="W200" s="33" t="e">
        <f>IFERROR(AVERAGEIFS(data_brute!M:M,data_brute!J:J,"&lt;="&amp;V200,data_brute!J:J,"&gt;="&amp;U200),NA())</f>
        <v>#N/A</v>
      </c>
      <c r="X200" s="46" t="e">
        <f t="shared" si="47"/>
        <v>#N/A</v>
      </c>
      <c r="Y200" s="2" t="b">
        <f t="shared" si="48"/>
        <v>0</v>
      </c>
      <c r="Z200" s="2" t="b">
        <f t="shared" si="49"/>
        <v>0</v>
      </c>
      <c r="AE200" s="46">
        <f t="shared" si="42"/>
        <v>1932</v>
      </c>
      <c r="AF200" s="46">
        <f t="shared" si="43"/>
        <v>1941</v>
      </c>
      <c r="AG200" s="33" t="e">
        <f>IFERROR(AVERAGEIFS(data_brute!M:M,data_brute!J:J,"&gt;="&amp;AE200,data_brute!J:J,"&lt;="&amp;AF200),NA())</f>
        <v>#N/A</v>
      </c>
      <c r="AH200" s="46" t="e">
        <f t="shared" si="44"/>
        <v>#N/A</v>
      </c>
      <c r="AJ200" s="46">
        <f t="shared" si="50"/>
        <v>1932</v>
      </c>
      <c r="AK200" s="46">
        <f t="shared" si="51"/>
        <v>1941</v>
      </c>
      <c r="AL200" s="33">
        <f ca="1">IFERROR(AVERAGEIFS(data_brute!M:M,data_brute!J:J,"&lt;="&amp;AK200),NA())</f>
        <v>25.353524229074896</v>
      </c>
      <c r="AM200" s="46">
        <f t="shared" ca="1" si="52"/>
        <v>1940</v>
      </c>
      <c r="AN200" s="46" t="b">
        <f t="shared" si="53"/>
        <v>0</v>
      </c>
      <c r="AO200" s="50" t="b">
        <f t="shared" si="54"/>
        <v>0</v>
      </c>
    </row>
    <row r="201" spans="21:41" x14ac:dyDescent="0.2">
      <c r="U201" s="46">
        <f t="shared" si="45"/>
        <v>1942</v>
      </c>
      <c r="V201" s="46">
        <f t="shared" si="46"/>
        <v>1951</v>
      </c>
      <c r="W201" s="33" t="e">
        <f>IFERROR(AVERAGEIFS(data_brute!M:M,data_brute!J:J,"&lt;="&amp;V201,data_brute!J:J,"&gt;="&amp;U201),NA())</f>
        <v>#N/A</v>
      </c>
      <c r="X201" s="46" t="e">
        <f t="shared" si="47"/>
        <v>#N/A</v>
      </c>
      <c r="Y201" s="2" t="b">
        <f t="shared" si="48"/>
        <v>0</v>
      </c>
      <c r="Z201" s="2" t="b">
        <f t="shared" si="49"/>
        <v>0</v>
      </c>
      <c r="AE201" s="46">
        <f t="shared" si="42"/>
        <v>1942</v>
      </c>
      <c r="AF201" s="46">
        <f t="shared" si="43"/>
        <v>1951</v>
      </c>
      <c r="AG201" s="33" t="e">
        <f>IFERROR(AVERAGEIFS(data_brute!M:M,data_brute!J:J,"&gt;="&amp;AE201,data_brute!J:J,"&lt;="&amp;AF201),NA())</f>
        <v>#N/A</v>
      </c>
      <c r="AH201" s="46" t="e">
        <f t="shared" si="44"/>
        <v>#N/A</v>
      </c>
      <c r="AJ201" s="46">
        <f t="shared" si="50"/>
        <v>1942</v>
      </c>
      <c r="AK201" s="46">
        <f t="shared" si="51"/>
        <v>1951</v>
      </c>
      <c r="AL201" s="33">
        <f ca="1">IFERROR(AVERAGEIFS(data_brute!M:M,data_brute!J:J,"&lt;="&amp;AK201),NA())</f>
        <v>25.353524229074896</v>
      </c>
      <c r="AM201" s="46">
        <f t="shared" ca="1" si="52"/>
        <v>1950</v>
      </c>
      <c r="AN201" s="46" t="b">
        <f t="shared" si="53"/>
        <v>0</v>
      </c>
      <c r="AO201" s="50" t="b">
        <f t="shared" si="54"/>
        <v>0</v>
      </c>
    </row>
    <row r="202" spans="21:41" x14ac:dyDescent="0.2">
      <c r="U202" s="46">
        <f t="shared" si="45"/>
        <v>1952</v>
      </c>
      <c r="V202" s="46">
        <f t="shared" si="46"/>
        <v>1961</v>
      </c>
      <c r="W202" s="33" t="e">
        <f>IFERROR(AVERAGEIFS(data_brute!M:M,data_brute!J:J,"&lt;="&amp;V202,data_brute!J:J,"&gt;="&amp;U202),NA())</f>
        <v>#N/A</v>
      </c>
      <c r="X202" s="46" t="e">
        <f t="shared" si="47"/>
        <v>#N/A</v>
      </c>
      <c r="Y202" s="2" t="b">
        <f t="shared" si="48"/>
        <v>0</v>
      </c>
      <c r="Z202" s="2" t="b">
        <f t="shared" si="49"/>
        <v>0</v>
      </c>
      <c r="AE202" s="46">
        <f t="shared" si="42"/>
        <v>1952</v>
      </c>
      <c r="AF202" s="46">
        <f t="shared" si="43"/>
        <v>1961</v>
      </c>
      <c r="AG202" s="33" t="e">
        <f>IFERROR(AVERAGEIFS(data_brute!M:M,data_brute!J:J,"&gt;="&amp;AE202,data_brute!J:J,"&lt;="&amp;AF202),NA())</f>
        <v>#N/A</v>
      </c>
      <c r="AH202" s="46" t="e">
        <f t="shared" si="44"/>
        <v>#N/A</v>
      </c>
      <c r="AJ202" s="46">
        <f t="shared" si="50"/>
        <v>1952</v>
      </c>
      <c r="AK202" s="46">
        <f t="shared" si="51"/>
        <v>1961</v>
      </c>
      <c r="AL202" s="33">
        <f ca="1">IFERROR(AVERAGEIFS(data_brute!M:M,data_brute!J:J,"&lt;="&amp;AK202),NA())</f>
        <v>25.353524229074896</v>
      </c>
      <c r="AM202" s="46">
        <f t="shared" ca="1" si="52"/>
        <v>1960</v>
      </c>
      <c r="AN202" s="46" t="b">
        <f t="shared" si="53"/>
        <v>0</v>
      </c>
      <c r="AO202" s="50" t="b">
        <f t="shared" si="54"/>
        <v>0</v>
      </c>
    </row>
    <row r="203" spans="21:41" x14ac:dyDescent="0.2">
      <c r="U203" s="46">
        <f t="shared" si="45"/>
        <v>1962</v>
      </c>
      <c r="V203" s="46">
        <f t="shared" si="46"/>
        <v>1971</v>
      </c>
      <c r="W203" s="33" t="e">
        <f>IFERROR(AVERAGEIFS(data_brute!M:M,data_brute!J:J,"&lt;="&amp;V203,data_brute!J:J,"&gt;="&amp;U203),NA())</f>
        <v>#N/A</v>
      </c>
      <c r="X203" s="46" t="e">
        <f t="shared" si="47"/>
        <v>#N/A</v>
      </c>
      <c r="Y203" s="2" t="b">
        <f t="shared" si="48"/>
        <v>0</v>
      </c>
      <c r="Z203" s="2" t="b">
        <f t="shared" si="49"/>
        <v>0</v>
      </c>
      <c r="AE203" s="46">
        <f t="shared" si="42"/>
        <v>1962</v>
      </c>
      <c r="AF203" s="46">
        <f t="shared" si="43"/>
        <v>1971</v>
      </c>
      <c r="AG203" s="33" t="e">
        <f>IFERROR(AVERAGEIFS(data_brute!M:M,data_brute!J:J,"&gt;="&amp;AE203,data_brute!J:J,"&lt;="&amp;AF203),NA())</f>
        <v>#N/A</v>
      </c>
      <c r="AH203" s="46" t="e">
        <f t="shared" si="44"/>
        <v>#N/A</v>
      </c>
      <c r="AJ203" s="46">
        <f t="shared" si="50"/>
        <v>1962</v>
      </c>
      <c r="AK203" s="46">
        <f t="shared" si="51"/>
        <v>1971</v>
      </c>
      <c r="AL203" s="33">
        <f ca="1">IFERROR(AVERAGEIFS(data_brute!M:M,data_brute!J:J,"&lt;="&amp;AK203),NA())</f>
        <v>25.353524229074896</v>
      </c>
      <c r="AM203" s="46">
        <f t="shared" ca="1" si="52"/>
        <v>1970</v>
      </c>
      <c r="AN203" s="46" t="b">
        <f t="shared" si="53"/>
        <v>0</v>
      </c>
      <c r="AO203" s="50" t="b">
        <f t="shared" si="54"/>
        <v>0</v>
      </c>
    </row>
    <row r="204" spans="21:41" x14ac:dyDescent="0.2">
      <c r="U204" s="46">
        <f t="shared" si="45"/>
        <v>1972</v>
      </c>
      <c r="V204" s="46">
        <f t="shared" si="46"/>
        <v>1981</v>
      </c>
      <c r="W204" s="33" t="e">
        <f>IFERROR(AVERAGEIFS(data_brute!M:M,data_brute!J:J,"&lt;="&amp;V204,data_brute!J:J,"&gt;="&amp;U204),NA())</f>
        <v>#N/A</v>
      </c>
      <c r="X204" s="46" t="e">
        <f t="shared" si="47"/>
        <v>#N/A</v>
      </c>
      <c r="Y204" s="2" t="b">
        <f t="shared" si="48"/>
        <v>0</v>
      </c>
      <c r="Z204" s="2" t="b">
        <f t="shared" si="49"/>
        <v>0</v>
      </c>
      <c r="AE204" s="46">
        <f t="shared" si="42"/>
        <v>1972</v>
      </c>
      <c r="AF204" s="46">
        <f t="shared" si="43"/>
        <v>1981</v>
      </c>
      <c r="AG204" s="33" t="e">
        <f>IFERROR(AVERAGEIFS(data_brute!M:M,data_brute!J:J,"&gt;="&amp;AE204,data_brute!J:J,"&lt;="&amp;AF204),NA())</f>
        <v>#N/A</v>
      </c>
      <c r="AH204" s="46" t="e">
        <f t="shared" si="44"/>
        <v>#N/A</v>
      </c>
      <c r="AJ204" s="46">
        <f t="shared" si="50"/>
        <v>1972</v>
      </c>
      <c r="AK204" s="46">
        <f t="shared" si="51"/>
        <v>1981</v>
      </c>
      <c r="AL204" s="33">
        <f ca="1">IFERROR(AVERAGEIFS(data_brute!M:M,data_brute!J:J,"&lt;="&amp;AK204),NA())</f>
        <v>25.353524229074896</v>
      </c>
      <c r="AM204" s="46">
        <f t="shared" ca="1" si="52"/>
        <v>1980</v>
      </c>
      <c r="AN204" s="46" t="b">
        <f t="shared" si="53"/>
        <v>0</v>
      </c>
      <c r="AO204" s="50" t="b">
        <f t="shared" si="54"/>
        <v>0</v>
      </c>
    </row>
    <row r="205" spans="21:41" x14ac:dyDescent="0.2">
      <c r="U205" s="46">
        <f t="shared" si="45"/>
        <v>1982</v>
      </c>
      <c r="V205" s="46">
        <f t="shared" si="46"/>
        <v>1991</v>
      </c>
      <c r="W205" s="33" t="e">
        <f>IFERROR(AVERAGEIFS(data_brute!M:M,data_brute!J:J,"&lt;="&amp;V205,data_brute!J:J,"&gt;="&amp;U205),NA())</f>
        <v>#N/A</v>
      </c>
      <c r="X205" s="46" t="e">
        <f t="shared" si="47"/>
        <v>#N/A</v>
      </c>
      <c r="Y205" s="2" t="b">
        <f t="shared" si="48"/>
        <v>0</v>
      </c>
      <c r="Z205" s="2" t="b">
        <f t="shared" si="49"/>
        <v>0</v>
      </c>
      <c r="AE205" s="46">
        <f t="shared" si="42"/>
        <v>1982</v>
      </c>
      <c r="AF205" s="46">
        <f t="shared" si="43"/>
        <v>1991</v>
      </c>
      <c r="AG205" s="33" t="e">
        <f>IFERROR(AVERAGEIFS(data_brute!M:M,data_brute!J:J,"&gt;="&amp;AE205,data_brute!J:J,"&lt;="&amp;AF205),NA())</f>
        <v>#N/A</v>
      </c>
      <c r="AH205" s="46" t="e">
        <f t="shared" si="44"/>
        <v>#N/A</v>
      </c>
      <c r="AJ205" s="46">
        <f t="shared" si="50"/>
        <v>1982</v>
      </c>
      <c r="AK205" s="46">
        <f t="shared" si="51"/>
        <v>1991</v>
      </c>
      <c r="AL205" s="33">
        <f ca="1">IFERROR(AVERAGEIFS(data_brute!M:M,data_brute!J:J,"&lt;="&amp;AK205),NA())</f>
        <v>25.353524229074896</v>
      </c>
      <c r="AM205" s="46">
        <f t="shared" ca="1" si="52"/>
        <v>1990</v>
      </c>
      <c r="AN205" s="46" t="b">
        <f t="shared" si="53"/>
        <v>0</v>
      </c>
      <c r="AO205" s="50" t="b">
        <f t="shared" si="54"/>
        <v>0</v>
      </c>
    </row>
    <row r="206" spans="21:41" x14ac:dyDescent="0.2">
      <c r="U206" s="46">
        <f t="shared" si="45"/>
        <v>1992</v>
      </c>
      <c r="V206" s="46">
        <f t="shared" si="46"/>
        <v>2001</v>
      </c>
      <c r="W206" s="33" t="e">
        <f>IFERROR(AVERAGEIFS(data_brute!M:M,data_brute!J:J,"&lt;="&amp;V206,data_brute!J:J,"&gt;="&amp;U206),NA())</f>
        <v>#N/A</v>
      </c>
      <c r="X206" s="46" t="e">
        <f t="shared" si="47"/>
        <v>#N/A</v>
      </c>
      <c r="Y206" s="2" t="b">
        <f t="shared" si="48"/>
        <v>0</v>
      </c>
      <c r="Z206" s="2" t="b">
        <f t="shared" si="49"/>
        <v>0</v>
      </c>
      <c r="AE206" s="46">
        <f t="shared" si="42"/>
        <v>1992</v>
      </c>
      <c r="AF206" s="46">
        <f t="shared" si="43"/>
        <v>2001</v>
      </c>
      <c r="AG206" s="33" t="e">
        <f>IFERROR(AVERAGEIFS(data_brute!M:M,data_brute!J:J,"&gt;="&amp;AE206,data_brute!J:J,"&lt;="&amp;AF206),NA())</f>
        <v>#N/A</v>
      </c>
      <c r="AH206" s="46" t="e">
        <f t="shared" si="44"/>
        <v>#N/A</v>
      </c>
      <c r="AJ206" s="46">
        <f t="shared" si="50"/>
        <v>1992</v>
      </c>
      <c r="AK206" s="46">
        <f t="shared" si="51"/>
        <v>2001</v>
      </c>
      <c r="AL206" s="33">
        <f ca="1">IFERROR(AVERAGEIFS(data_brute!M:M,data_brute!J:J,"&lt;="&amp;AK206),NA())</f>
        <v>25.353524229074896</v>
      </c>
      <c r="AM206" s="46">
        <f t="shared" ca="1" si="52"/>
        <v>2000</v>
      </c>
      <c r="AN206" s="46" t="b">
        <f t="shared" si="53"/>
        <v>0</v>
      </c>
      <c r="AO206" s="50" t="b">
        <f t="shared" si="54"/>
        <v>0</v>
      </c>
    </row>
    <row r="207" spans="21:41" x14ac:dyDescent="0.2">
      <c r="U207" s="46">
        <f t="shared" si="45"/>
        <v>2002</v>
      </c>
      <c r="V207" s="46">
        <f t="shared" si="46"/>
        <v>2011</v>
      </c>
      <c r="W207" s="33" t="e">
        <f>IFERROR(AVERAGEIFS(data_brute!M:M,data_brute!J:J,"&lt;="&amp;V207,data_brute!J:J,"&gt;="&amp;U207),NA())</f>
        <v>#N/A</v>
      </c>
      <c r="X207" s="46" t="e">
        <f t="shared" si="47"/>
        <v>#N/A</v>
      </c>
      <c r="Y207" s="2" t="b">
        <f t="shared" si="48"/>
        <v>0</v>
      </c>
      <c r="Z207" s="2" t="b">
        <f t="shared" si="49"/>
        <v>0</v>
      </c>
      <c r="AE207" s="46">
        <f t="shared" si="42"/>
        <v>2002</v>
      </c>
      <c r="AF207" s="46">
        <f t="shared" si="43"/>
        <v>2011</v>
      </c>
      <c r="AG207" s="33" t="e">
        <f>IFERROR(AVERAGEIFS(data_brute!M:M,data_brute!J:J,"&gt;="&amp;AE207,data_brute!J:J,"&lt;="&amp;AF207),NA())</f>
        <v>#N/A</v>
      </c>
      <c r="AH207" s="46" t="e">
        <f t="shared" si="44"/>
        <v>#N/A</v>
      </c>
      <c r="AJ207" s="46">
        <f t="shared" si="50"/>
        <v>2002</v>
      </c>
      <c r="AK207" s="46">
        <f t="shared" si="51"/>
        <v>2011</v>
      </c>
      <c r="AL207" s="33">
        <f ca="1">IFERROR(AVERAGEIFS(data_brute!M:M,data_brute!J:J,"&lt;="&amp;AK207),NA())</f>
        <v>25.353524229074896</v>
      </c>
      <c r="AM207" s="46">
        <f t="shared" ca="1" si="52"/>
        <v>2010</v>
      </c>
      <c r="AN207" s="46" t="b">
        <f t="shared" si="53"/>
        <v>0</v>
      </c>
      <c r="AO207" s="50" t="b">
        <f t="shared" si="54"/>
        <v>0</v>
      </c>
    </row>
    <row r="208" spans="21:41" x14ac:dyDescent="0.2">
      <c r="U208" s="46">
        <f t="shared" si="45"/>
        <v>2012</v>
      </c>
      <c r="V208" s="46">
        <f t="shared" si="46"/>
        <v>2021</v>
      </c>
      <c r="W208" s="33" t="e">
        <f>IFERROR(AVERAGEIFS(data_brute!M:M,data_brute!J:J,"&lt;="&amp;V208,data_brute!J:J,"&gt;="&amp;U208),NA())</f>
        <v>#N/A</v>
      </c>
      <c r="X208" s="46" t="e">
        <f t="shared" si="47"/>
        <v>#N/A</v>
      </c>
      <c r="Y208" s="2" t="b">
        <f t="shared" si="48"/>
        <v>0</v>
      </c>
      <c r="Z208" s="2" t="b">
        <f t="shared" si="49"/>
        <v>0</v>
      </c>
      <c r="AE208" s="46">
        <f t="shared" si="42"/>
        <v>2012</v>
      </c>
      <c r="AF208" s="46">
        <f t="shared" si="43"/>
        <v>2021</v>
      </c>
      <c r="AG208" s="33" t="e">
        <f>IFERROR(AVERAGEIFS(data_brute!M:M,data_brute!J:J,"&gt;="&amp;AE208,data_brute!J:J,"&lt;="&amp;AF208),NA())</f>
        <v>#N/A</v>
      </c>
      <c r="AH208" s="46" t="e">
        <f t="shared" si="44"/>
        <v>#N/A</v>
      </c>
      <c r="AJ208" s="46">
        <f t="shared" si="50"/>
        <v>2012</v>
      </c>
      <c r="AK208" s="46">
        <f t="shared" si="51"/>
        <v>2021</v>
      </c>
      <c r="AL208" s="33">
        <f ca="1">IFERROR(AVERAGEIFS(data_brute!M:M,data_brute!J:J,"&lt;="&amp;AK208),NA())</f>
        <v>25.353524229074896</v>
      </c>
      <c r="AM208" s="46">
        <f t="shared" ca="1" si="52"/>
        <v>2020</v>
      </c>
      <c r="AN208" s="46" t="b">
        <f t="shared" si="53"/>
        <v>0</v>
      </c>
      <c r="AO208" s="50" t="b">
        <f t="shared" si="54"/>
        <v>0</v>
      </c>
    </row>
    <row r="209" spans="21:41" x14ac:dyDescent="0.2">
      <c r="U209" s="46">
        <f t="shared" si="45"/>
        <v>2022</v>
      </c>
      <c r="V209" s="46">
        <f t="shared" si="46"/>
        <v>2031</v>
      </c>
      <c r="W209" s="33" t="e">
        <f>IFERROR(AVERAGEIFS(data_brute!M:M,data_brute!J:J,"&lt;="&amp;V209,data_brute!J:J,"&gt;="&amp;U209),NA())</f>
        <v>#N/A</v>
      </c>
      <c r="X209" s="46" t="e">
        <f t="shared" si="47"/>
        <v>#N/A</v>
      </c>
      <c r="Y209" s="2" t="b">
        <f t="shared" si="48"/>
        <v>0</v>
      </c>
      <c r="Z209" s="2" t="b">
        <f t="shared" si="49"/>
        <v>0</v>
      </c>
      <c r="AE209" s="46">
        <f t="shared" si="42"/>
        <v>2022</v>
      </c>
      <c r="AF209" s="46">
        <f t="shared" si="43"/>
        <v>2031</v>
      </c>
      <c r="AG209" s="33" t="e">
        <f>IFERROR(AVERAGEIFS(data_brute!M:M,data_brute!J:J,"&gt;="&amp;AE209,data_brute!J:J,"&lt;="&amp;AF209),NA())</f>
        <v>#N/A</v>
      </c>
      <c r="AH209" s="46" t="e">
        <f t="shared" si="44"/>
        <v>#N/A</v>
      </c>
      <c r="AJ209" s="46">
        <f t="shared" si="50"/>
        <v>2022</v>
      </c>
      <c r="AK209" s="46">
        <f t="shared" si="51"/>
        <v>2031</v>
      </c>
      <c r="AL209" s="33">
        <f ca="1">IFERROR(AVERAGEIFS(data_brute!M:M,data_brute!J:J,"&lt;="&amp;AK209),NA())</f>
        <v>25.353524229074896</v>
      </c>
      <c r="AM209" s="46">
        <f t="shared" ca="1" si="52"/>
        <v>2030</v>
      </c>
      <c r="AN209" s="46" t="b">
        <f t="shared" si="53"/>
        <v>0</v>
      </c>
      <c r="AO209" s="50" t="b">
        <f t="shared" si="54"/>
        <v>0</v>
      </c>
    </row>
    <row r="210" spans="21:41" x14ac:dyDescent="0.2">
      <c r="U210" s="46">
        <f t="shared" si="45"/>
        <v>2032</v>
      </c>
      <c r="V210" s="46">
        <f t="shared" si="46"/>
        <v>2041</v>
      </c>
      <c r="W210" s="33" t="e">
        <f>IFERROR(AVERAGEIFS(data_brute!M:M,data_brute!J:J,"&lt;="&amp;V210,data_brute!J:J,"&gt;="&amp;U210),NA())</f>
        <v>#N/A</v>
      </c>
      <c r="X210" s="46" t="e">
        <f t="shared" si="47"/>
        <v>#N/A</v>
      </c>
      <c r="Y210" s="2" t="b">
        <f t="shared" si="48"/>
        <v>0</v>
      </c>
      <c r="Z210" s="2" t="b">
        <f t="shared" si="49"/>
        <v>0</v>
      </c>
      <c r="AE210" s="46">
        <f t="shared" si="42"/>
        <v>2032</v>
      </c>
      <c r="AF210" s="46">
        <f t="shared" si="43"/>
        <v>2041</v>
      </c>
      <c r="AG210" s="33" t="e">
        <f>IFERROR(AVERAGEIFS(data_brute!M:M,data_brute!J:J,"&gt;="&amp;AE210,data_brute!J:J,"&lt;="&amp;AF210),NA())</f>
        <v>#N/A</v>
      </c>
      <c r="AH210" s="46" t="e">
        <f t="shared" si="44"/>
        <v>#N/A</v>
      </c>
      <c r="AJ210" s="46">
        <f t="shared" si="50"/>
        <v>2032</v>
      </c>
      <c r="AK210" s="46">
        <f t="shared" si="51"/>
        <v>2041</v>
      </c>
      <c r="AL210" s="33">
        <f ca="1">IFERROR(AVERAGEIFS(data_brute!M:M,data_brute!J:J,"&lt;="&amp;AK210),NA())</f>
        <v>25.353524229074896</v>
      </c>
      <c r="AM210" s="46">
        <f t="shared" ca="1" si="52"/>
        <v>2040</v>
      </c>
      <c r="AN210" s="46" t="b">
        <f t="shared" si="53"/>
        <v>0</v>
      </c>
      <c r="AO210" s="50" t="b">
        <f t="shared" si="54"/>
        <v>0</v>
      </c>
    </row>
    <row r="211" spans="21:41" x14ac:dyDescent="0.2">
      <c r="U211" s="46">
        <f t="shared" si="45"/>
        <v>2042</v>
      </c>
      <c r="V211" s="46">
        <f t="shared" si="46"/>
        <v>2051</v>
      </c>
      <c r="W211" s="33" t="e">
        <f>IFERROR(AVERAGEIFS(data_brute!M:M,data_brute!J:J,"&lt;="&amp;V211,data_brute!J:J,"&gt;="&amp;U211),NA())</f>
        <v>#N/A</v>
      </c>
      <c r="X211" s="46" t="e">
        <f t="shared" si="47"/>
        <v>#N/A</v>
      </c>
      <c r="Y211" s="2" t="b">
        <f t="shared" si="48"/>
        <v>0</v>
      </c>
      <c r="Z211" s="2" t="b">
        <f t="shared" si="49"/>
        <v>0</v>
      </c>
      <c r="AE211" s="46">
        <f t="shared" si="42"/>
        <v>2042</v>
      </c>
      <c r="AF211" s="46">
        <f t="shared" si="43"/>
        <v>2051</v>
      </c>
      <c r="AG211" s="33" t="e">
        <f>IFERROR(AVERAGEIFS(data_brute!M:M,data_brute!J:J,"&gt;="&amp;AE211,data_brute!J:J,"&lt;="&amp;AF211),NA())</f>
        <v>#N/A</v>
      </c>
      <c r="AH211" s="46" t="e">
        <f t="shared" si="44"/>
        <v>#N/A</v>
      </c>
      <c r="AJ211" s="46">
        <f t="shared" si="50"/>
        <v>2042</v>
      </c>
      <c r="AK211" s="46">
        <f t="shared" si="51"/>
        <v>2051</v>
      </c>
      <c r="AL211" s="33">
        <f ca="1">IFERROR(AVERAGEIFS(data_brute!M:M,data_brute!J:J,"&lt;="&amp;AK211),NA())</f>
        <v>25.353524229074896</v>
      </c>
      <c r="AM211" s="46">
        <f t="shared" ca="1" si="52"/>
        <v>2050</v>
      </c>
      <c r="AN211" s="46" t="b">
        <f t="shared" si="53"/>
        <v>0</v>
      </c>
      <c r="AO211" s="50" t="b">
        <f t="shared" si="54"/>
        <v>0</v>
      </c>
    </row>
    <row r="212" spans="21:41" x14ac:dyDescent="0.2">
      <c r="U212" s="46">
        <f t="shared" si="45"/>
        <v>2052</v>
      </c>
      <c r="V212" s="46">
        <f t="shared" si="46"/>
        <v>2061</v>
      </c>
      <c r="W212" s="33" t="e">
        <f>IFERROR(AVERAGEIFS(data_brute!M:M,data_brute!J:J,"&lt;="&amp;V212,data_brute!J:J,"&gt;="&amp;U212),NA())</f>
        <v>#N/A</v>
      </c>
      <c r="X212" s="46" t="e">
        <f t="shared" si="47"/>
        <v>#N/A</v>
      </c>
      <c r="Y212" s="2" t="b">
        <f t="shared" si="48"/>
        <v>0</v>
      </c>
      <c r="Z212" s="2" t="b">
        <f t="shared" si="49"/>
        <v>0</v>
      </c>
      <c r="AE212" s="46">
        <f t="shared" si="42"/>
        <v>2052</v>
      </c>
      <c r="AF212" s="46">
        <f t="shared" si="43"/>
        <v>2061</v>
      </c>
      <c r="AG212" s="33" t="e">
        <f>IFERROR(AVERAGEIFS(data_brute!M:M,data_brute!J:J,"&gt;="&amp;AE212,data_brute!J:J,"&lt;="&amp;AF212),NA())</f>
        <v>#N/A</v>
      </c>
      <c r="AH212" s="46" t="e">
        <f t="shared" si="44"/>
        <v>#N/A</v>
      </c>
      <c r="AJ212" s="46">
        <f t="shared" si="50"/>
        <v>2052</v>
      </c>
      <c r="AK212" s="46">
        <f t="shared" si="51"/>
        <v>2061</v>
      </c>
      <c r="AL212" s="33">
        <f ca="1">IFERROR(AVERAGEIFS(data_brute!M:M,data_brute!J:J,"&lt;="&amp;AK212),NA())</f>
        <v>25.353524229074896</v>
      </c>
      <c r="AM212" s="46">
        <f t="shared" ca="1" si="52"/>
        <v>2060</v>
      </c>
      <c r="AN212" s="46" t="b">
        <f t="shared" si="53"/>
        <v>0</v>
      </c>
      <c r="AO212" s="50" t="b">
        <f t="shared" si="54"/>
        <v>0</v>
      </c>
    </row>
    <row r="213" spans="21:41" x14ac:dyDescent="0.2">
      <c r="U213" s="46">
        <f t="shared" si="45"/>
        <v>2062</v>
      </c>
      <c r="V213" s="46">
        <f t="shared" si="46"/>
        <v>2071</v>
      </c>
      <c r="W213" s="33" t="e">
        <f>IFERROR(AVERAGEIFS(data_brute!M:M,data_brute!J:J,"&lt;="&amp;V213,data_brute!J:J,"&gt;="&amp;U213),NA())</f>
        <v>#N/A</v>
      </c>
      <c r="X213" s="46" t="e">
        <f t="shared" si="47"/>
        <v>#N/A</v>
      </c>
      <c r="Y213" s="2" t="b">
        <f t="shared" si="48"/>
        <v>0</v>
      </c>
      <c r="Z213" s="2" t="b">
        <f t="shared" si="49"/>
        <v>0</v>
      </c>
      <c r="AE213" s="46">
        <f t="shared" si="42"/>
        <v>2062</v>
      </c>
      <c r="AF213" s="46">
        <f t="shared" si="43"/>
        <v>2071</v>
      </c>
      <c r="AG213" s="33" t="e">
        <f>IFERROR(AVERAGEIFS(data_brute!M:M,data_brute!J:J,"&gt;="&amp;AE213,data_brute!J:J,"&lt;="&amp;AF213),NA())</f>
        <v>#N/A</v>
      </c>
      <c r="AH213" s="46" t="e">
        <f t="shared" si="44"/>
        <v>#N/A</v>
      </c>
      <c r="AJ213" s="46">
        <f t="shared" si="50"/>
        <v>2062</v>
      </c>
      <c r="AK213" s="46">
        <f t="shared" si="51"/>
        <v>2071</v>
      </c>
      <c r="AL213" s="33">
        <f ca="1">IFERROR(AVERAGEIFS(data_brute!M:M,data_brute!J:J,"&lt;="&amp;AK213),NA())</f>
        <v>25.353524229074896</v>
      </c>
      <c r="AM213" s="46">
        <f t="shared" ca="1" si="52"/>
        <v>2070</v>
      </c>
      <c r="AN213" s="46" t="b">
        <f t="shared" si="53"/>
        <v>0</v>
      </c>
      <c r="AO213" s="50" t="b">
        <f t="shared" si="54"/>
        <v>0</v>
      </c>
    </row>
    <row r="214" spans="21:41" x14ac:dyDescent="0.2">
      <c r="U214" s="46">
        <f t="shared" si="45"/>
        <v>2072</v>
      </c>
      <c r="V214" s="46">
        <f t="shared" si="46"/>
        <v>2081</v>
      </c>
      <c r="W214" s="33" t="e">
        <f>IFERROR(AVERAGEIFS(data_brute!M:M,data_brute!J:J,"&lt;="&amp;V214,data_brute!J:J,"&gt;="&amp;U214),NA())</f>
        <v>#N/A</v>
      </c>
      <c r="X214" s="46" t="e">
        <f t="shared" si="47"/>
        <v>#N/A</v>
      </c>
      <c r="Y214" s="2" t="b">
        <f t="shared" si="48"/>
        <v>0</v>
      </c>
      <c r="Z214" s="2" t="b">
        <f t="shared" si="49"/>
        <v>0</v>
      </c>
      <c r="AE214" s="46">
        <f t="shared" si="42"/>
        <v>2072</v>
      </c>
      <c r="AF214" s="46">
        <f t="shared" si="43"/>
        <v>2081</v>
      </c>
      <c r="AG214" s="33" t="e">
        <f>IFERROR(AVERAGEIFS(data_brute!M:M,data_brute!J:J,"&gt;="&amp;AE214,data_brute!J:J,"&lt;="&amp;AF214),NA())</f>
        <v>#N/A</v>
      </c>
      <c r="AH214" s="46" t="e">
        <f t="shared" si="44"/>
        <v>#N/A</v>
      </c>
      <c r="AJ214" s="46">
        <f t="shared" si="50"/>
        <v>2072</v>
      </c>
      <c r="AK214" s="46">
        <f t="shared" si="51"/>
        <v>2081</v>
      </c>
      <c r="AL214" s="33">
        <f ca="1">IFERROR(AVERAGEIFS(data_brute!M:M,data_brute!J:J,"&lt;="&amp;AK214),NA())</f>
        <v>25.353524229074896</v>
      </c>
      <c r="AM214" s="46">
        <f t="shared" ca="1" si="52"/>
        <v>2080</v>
      </c>
      <c r="AN214" s="46" t="b">
        <f t="shared" si="53"/>
        <v>0</v>
      </c>
      <c r="AO214" s="50" t="b">
        <f t="shared" si="54"/>
        <v>0</v>
      </c>
    </row>
    <row r="215" spans="21:41" x14ac:dyDescent="0.2">
      <c r="U215" s="46">
        <f t="shared" si="45"/>
        <v>2082</v>
      </c>
      <c r="V215" s="46">
        <f t="shared" si="46"/>
        <v>2091</v>
      </c>
      <c r="W215" s="33" t="e">
        <f>IFERROR(AVERAGEIFS(data_brute!M:M,data_brute!J:J,"&lt;="&amp;V215,data_brute!J:J,"&gt;="&amp;U215),NA())</f>
        <v>#N/A</v>
      </c>
      <c r="X215" s="46" t="e">
        <f t="shared" si="47"/>
        <v>#N/A</v>
      </c>
      <c r="Y215" s="2" t="b">
        <f t="shared" si="48"/>
        <v>0</v>
      </c>
      <c r="Z215" s="2" t="b">
        <f t="shared" si="49"/>
        <v>0</v>
      </c>
      <c r="AE215" s="46">
        <f t="shared" si="42"/>
        <v>2082</v>
      </c>
      <c r="AF215" s="46">
        <f t="shared" si="43"/>
        <v>2091</v>
      </c>
      <c r="AG215" s="33" t="e">
        <f>IFERROR(AVERAGEIFS(data_brute!M:M,data_brute!J:J,"&gt;="&amp;AE215,data_brute!J:J,"&lt;="&amp;AF215),NA())</f>
        <v>#N/A</v>
      </c>
      <c r="AH215" s="46" t="e">
        <f t="shared" si="44"/>
        <v>#N/A</v>
      </c>
      <c r="AJ215" s="46">
        <f t="shared" si="50"/>
        <v>2082</v>
      </c>
      <c r="AK215" s="46">
        <f t="shared" si="51"/>
        <v>2091</v>
      </c>
      <c r="AL215" s="33">
        <f ca="1">IFERROR(AVERAGEIFS(data_brute!M:M,data_brute!J:J,"&lt;="&amp;AK215),NA())</f>
        <v>25.353524229074896</v>
      </c>
      <c r="AM215" s="46">
        <f t="shared" ca="1" si="52"/>
        <v>2090</v>
      </c>
      <c r="AN215" s="46" t="b">
        <f t="shared" si="53"/>
        <v>0</v>
      </c>
      <c r="AO215" s="50" t="b">
        <f t="shared" si="54"/>
        <v>0</v>
      </c>
    </row>
    <row r="216" spans="21:41" x14ac:dyDescent="0.2">
      <c r="U216" s="46">
        <f t="shared" si="45"/>
        <v>2092</v>
      </c>
      <c r="V216" s="46">
        <f t="shared" si="46"/>
        <v>2101</v>
      </c>
      <c r="W216" s="33" t="e">
        <f>IFERROR(AVERAGEIFS(data_brute!M:M,data_brute!J:J,"&lt;="&amp;V216,data_brute!J:J,"&gt;="&amp;U216),NA())</f>
        <v>#N/A</v>
      </c>
      <c r="X216" s="46" t="e">
        <f t="shared" si="47"/>
        <v>#N/A</v>
      </c>
      <c r="Y216" s="2" t="b">
        <f t="shared" si="48"/>
        <v>0</v>
      </c>
      <c r="Z216" s="2" t="b">
        <f t="shared" si="49"/>
        <v>0</v>
      </c>
      <c r="AE216" s="46">
        <f t="shared" ref="AE216:AE279" si="55">AF215+1</f>
        <v>2092</v>
      </c>
      <c r="AF216" s="46">
        <f t="shared" ref="AF216:AF279" si="56">AE216+$AG$2-1</f>
        <v>2101</v>
      </c>
      <c r="AG216" s="33" t="e">
        <f>IFERROR(AVERAGEIFS(data_brute!M:M,data_brute!J:J,"&gt;="&amp;AE216,data_brute!J:J,"&lt;="&amp;AF216),NA())</f>
        <v>#N/A</v>
      </c>
      <c r="AH216" s="46" t="e">
        <f t="shared" ref="AH216:AH279" si="57">IF(AG216&lt;&gt;"",$AG$2*(ROW()-ROW($AH$6)),NA())</f>
        <v>#N/A</v>
      </c>
      <c r="AJ216" s="46">
        <f t="shared" si="50"/>
        <v>2092</v>
      </c>
      <c r="AK216" s="46">
        <f t="shared" si="51"/>
        <v>2101</v>
      </c>
      <c r="AL216" s="33">
        <f ca="1">IFERROR(AVERAGEIFS(data_brute!M:M,data_brute!J:J,"&lt;="&amp;AK216),NA())</f>
        <v>25.353524229074896</v>
      </c>
      <c r="AM216" s="46">
        <f t="shared" ca="1" si="52"/>
        <v>2100</v>
      </c>
      <c r="AN216" s="46" t="b">
        <f t="shared" si="53"/>
        <v>0</v>
      </c>
      <c r="AO216" s="50" t="b">
        <f t="shared" si="54"/>
        <v>0</v>
      </c>
    </row>
    <row r="217" spans="21:41" x14ac:dyDescent="0.2">
      <c r="U217" s="46">
        <f t="shared" si="45"/>
        <v>2102</v>
      </c>
      <c r="V217" s="46">
        <f t="shared" si="46"/>
        <v>2111</v>
      </c>
      <c r="W217" s="33" t="e">
        <f>IFERROR(AVERAGEIFS(data_brute!M:M,data_brute!J:J,"&lt;="&amp;V217,data_brute!J:J,"&gt;="&amp;U217),NA())</f>
        <v>#N/A</v>
      </c>
      <c r="X217" s="46" t="e">
        <f t="shared" si="47"/>
        <v>#N/A</v>
      </c>
      <c r="Y217" s="2" t="b">
        <f t="shared" si="48"/>
        <v>0</v>
      </c>
      <c r="Z217" s="2" t="b">
        <f t="shared" si="49"/>
        <v>0</v>
      </c>
      <c r="AE217" s="46">
        <f t="shared" si="55"/>
        <v>2102</v>
      </c>
      <c r="AF217" s="46">
        <f t="shared" si="56"/>
        <v>2111</v>
      </c>
      <c r="AG217" s="33" t="e">
        <f>IFERROR(AVERAGEIFS(data_brute!M:M,data_brute!J:J,"&gt;="&amp;AE217,data_brute!J:J,"&lt;="&amp;AF217),NA())</f>
        <v>#N/A</v>
      </c>
      <c r="AH217" s="46" t="e">
        <f t="shared" si="57"/>
        <v>#N/A</v>
      </c>
      <c r="AJ217" s="46">
        <f t="shared" si="50"/>
        <v>2102</v>
      </c>
      <c r="AK217" s="46">
        <f t="shared" si="51"/>
        <v>2111</v>
      </c>
      <c r="AL217" s="33">
        <f ca="1">IFERROR(AVERAGEIFS(data_brute!M:M,data_brute!J:J,"&lt;="&amp;AK217),NA())</f>
        <v>25.353524229074896</v>
      </c>
      <c r="AM217" s="46">
        <f t="shared" ca="1" si="52"/>
        <v>2110</v>
      </c>
      <c r="AN217" s="46" t="b">
        <f t="shared" si="53"/>
        <v>0</v>
      </c>
      <c r="AO217" s="50" t="b">
        <f t="shared" si="54"/>
        <v>0</v>
      </c>
    </row>
    <row r="218" spans="21:41" x14ac:dyDescent="0.2">
      <c r="U218" s="46">
        <f t="shared" si="45"/>
        <v>2112</v>
      </c>
      <c r="V218" s="46">
        <f t="shared" si="46"/>
        <v>2121</v>
      </c>
      <c r="W218" s="33" t="e">
        <f>IFERROR(AVERAGEIFS(data_brute!M:M,data_brute!J:J,"&lt;="&amp;V218,data_brute!J:J,"&gt;="&amp;U218),NA())</f>
        <v>#N/A</v>
      </c>
      <c r="X218" s="46" t="e">
        <f t="shared" si="47"/>
        <v>#N/A</v>
      </c>
      <c r="Y218" s="2" t="b">
        <f t="shared" si="48"/>
        <v>0</v>
      </c>
      <c r="Z218" s="2" t="b">
        <f t="shared" si="49"/>
        <v>0</v>
      </c>
      <c r="AE218" s="46">
        <f t="shared" si="55"/>
        <v>2112</v>
      </c>
      <c r="AF218" s="46">
        <f t="shared" si="56"/>
        <v>2121</v>
      </c>
      <c r="AG218" s="33" t="e">
        <f>IFERROR(AVERAGEIFS(data_brute!M:M,data_brute!J:J,"&gt;="&amp;AE218,data_brute!J:J,"&lt;="&amp;AF218),NA())</f>
        <v>#N/A</v>
      </c>
      <c r="AH218" s="46" t="e">
        <f t="shared" si="57"/>
        <v>#N/A</v>
      </c>
      <c r="AJ218" s="46">
        <f t="shared" si="50"/>
        <v>2112</v>
      </c>
      <c r="AK218" s="46">
        <f t="shared" si="51"/>
        <v>2121</v>
      </c>
      <c r="AL218" s="33">
        <f ca="1">IFERROR(AVERAGEIFS(data_brute!M:M,data_brute!J:J,"&lt;="&amp;AK218),NA())</f>
        <v>25.353524229074896</v>
      </c>
      <c r="AM218" s="46">
        <f t="shared" ca="1" si="52"/>
        <v>2120</v>
      </c>
      <c r="AN218" s="46" t="b">
        <f t="shared" si="53"/>
        <v>0</v>
      </c>
      <c r="AO218" s="50" t="b">
        <f t="shared" si="54"/>
        <v>0</v>
      </c>
    </row>
    <row r="219" spans="21:41" x14ac:dyDescent="0.2">
      <c r="U219" s="46">
        <f t="shared" si="45"/>
        <v>2122</v>
      </c>
      <c r="V219" s="46">
        <f t="shared" si="46"/>
        <v>2131</v>
      </c>
      <c r="W219" s="33" t="e">
        <f>IFERROR(AVERAGEIFS(data_brute!M:M,data_brute!J:J,"&lt;="&amp;V219,data_brute!J:J,"&gt;="&amp;U219),NA())</f>
        <v>#N/A</v>
      </c>
      <c r="X219" s="46" t="e">
        <f t="shared" si="47"/>
        <v>#N/A</v>
      </c>
      <c r="Y219" s="2" t="b">
        <f t="shared" si="48"/>
        <v>0</v>
      </c>
      <c r="Z219" s="2" t="b">
        <f t="shared" si="49"/>
        <v>0</v>
      </c>
      <c r="AE219" s="46">
        <f t="shared" si="55"/>
        <v>2122</v>
      </c>
      <c r="AF219" s="46">
        <f t="shared" si="56"/>
        <v>2131</v>
      </c>
      <c r="AG219" s="33" t="e">
        <f>IFERROR(AVERAGEIFS(data_brute!M:M,data_brute!J:J,"&gt;="&amp;AE219,data_brute!J:J,"&lt;="&amp;AF219),NA())</f>
        <v>#N/A</v>
      </c>
      <c r="AH219" s="46" t="e">
        <f t="shared" si="57"/>
        <v>#N/A</v>
      </c>
      <c r="AJ219" s="46">
        <f t="shared" si="50"/>
        <v>2122</v>
      </c>
      <c r="AK219" s="46">
        <f t="shared" si="51"/>
        <v>2131</v>
      </c>
      <c r="AL219" s="33">
        <f ca="1">IFERROR(AVERAGEIFS(data_brute!M:M,data_brute!J:J,"&lt;="&amp;AK219),NA())</f>
        <v>25.353524229074896</v>
      </c>
      <c r="AM219" s="46">
        <f t="shared" ca="1" si="52"/>
        <v>2130</v>
      </c>
      <c r="AN219" s="46" t="b">
        <f t="shared" si="53"/>
        <v>0</v>
      </c>
      <c r="AO219" s="50" t="b">
        <f t="shared" si="54"/>
        <v>0</v>
      </c>
    </row>
    <row r="220" spans="21:41" x14ac:dyDescent="0.2">
      <c r="U220" s="46">
        <f t="shared" si="45"/>
        <v>2132</v>
      </c>
      <c r="V220" s="46">
        <f t="shared" si="46"/>
        <v>2141</v>
      </c>
      <c r="W220" s="33" t="e">
        <f>IFERROR(AVERAGEIFS(data_brute!M:M,data_brute!J:J,"&lt;="&amp;V220,data_brute!J:J,"&gt;="&amp;U220),NA())</f>
        <v>#N/A</v>
      </c>
      <c r="X220" s="46" t="e">
        <f t="shared" si="47"/>
        <v>#N/A</v>
      </c>
      <c r="Y220" s="2" t="b">
        <f t="shared" si="48"/>
        <v>0</v>
      </c>
      <c r="Z220" s="2" t="b">
        <f t="shared" si="49"/>
        <v>0</v>
      </c>
      <c r="AE220" s="46">
        <f t="shared" si="55"/>
        <v>2132</v>
      </c>
      <c r="AF220" s="46">
        <f t="shared" si="56"/>
        <v>2141</v>
      </c>
      <c r="AG220" s="33" t="e">
        <f>IFERROR(AVERAGEIFS(data_brute!M:M,data_brute!J:J,"&gt;="&amp;AE220,data_brute!J:J,"&lt;="&amp;AF220),NA())</f>
        <v>#N/A</v>
      </c>
      <c r="AH220" s="46" t="e">
        <f t="shared" si="57"/>
        <v>#N/A</v>
      </c>
      <c r="AJ220" s="46">
        <f t="shared" si="50"/>
        <v>2132</v>
      </c>
      <c r="AK220" s="46">
        <f t="shared" si="51"/>
        <v>2141</v>
      </c>
      <c r="AL220" s="33">
        <f ca="1">IFERROR(AVERAGEIFS(data_brute!M:M,data_brute!J:J,"&lt;="&amp;AK220),NA())</f>
        <v>25.353524229074896</v>
      </c>
      <c r="AM220" s="46">
        <f t="shared" ca="1" si="52"/>
        <v>2140</v>
      </c>
      <c r="AN220" s="46" t="b">
        <f t="shared" si="53"/>
        <v>0</v>
      </c>
      <c r="AO220" s="50" t="b">
        <f t="shared" si="54"/>
        <v>0</v>
      </c>
    </row>
    <row r="221" spans="21:41" x14ac:dyDescent="0.2">
      <c r="U221" s="46">
        <f t="shared" si="45"/>
        <v>2142</v>
      </c>
      <c r="V221" s="46">
        <f t="shared" si="46"/>
        <v>2151</v>
      </c>
      <c r="W221" s="33" t="e">
        <f>IFERROR(AVERAGEIFS(data_brute!M:M,data_brute!J:J,"&lt;="&amp;V221,data_brute!J:J,"&gt;="&amp;U221),NA())</f>
        <v>#N/A</v>
      </c>
      <c r="X221" s="46" t="e">
        <f t="shared" si="47"/>
        <v>#N/A</v>
      </c>
      <c r="Y221" s="2" t="b">
        <f t="shared" si="48"/>
        <v>0</v>
      </c>
      <c r="Z221" s="2" t="b">
        <f t="shared" si="49"/>
        <v>0</v>
      </c>
      <c r="AE221" s="46">
        <f t="shared" si="55"/>
        <v>2142</v>
      </c>
      <c r="AF221" s="46">
        <f t="shared" si="56"/>
        <v>2151</v>
      </c>
      <c r="AG221" s="33" t="e">
        <f>IFERROR(AVERAGEIFS(data_brute!M:M,data_brute!J:J,"&gt;="&amp;AE221,data_brute!J:J,"&lt;="&amp;AF221),NA())</f>
        <v>#N/A</v>
      </c>
      <c r="AH221" s="46" t="e">
        <f t="shared" si="57"/>
        <v>#N/A</v>
      </c>
      <c r="AJ221" s="46">
        <f t="shared" si="50"/>
        <v>2142</v>
      </c>
      <c r="AK221" s="46">
        <f t="shared" si="51"/>
        <v>2151</v>
      </c>
      <c r="AL221" s="33">
        <f ca="1">IFERROR(AVERAGEIFS(data_brute!M:M,data_brute!J:J,"&lt;="&amp;AK221),NA())</f>
        <v>25.353524229074896</v>
      </c>
      <c r="AM221" s="46">
        <f t="shared" ca="1" si="52"/>
        <v>2150</v>
      </c>
      <c r="AN221" s="46" t="b">
        <f t="shared" si="53"/>
        <v>0</v>
      </c>
      <c r="AO221" s="50" t="b">
        <f t="shared" si="54"/>
        <v>0</v>
      </c>
    </row>
    <row r="222" spans="21:41" x14ac:dyDescent="0.2">
      <c r="U222" s="46">
        <f t="shared" si="45"/>
        <v>2152</v>
      </c>
      <c r="V222" s="46">
        <f t="shared" si="46"/>
        <v>2161</v>
      </c>
      <c r="W222" s="33" t="e">
        <f>IFERROR(AVERAGEIFS(data_brute!M:M,data_brute!J:J,"&lt;="&amp;V222,data_brute!J:J,"&gt;="&amp;U222),NA())</f>
        <v>#N/A</v>
      </c>
      <c r="X222" s="46" t="e">
        <f t="shared" si="47"/>
        <v>#N/A</v>
      </c>
      <c r="Y222" s="2" t="b">
        <f t="shared" si="48"/>
        <v>0</v>
      </c>
      <c r="Z222" s="2" t="b">
        <f t="shared" si="49"/>
        <v>0</v>
      </c>
      <c r="AE222" s="46">
        <f t="shared" si="55"/>
        <v>2152</v>
      </c>
      <c r="AF222" s="46">
        <f t="shared" si="56"/>
        <v>2161</v>
      </c>
      <c r="AG222" s="33" t="e">
        <f>IFERROR(AVERAGEIFS(data_brute!M:M,data_brute!J:J,"&gt;="&amp;AE222,data_brute!J:J,"&lt;="&amp;AF222),NA())</f>
        <v>#N/A</v>
      </c>
      <c r="AH222" s="46" t="e">
        <f t="shared" si="57"/>
        <v>#N/A</v>
      </c>
      <c r="AJ222" s="46">
        <f t="shared" si="50"/>
        <v>2152</v>
      </c>
      <c r="AK222" s="46">
        <f t="shared" si="51"/>
        <v>2161</v>
      </c>
      <c r="AL222" s="33">
        <f ca="1">IFERROR(AVERAGEIFS(data_brute!M:M,data_brute!J:J,"&lt;="&amp;AK222),NA())</f>
        <v>25.353524229074896</v>
      </c>
      <c r="AM222" s="46">
        <f t="shared" ca="1" si="52"/>
        <v>2160</v>
      </c>
      <c r="AN222" s="46" t="b">
        <f t="shared" si="53"/>
        <v>0</v>
      </c>
      <c r="AO222" s="50" t="b">
        <f t="shared" si="54"/>
        <v>0</v>
      </c>
    </row>
    <row r="223" spans="21:41" x14ac:dyDescent="0.2">
      <c r="U223" s="46">
        <f t="shared" si="45"/>
        <v>2162</v>
      </c>
      <c r="V223" s="46">
        <f t="shared" si="46"/>
        <v>2171</v>
      </c>
      <c r="W223" s="33" t="e">
        <f>IFERROR(AVERAGEIFS(data_brute!M:M,data_brute!J:J,"&lt;="&amp;V223,data_brute!J:J,"&gt;="&amp;U223),NA())</f>
        <v>#N/A</v>
      </c>
      <c r="X223" s="46" t="e">
        <f t="shared" si="47"/>
        <v>#N/A</v>
      </c>
      <c r="Y223" s="2" t="b">
        <f t="shared" si="48"/>
        <v>0</v>
      </c>
      <c r="Z223" s="2" t="b">
        <f t="shared" si="49"/>
        <v>0</v>
      </c>
      <c r="AE223" s="46">
        <f t="shared" si="55"/>
        <v>2162</v>
      </c>
      <c r="AF223" s="46">
        <f t="shared" si="56"/>
        <v>2171</v>
      </c>
      <c r="AG223" s="33" t="e">
        <f>IFERROR(AVERAGEIFS(data_brute!M:M,data_brute!J:J,"&gt;="&amp;AE223,data_brute!J:J,"&lt;="&amp;AF223),NA())</f>
        <v>#N/A</v>
      </c>
      <c r="AH223" s="46" t="e">
        <f t="shared" si="57"/>
        <v>#N/A</v>
      </c>
      <c r="AJ223" s="46">
        <f t="shared" si="50"/>
        <v>2162</v>
      </c>
      <c r="AK223" s="46">
        <f t="shared" si="51"/>
        <v>2171</v>
      </c>
      <c r="AL223" s="33">
        <f ca="1">IFERROR(AVERAGEIFS(data_brute!M:M,data_brute!J:J,"&lt;="&amp;AK223),NA())</f>
        <v>25.353524229074896</v>
      </c>
      <c r="AM223" s="46">
        <f t="shared" ca="1" si="52"/>
        <v>2170</v>
      </c>
      <c r="AN223" s="46" t="b">
        <f t="shared" si="53"/>
        <v>0</v>
      </c>
      <c r="AO223" s="50" t="b">
        <f t="shared" si="54"/>
        <v>0</v>
      </c>
    </row>
    <row r="224" spans="21:41" x14ac:dyDescent="0.2">
      <c r="U224" s="46">
        <f t="shared" si="45"/>
        <v>2172</v>
      </c>
      <c r="V224" s="46">
        <f t="shared" si="46"/>
        <v>2181</v>
      </c>
      <c r="W224" s="33" t="e">
        <f>IFERROR(AVERAGEIFS(data_brute!M:M,data_brute!J:J,"&lt;="&amp;V224,data_brute!J:J,"&gt;="&amp;U224),NA())</f>
        <v>#N/A</v>
      </c>
      <c r="X224" s="46" t="e">
        <f t="shared" si="47"/>
        <v>#N/A</v>
      </c>
      <c r="Y224" s="2" t="b">
        <f t="shared" si="48"/>
        <v>0</v>
      </c>
      <c r="Z224" s="2" t="b">
        <f t="shared" si="49"/>
        <v>0</v>
      </c>
      <c r="AE224" s="46">
        <f t="shared" si="55"/>
        <v>2172</v>
      </c>
      <c r="AF224" s="46">
        <f t="shared" si="56"/>
        <v>2181</v>
      </c>
      <c r="AG224" s="33" t="e">
        <f>IFERROR(AVERAGEIFS(data_brute!M:M,data_brute!J:J,"&gt;="&amp;AE224,data_brute!J:J,"&lt;="&amp;AF224),NA())</f>
        <v>#N/A</v>
      </c>
      <c r="AH224" s="46" t="e">
        <f t="shared" si="57"/>
        <v>#N/A</v>
      </c>
      <c r="AJ224" s="46">
        <f t="shared" si="50"/>
        <v>2172</v>
      </c>
      <c r="AK224" s="46">
        <f t="shared" si="51"/>
        <v>2181</v>
      </c>
      <c r="AL224" s="33">
        <f ca="1">IFERROR(AVERAGEIFS(data_brute!M:M,data_brute!J:J,"&lt;="&amp;AK224),NA())</f>
        <v>25.353524229074896</v>
      </c>
      <c r="AM224" s="46">
        <f t="shared" ca="1" si="52"/>
        <v>2180</v>
      </c>
      <c r="AN224" s="46" t="b">
        <f t="shared" si="53"/>
        <v>0</v>
      </c>
      <c r="AO224" s="50" t="b">
        <f t="shared" si="54"/>
        <v>0</v>
      </c>
    </row>
    <row r="225" spans="21:41" x14ac:dyDescent="0.2">
      <c r="U225" s="46">
        <f t="shared" si="45"/>
        <v>2182</v>
      </c>
      <c r="V225" s="46">
        <f t="shared" si="46"/>
        <v>2191</v>
      </c>
      <c r="W225" s="33" t="e">
        <f>IFERROR(AVERAGEIFS(data_brute!M:M,data_brute!J:J,"&lt;="&amp;V225,data_brute!J:J,"&gt;="&amp;U225),NA())</f>
        <v>#N/A</v>
      </c>
      <c r="X225" s="46" t="e">
        <f t="shared" si="47"/>
        <v>#N/A</v>
      </c>
      <c r="Y225" s="2" t="b">
        <f t="shared" si="48"/>
        <v>0</v>
      </c>
      <c r="Z225" s="2" t="b">
        <f t="shared" si="49"/>
        <v>0</v>
      </c>
      <c r="AE225" s="46">
        <f t="shared" si="55"/>
        <v>2182</v>
      </c>
      <c r="AF225" s="46">
        <f t="shared" si="56"/>
        <v>2191</v>
      </c>
      <c r="AG225" s="33" t="e">
        <f>IFERROR(AVERAGEIFS(data_brute!M:M,data_brute!J:J,"&gt;="&amp;AE225,data_brute!J:J,"&lt;="&amp;AF225),NA())</f>
        <v>#N/A</v>
      </c>
      <c r="AH225" s="46" t="e">
        <f t="shared" si="57"/>
        <v>#N/A</v>
      </c>
      <c r="AJ225" s="46">
        <f t="shared" si="50"/>
        <v>2182</v>
      </c>
      <c r="AK225" s="46">
        <f t="shared" si="51"/>
        <v>2191</v>
      </c>
      <c r="AL225" s="33">
        <f ca="1">IFERROR(AVERAGEIFS(data_brute!M:M,data_brute!J:J,"&lt;="&amp;AK225),NA())</f>
        <v>25.353524229074896</v>
      </c>
      <c r="AM225" s="46">
        <f t="shared" ca="1" si="52"/>
        <v>2190</v>
      </c>
      <c r="AN225" s="46" t="b">
        <f t="shared" si="53"/>
        <v>0</v>
      </c>
      <c r="AO225" s="50" t="b">
        <f t="shared" si="54"/>
        <v>0</v>
      </c>
    </row>
    <row r="226" spans="21:41" x14ac:dyDescent="0.2">
      <c r="U226" s="46">
        <f t="shared" si="45"/>
        <v>2192</v>
      </c>
      <c r="V226" s="46">
        <f t="shared" si="46"/>
        <v>2201</v>
      </c>
      <c r="W226" s="33" t="e">
        <f>IFERROR(AVERAGEIFS(data_brute!M:M,data_brute!J:J,"&lt;="&amp;V226,data_brute!J:J,"&gt;="&amp;U226),NA())</f>
        <v>#N/A</v>
      </c>
      <c r="X226" s="46" t="e">
        <f t="shared" si="47"/>
        <v>#N/A</v>
      </c>
      <c r="Y226" s="2" t="b">
        <f t="shared" si="48"/>
        <v>0</v>
      </c>
      <c r="Z226" s="2" t="b">
        <f t="shared" si="49"/>
        <v>0</v>
      </c>
      <c r="AE226" s="46">
        <f t="shared" si="55"/>
        <v>2192</v>
      </c>
      <c r="AF226" s="46">
        <f t="shared" si="56"/>
        <v>2201</v>
      </c>
      <c r="AG226" s="33" t="e">
        <f>IFERROR(AVERAGEIFS(data_brute!M:M,data_brute!J:J,"&gt;="&amp;AE226,data_brute!J:J,"&lt;="&amp;AF226),NA())</f>
        <v>#N/A</v>
      </c>
      <c r="AH226" s="46" t="e">
        <f t="shared" si="57"/>
        <v>#N/A</v>
      </c>
      <c r="AJ226" s="46">
        <f t="shared" si="50"/>
        <v>2192</v>
      </c>
      <c r="AK226" s="46">
        <f t="shared" si="51"/>
        <v>2201</v>
      </c>
      <c r="AL226" s="33">
        <f ca="1">IFERROR(AVERAGEIFS(data_brute!M:M,data_brute!J:J,"&lt;="&amp;AK226),NA())</f>
        <v>25.353524229074896</v>
      </c>
      <c r="AM226" s="46">
        <f t="shared" ca="1" si="52"/>
        <v>2200</v>
      </c>
      <c r="AN226" s="46" t="b">
        <f t="shared" si="53"/>
        <v>0</v>
      </c>
      <c r="AO226" s="50" t="b">
        <f t="shared" si="54"/>
        <v>0</v>
      </c>
    </row>
    <row r="227" spans="21:41" x14ac:dyDescent="0.2">
      <c r="U227" s="46">
        <f t="shared" ref="U227:U290" si="58">V226+1</f>
        <v>2202</v>
      </c>
      <c r="V227" s="46">
        <f t="shared" ref="V227:V290" si="59">U227+$AG$2-1</f>
        <v>2211</v>
      </c>
      <c r="W227" s="33" t="e">
        <f>IFERROR(AVERAGEIFS(data_brute!M:M,data_brute!J:J,"&lt;="&amp;V227,data_brute!J:J,"&gt;="&amp;U227),NA())</f>
        <v>#N/A</v>
      </c>
      <c r="X227" s="46" t="e">
        <f t="shared" ref="X227:X290" si="60">IF(W227&lt;&gt;"",$AG$2*(ROW()-ROW($AH$6)),NA())</f>
        <v>#N/A</v>
      </c>
      <c r="Y227" s="2" t="b">
        <f t="shared" ref="Y227:Y290" si="61">IF(AND($F$5&gt;=U227,$F$5&lt;=V227,V227=$F$5),TRUE,FALSE)</f>
        <v>0</v>
      </c>
      <c r="Z227" s="2" t="b">
        <f t="shared" ref="Z227:Z290" si="62">IF(AND($F$5&gt;=U227,$F$5&lt;=V227),TRUE,FALSE)</f>
        <v>0</v>
      </c>
      <c r="AE227" s="46">
        <f t="shared" si="55"/>
        <v>2202</v>
      </c>
      <c r="AF227" s="46">
        <f t="shared" si="56"/>
        <v>2211</v>
      </c>
      <c r="AG227" s="33" t="e">
        <f>IFERROR(AVERAGEIFS(data_brute!M:M,data_brute!J:J,"&gt;="&amp;AE227,data_brute!J:J,"&lt;="&amp;AF227),NA())</f>
        <v>#N/A</v>
      </c>
      <c r="AH227" s="46" t="e">
        <f t="shared" si="57"/>
        <v>#N/A</v>
      </c>
      <c r="AJ227" s="46">
        <f t="shared" si="50"/>
        <v>2202</v>
      </c>
      <c r="AK227" s="46">
        <f t="shared" si="51"/>
        <v>2211</v>
      </c>
      <c r="AL227" s="33">
        <f ca="1">IFERROR(AVERAGEIFS(data_brute!M:M,data_brute!J:J,"&lt;="&amp;AK227),NA())</f>
        <v>25.353524229074896</v>
      </c>
      <c r="AM227" s="46">
        <f t="shared" ca="1" si="52"/>
        <v>2210</v>
      </c>
      <c r="AN227" s="46" t="b">
        <f t="shared" si="53"/>
        <v>0</v>
      </c>
      <c r="AO227" s="50" t="b">
        <f t="shared" si="54"/>
        <v>0</v>
      </c>
    </row>
    <row r="228" spans="21:41" x14ac:dyDescent="0.2">
      <c r="U228" s="46">
        <f t="shared" si="58"/>
        <v>2212</v>
      </c>
      <c r="V228" s="46">
        <f t="shared" si="59"/>
        <v>2221</v>
      </c>
      <c r="W228" s="33" t="e">
        <f>IFERROR(AVERAGEIFS(data_brute!M:M,data_brute!J:J,"&lt;="&amp;V228,data_brute!J:J,"&gt;="&amp;U228),NA())</f>
        <v>#N/A</v>
      </c>
      <c r="X228" s="46" t="e">
        <f t="shared" si="60"/>
        <v>#N/A</v>
      </c>
      <c r="Y228" s="2" t="b">
        <f t="shared" si="61"/>
        <v>0</v>
      </c>
      <c r="Z228" s="2" t="b">
        <f t="shared" si="62"/>
        <v>0</v>
      </c>
      <c r="AE228" s="46">
        <f t="shared" si="55"/>
        <v>2212</v>
      </c>
      <c r="AF228" s="46">
        <f t="shared" si="56"/>
        <v>2221</v>
      </c>
      <c r="AG228" s="33" t="e">
        <f>IFERROR(AVERAGEIFS(data_brute!M:M,data_brute!J:J,"&gt;="&amp;AE228,data_brute!J:J,"&lt;="&amp;AF228),NA())</f>
        <v>#N/A</v>
      </c>
      <c r="AH228" s="46" t="e">
        <f t="shared" si="57"/>
        <v>#N/A</v>
      </c>
      <c r="AJ228" s="46">
        <f t="shared" ref="AJ228:AJ291" si="63">AK227+1</f>
        <v>2212</v>
      </c>
      <c r="AK228" s="46">
        <f t="shared" ref="AK228:AK291" si="64">AJ228+$AG$2-1</f>
        <v>2221</v>
      </c>
      <c r="AL228" s="33">
        <f ca="1">IFERROR(AVERAGEIFS(data_brute!M:M,data_brute!J:J,"&lt;="&amp;AK228),NA())</f>
        <v>25.353524229074896</v>
      </c>
      <c r="AM228" s="46">
        <f t="shared" ref="AM228:AM291" ca="1" si="65">IF(AL228&lt;&gt;"",$AG$2*(ROW()-ROW($AH$6)),NA())</f>
        <v>2220</v>
      </c>
      <c r="AN228" s="46" t="b">
        <f t="shared" ref="AN228:AN291" si="66">IF(AND($F$5&gt;=AJ228,$F$5&lt;=AK228,AK228=$F$5),TRUE,FALSE)</f>
        <v>0</v>
      </c>
      <c r="AO228" s="50" t="b">
        <f t="shared" ref="AO228:AO291" si="67">IF(AND($F$5&gt;=AJ228,$F$5&lt;=AK228),TRUE,FALSE)</f>
        <v>0</v>
      </c>
    </row>
    <row r="229" spans="21:41" x14ac:dyDescent="0.2">
      <c r="U229" s="46">
        <f t="shared" si="58"/>
        <v>2222</v>
      </c>
      <c r="V229" s="46">
        <f t="shared" si="59"/>
        <v>2231</v>
      </c>
      <c r="W229" s="33" t="e">
        <f>IFERROR(AVERAGEIFS(data_brute!M:M,data_brute!J:J,"&lt;="&amp;V229,data_brute!J:J,"&gt;="&amp;U229),NA())</f>
        <v>#N/A</v>
      </c>
      <c r="X229" s="46" t="e">
        <f t="shared" si="60"/>
        <v>#N/A</v>
      </c>
      <c r="Y229" s="2" t="b">
        <f t="shared" si="61"/>
        <v>0</v>
      </c>
      <c r="Z229" s="2" t="b">
        <f t="shared" si="62"/>
        <v>0</v>
      </c>
      <c r="AE229" s="46">
        <f t="shared" si="55"/>
        <v>2222</v>
      </c>
      <c r="AF229" s="46">
        <f t="shared" si="56"/>
        <v>2231</v>
      </c>
      <c r="AG229" s="33" t="e">
        <f>IFERROR(AVERAGEIFS(data_brute!M:M,data_brute!J:J,"&gt;="&amp;AE229,data_brute!J:J,"&lt;="&amp;AF229),NA())</f>
        <v>#N/A</v>
      </c>
      <c r="AH229" s="46" t="e">
        <f t="shared" si="57"/>
        <v>#N/A</v>
      </c>
      <c r="AJ229" s="46">
        <f t="shared" si="63"/>
        <v>2222</v>
      </c>
      <c r="AK229" s="46">
        <f t="shared" si="64"/>
        <v>2231</v>
      </c>
      <c r="AL229" s="33">
        <f ca="1">IFERROR(AVERAGEIFS(data_brute!M:M,data_brute!J:J,"&lt;="&amp;AK229),NA())</f>
        <v>25.353524229074896</v>
      </c>
      <c r="AM229" s="46">
        <f t="shared" ca="1" si="65"/>
        <v>2230</v>
      </c>
      <c r="AN229" s="46" t="b">
        <f t="shared" si="66"/>
        <v>0</v>
      </c>
      <c r="AO229" s="50" t="b">
        <f t="shared" si="67"/>
        <v>0</v>
      </c>
    </row>
    <row r="230" spans="21:41" x14ac:dyDescent="0.2">
      <c r="U230" s="46">
        <f t="shared" si="58"/>
        <v>2232</v>
      </c>
      <c r="V230" s="46">
        <f t="shared" si="59"/>
        <v>2241</v>
      </c>
      <c r="W230" s="33" t="e">
        <f>IFERROR(AVERAGEIFS(data_brute!M:M,data_brute!J:J,"&lt;="&amp;V230,data_brute!J:J,"&gt;="&amp;U230),NA())</f>
        <v>#N/A</v>
      </c>
      <c r="X230" s="46" t="e">
        <f t="shared" si="60"/>
        <v>#N/A</v>
      </c>
      <c r="Y230" s="2" t="b">
        <f t="shared" si="61"/>
        <v>0</v>
      </c>
      <c r="Z230" s="2" t="b">
        <f t="shared" si="62"/>
        <v>0</v>
      </c>
      <c r="AE230" s="46">
        <f t="shared" si="55"/>
        <v>2232</v>
      </c>
      <c r="AF230" s="46">
        <f t="shared" si="56"/>
        <v>2241</v>
      </c>
      <c r="AG230" s="33" t="e">
        <f>IFERROR(AVERAGEIFS(data_brute!M:M,data_brute!J:J,"&gt;="&amp;AE230,data_brute!J:J,"&lt;="&amp;AF230),NA())</f>
        <v>#N/A</v>
      </c>
      <c r="AH230" s="46" t="e">
        <f t="shared" si="57"/>
        <v>#N/A</v>
      </c>
      <c r="AJ230" s="46">
        <f t="shared" si="63"/>
        <v>2232</v>
      </c>
      <c r="AK230" s="46">
        <f t="shared" si="64"/>
        <v>2241</v>
      </c>
      <c r="AL230" s="33">
        <f ca="1">IFERROR(AVERAGEIFS(data_brute!M:M,data_brute!J:J,"&lt;="&amp;AK230),NA())</f>
        <v>25.353524229074896</v>
      </c>
      <c r="AM230" s="46">
        <f t="shared" ca="1" si="65"/>
        <v>2240</v>
      </c>
      <c r="AN230" s="46" t="b">
        <f t="shared" si="66"/>
        <v>0</v>
      </c>
      <c r="AO230" s="50" t="b">
        <f t="shared" si="67"/>
        <v>0</v>
      </c>
    </row>
    <row r="231" spans="21:41" x14ac:dyDescent="0.2">
      <c r="U231" s="46">
        <f t="shared" si="58"/>
        <v>2242</v>
      </c>
      <c r="V231" s="46">
        <f t="shared" si="59"/>
        <v>2251</v>
      </c>
      <c r="W231" s="33" t="e">
        <f>IFERROR(AVERAGEIFS(data_brute!M:M,data_brute!J:J,"&lt;="&amp;V231,data_brute!J:J,"&gt;="&amp;U231),NA())</f>
        <v>#N/A</v>
      </c>
      <c r="X231" s="46" t="e">
        <f t="shared" si="60"/>
        <v>#N/A</v>
      </c>
      <c r="Y231" s="2" t="b">
        <f t="shared" si="61"/>
        <v>0</v>
      </c>
      <c r="Z231" s="2" t="b">
        <f t="shared" si="62"/>
        <v>0</v>
      </c>
      <c r="AE231" s="46">
        <f t="shared" si="55"/>
        <v>2242</v>
      </c>
      <c r="AF231" s="46">
        <f t="shared" si="56"/>
        <v>2251</v>
      </c>
      <c r="AG231" s="33" t="e">
        <f>IFERROR(AVERAGEIFS(data_brute!M:M,data_brute!J:J,"&gt;="&amp;AE231,data_brute!J:J,"&lt;="&amp;AF231),NA())</f>
        <v>#N/A</v>
      </c>
      <c r="AH231" s="46" t="e">
        <f t="shared" si="57"/>
        <v>#N/A</v>
      </c>
      <c r="AJ231" s="46">
        <f t="shared" si="63"/>
        <v>2242</v>
      </c>
      <c r="AK231" s="46">
        <f t="shared" si="64"/>
        <v>2251</v>
      </c>
      <c r="AL231" s="33">
        <f ca="1">IFERROR(AVERAGEIFS(data_brute!M:M,data_brute!J:J,"&lt;="&amp;AK231),NA())</f>
        <v>25.353524229074896</v>
      </c>
      <c r="AM231" s="46">
        <f t="shared" ca="1" si="65"/>
        <v>2250</v>
      </c>
      <c r="AN231" s="46" t="b">
        <f t="shared" si="66"/>
        <v>0</v>
      </c>
      <c r="AO231" s="50" t="b">
        <f t="shared" si="67"/>
        <v>0</v>
      </c>
    </row>
    <row r="232" spans="21:41" x14ac:dyDescent="0.2">
      <c r="U232" s="46">
        <f t="shared" si="58"/>
        <v>2252</v>
      </c>
      <c r="V232" s="46">
        <f t="shared" si="59"/>
        <v>2261</v>
      </c>
      <c r="W232" s="33" t="e">
        <f>IFERROR(AVERAGEIFS(data_brute!M:M,data_brute!J:J,"&lt;="&amp;V232,data_brute!J:J,"&gt;="&amp;U232),NA())</f>
        <v>#N/A</v>
      </c>
      <c r="X232" s="46" t="e">
        <f t="shared" si="60"/>
        <v>#N/A</v>
      </c>
      <c r="Y232" s="2" t="b">
        <f t="shared" si="61"/>
        <v>0</v>
      </c>
      <c r="Z232" s="2" t="b">
        <f t="shared" si="62"/>
        <v>0</v>
      </c>
      <c r="AE232" s="46">
        <f t="shared" si="55"/>
        <v>2252</v>
      </c>
      <c r="AF232" s="46">
        <f t="shared" si="56"/>
        <v>2261</v>
      </c>
      <c r="AG232" s="33" t="e">
        <f>IFERROR(AVERAGEIFS(data_brute!M:M,data_brute!J:J,"&gt;="&amp;AE232,data_brute!J:J,"&lt;="&amp;AF232),NA())</f>
        <v>#N/A</v>
      </c>
      <c r="AH232" s="46" t="e">
        <f t="shared" si="57"/>
        <v>#N/A</v>
      </c>
      <c r="AJ232" s="46">
        <f t="shared" si="63"/>
        <v>2252</v>
      </c>
      <c r="AK232" s="46">
        <f t="shared" si="64"/>
        <v>2261</v>
      </c>
      <c r="AL232" s="33">
        <f ca="1">IFERROR(AVERAGEIFS(data_brute!M:M,data_brute!J:J,"&lt;="&amp;AK232),NA())</f>
        <v>25.353524229074896</v>
      </c>
      <c r="AM232" s="46">
        <f t="shared" ca="1" si="65"/>
        <v>2260</v>
      </c>
      <c r="AN232" s="46" t="b">
        <f t="shared" si="66"/>
        <v>0</v>
      </c>
      <c r="AO232" s="50" t="b">
        <f t="shared" si="67"/>
        <v>0</v>
      </c>
    </row>
    <row r="233" spans="21:41" x14ac:dyDescent="0.2">
      <c r="U233" s="46">
        <f t="shared" si="58"/>
        <v>2262</v>
      </c>
      <c r="V233" s="46">
        <f t="shared" si="59"/>
        <v>2271</v>
      </c>
      <c r="W233" s="33" t="e">
        <f>IFERROR(AVERAGEIFS(data_brute!M:M,data_brute!J:J,"&lt;="&amp;V233,data_brute!J:J,"&gt;="&amp;U233),NA())</f>
        <v>#N/A</v>
      </c>
      <c r="X233" s="46" t="e">
        <f t="shared" si="60"/>
        <v>#N/A</v>
      </c>
      <c r="Y233" s="2" t="b">
        <f t="shared" si="61"/>
        <v>0</v>
      </c>
      <c r="Z233" s="2" t="b">
        <f t="shared" si="62"/>
        <v>0</v>
      </c>
      <c r="AE233" s="46">
        <f t="shared" si="55"/>
        <v>2262</v>
      </c>
      <c r="AF233" s="46">
        <f t="shared" si="56"/>
        <v>2271</v>
      </c>
      <c r="AG233" s="33" t="e">
        <f>IFERROR(AVERAGEIFS(data_brute!M:M,data_brute!J:J,"&gt;="&amp;AE233,data_brute!J:J,"&lt;="&amp;AF233),NA())</f>
        <v>#N/A</v>
      </c>
      <c r="AH233" s="46" t="e">
        <f t="shared" si="57"/>
        <v>#N/A</v>
      </c>
      <c r="AJ233" s="46">
        <f t="shared" si="63"/>
        <v>2262</v>
      </c>
      <c r="AK233" s="46">
        <f t="shared" si="64"/>
        <v>2271</v>
      </c>
      <c r="AL233" s="33">
        <f ca="1">IFERROR(AVERAGEIFS(data_brute!M:M,data_brute!J:J,"&lt;="&amp;AK233),NA())</f>
        <v>25.353524229074896</v>
      </c>
      <c r="AM233" s="46">
        <f t="shared" ca="1" si="65"/>
        <v>2270</v>
      </c>
      <c r="AN233" s="46" t="b">
        <f t="shared" si="66"/>
        <v>0</v>
      </c>
      <c r="AO233" s="50" t="b">
        <f t="shared" si="67"/>
        <v>0</v>
      </c>
    </row>
    <row r="234" spans="21:41" x14ac:dyDescent="0.2">
      <c r="U234" s="46">
        <f t="shared" si="58"/>
        <v>2272</v>
      </c>
      <c r="V234" s="46">
        <f t="shared" si="59"/>
        <v>2281</v>
      </c>
      <c r="W234" s="33" t="e">
        <f>IFERROR(AVERAGEIFS(data_brute!M:M,data_brute!J:J,"&lt;="&amp;V234,data_brute!J:J,"&gt;="&amp;U234),NA())</f>
        <v>#N/A</v>
      </c>
      <c r="X234" s="46" t="e">
        <f t="shared" si="60"/>
        <v>#N/A</v>
      </c>
      <c r="Y234" s="2" t="b">
        <f t="shared" si="61"/>
        <v>0</v>
      </c>
      <c r="Z234" s="2" t="b">
        <f t="shared" si="62"/>
        <v>0</v>
      </c>
      <c r="AE234" s="46">
        <f t="shared" si="55"/>
        <v>2272</v>
      </c>
      <c r="AF234" s="46">
        <f t="shared" si="56"/>
        <v>2281</v>
      </c>
      <c r="AG234" s="33" t="e">
        <f>IFERROR(AVERAGEIFS(data_brute!M:M,data_brute!J:J,"&gt;="&amp;AE234,data_brute!J:J,"&lt;="&amp;AF234),NA())</f>
        <v>#N/A</v>
      </c>
      <c r="AH234" s="46" t="e">
        <f t="shared" si="57"/>
        <v>#N/A</v>
      </c>
      <c r="AJ234" s="46">
        <f t="shared" si="63"/>
        <v>2272</v>
      </c>
      <c r="AK234" s="46">
        <f t="shared" si="64"/>
        <v>2281</v>
      </c>
      <c r="AL234" s="33">
        <f ca="1">IFERROR(AVERAGEIFS(data_brute!M:M,data_brute!J:J,"&lt;="&amp;AK234),NA())</f>
        <v>25.353524229074896</v>
      </c>
      <c r="AM234" s="46">
        <f t="shared" ca="1" si="65"/>
        <v>2280</v>
      </c>
      <c r="AN234" s="46" t="b">
        <f t="shared" si="66"/>
        <v>0</v>
      </c>
      <c r="AO234" s="50" t="b">
        <f t="shared" si="67"/>
        <v>0</v>
      </c>
    </row>
    <row r="235" spans="21:41" x14ac:dyDescent="0.2">
      <c r="U235" s="46">
        <f t="shared" si="58"/>
        <v>2282</v>
      </c>
      <c r="V235" s="46">
        <f t="shared" si="59"/>
        <v>2291</v>
      </c>
      <c r="W235" s="33" t="e">
        <f>IFERROR(AVERAGEIFS(data_brute!M:M,data_brute!J:J,"&lt;="&amp;V235,data_brute!J:J,"&gt;="&amp;U235),NA())</f>
        <v>#N/A</v>
      </c>
      <c r="X235" s="46" t="e">
        <f t="shared" si="60"/>
        <v>#N/A</v>
      </c>
      <c r="Y235" s="2" t="b">
        <f t="shared" si="61"/>
        <v>0</v>
      </c>
      <c r="Z235" s="2" t="b">
        <f t="shared" si="62"/>
        <v>0</v>
      </c>
      <c r="AE235" s="46">
        <f t="shared" si="55"/>
        <v>2282</v>
      </c>
      <c r="AF235" s="46">
        <f t="shared" si="56"/>
        <v>2291</v>
      </c>
      <c r="AG235" s="33" t="e">
        <f>IFERROR(AVERAGEIFS(data_brute!M:M,data_brute!J:J,"&gt;="&amp;AE235,data_brute!J:J,"&lt;="&amp;AF235),NA())</f>
        <v>#N/A</v>
      </c>
      <c r="AH235" s="46" t="e">
        <f t="shared" si="57"/>
        <v>#N/A</v>
      </c>
      <c r="AJ235" s="46">
        <f t="shared" si="63"/>
        <v>2282</v>
      </c>
      <c r="AK235" s="46">
        <f t="shared" si="64"/>
        <v>2291</v>
      </c>
      <c r="AL235" s="33">
        <f ca="1">IFERROR(AVERAGEIFS(data_brute!M:M,data_brute!J:J,"&lt;="&amp;AK235),NA())</f>
        <v>25.353524229074896</v>
      </c>
      <c r="AM235" s="46">
        <f t="shared" ca="1" si="65"/>
        <v>2290</v>
      </c>
      <c r="AN235" s="46" t="b">
        <f t="shared" si="66"/>
        <v>0</v>
      </c>
      <c r="AO235" s="50" t="b">
        <f t="shared" si="67"/>
        <v>0</v>
      </c>
    </row>
    <row r="236" spans="21:41" x14ac:dyDescent="0.2">
      <c r="U236" s="46">
        <f t="shared" si="58"/>
        <v>2292</v>
      </c>
      <c r="V236" s="46">
        <f t="shared" si="59"/>
        <v>2301</v>
      </c>
      <c r="W236" s="33" t="e">
        <f>IFERROR(AVERAGEIFS(data_brute!M:M,data_brute!J:J,"&lt;="&amp;V236,data_brute!J:J,"&gt;="&amp;U236),NA())</f>
        <v>#N/A</v>
      </c>
      <c r="X236" s="46" t="e">
        <f t="shared" si="60"/>
        <v>#N/A</v>
      </c>
      <c r="Y236" s="2" t="b">
        <f t="shared" si="61"/>
        <v>0</v>
      </c>
      <c r="Z236" s="2" t="b">
        <f t="shared" si="62"/>
        <v>0</v>
      </c>
      <c r="AE236" s="46">
        <f t="shared" si="55"/>
        <v>2292</v>
      </c>
      <c r="AF236" s="46">
        <f t="shared" si="56"/>
        <v>2301</v>
      </c>
      <c r="AG236" s="33" t="e">
        <f>IFERROR(AVERAGEIFS(data_brute!M:M,data_brute!J:J,"&gt;="&amp;AE236,data_brute!J:J,"&lt;="&amp;AF236),NA())</f>
        <v>#N/A</v>
      </c>
      <c r="AH236" s="46" t="e">
        <f t="shared" si="57"/>
        <v>#N/A</v>
      </c>
      <c r="AJ236" s="46">
        <f t="shared" si="63"/>
        <v>2292</v>
      </c>
      <c r="AK236" s="46">
        <f t="shared" si="64"/>
        <v>2301</v>
      </c>
      <c r="AL236" s="33">
        <f ca="1">IFERROR(AVERAGEIFS(data_brute!M:M,data_brute!J:J,"&lt;="&amp;AK236),NA())</f>
        <v>25.353524229074896</v>
      </c>
      <c r="AM236" s="46">
        <f t="shared" ca="1" si="65"/>
        <v>2300</v>
      </c>
      <c r="AN236" s="46" t="b">
        <f t="shared" si="66"/>
        <v>0</v>
      </c>
      <c r="AO236" s="50" t="b">
        <f t="shared" si="67"/>
        <v>0</v>
      </c>
    </row>
    <row r="237" spans="21:41" x14ac:dyDescent="0.2">
      <c r="U237" s="46">
        <f t="shared" si="58"/>
        <v>2302</v>
      </c>
      <c r="V237" s="46">
        <f t="shared" si="59"/>
        <v>2311</v>
      </c>
      <c r="W237" s="33" t="e">
        <f>IFERROR(AVERAGEIFS(data_brute!M:M,data_brute!J:J,"&lt;="&amp;V237,data_brute!J:J,"&gt;="&amp;U237),NA())</f>
        <v>#N/A</v>
      </c>
      <c r="X237" s="46" t="e">
        <f t="shared" si="60"/>
        <v>#N/A</v>
      </c>
      <c r="Y237" s="2" t="b">
        <f t="shared" si="61"/>
        <v>0</v>
      </c>
      <c r="Z237" s="2" t="b">
        <f t="shared" si="62"/>
        <v>0</v>
      </c>
      <c r="AE237" s="46">
        <f t="shared" si="55"/>
        <v>2302</v>
      </c>
      <c r="AF237" s="46">
        <f t="shared" si="56"/>
        <v>2311</v>
      </c>
      <c r="AG237" s="33" t="e">
        <f>IFERROR(AVERAGEIFS(data_brute!M:M,data_brute!J:J,"&gt;="&amp;AE237,data_brute!J:J,"&lt;="&amp;AF237),NA())</f>
        <v>#N/A</v>
      </c>
      <c r="AH237" s="46" t="e">
        <f t="shared" si="57"/>
        <v>#N/A</v>
      </c>
      <c r="AJ237" s="46">
        <f t="shared" si="63"/>
        <v>2302</v>
      </c>
      <c r="AK237" s="46">
        <f t="shared" si="64"/>
        <v>2311</v>
      </c>
      <c r="AL237" s="33">
        <f ca="1">IFERROR(AVERAGEIFS(data_brute!M:M,data_brute!J:J,"&lt;="&amp;AK237),NA())</f>
        <v>25.353524229074896</v>
      </c>
      <c r="AM237" s="46">
        <f t="shared" ca="1" si="65"/>
        <v>2310</v>
      </c>
      <c r="AN237" s="46" t="b">
        <f t="shared" si="66"/>
        <v>0</v>
      </c>
      <c r="AO237" s="50" t="b">
        <f t="shared" si="67"/>
        <v>0</v>
      </c>
    </row>
    <row r="238" spans="21:41" x14ac:dyDescent="0.2">
      <c r="U238" s="46">
        <f t="shared" si="58"/>
        <v>2312</v>
      </c>
      <c r="V238" s="46">
        <f t="shared" si="59"/>
        <v>2321</v>
      </c>
      <c r="W238" s="33" t="e">
        <f>IFERROR(AVERAGEIFS(data_brute!M:M,data_brute!J:J,"&lt;="&amp;V238,data_brute!J:J,"&gt;="&amp;U238),NA())</f>
        <v>#N/A</v>
      </c>
      <c r="X238" s="46" t="e">
        <f t="shared" si="60"/>
        <v>#N/A</v>
      </c>
      <c r="Y238" s="2" t="b">
        <f t="shared" si="61"/>
        <v>0</v>
      </c>
      <c r="Z238" s="2" t="b">
        <f t="shared" si="62"/>
        <v>0</v>
      </c>
      <c r="AE238" s="46">
        <f t="shared" si="55"/>
        <v>2312</v>
      </c>
      <c r="AF238" s="46">
        <f t="shared" si="56"/>
        <v>2321</v>
      </c>
      <c r="AG238" s="33" t="e">
        <f>IFERROR(AVERAGEIFS(data_brute!M:M,data_brute!J:J,"&gt;="&amp;AE238,data_brute!J:J,"&lt;="&amp;AF238),NA())</f>
        <v>#N/A</v>
      </c>
      <c r="AH238" s="46" t="e">
        <f t="shared" si="57"/>
        <v>#N/A</v>
      </c>
      <c r="AJ238" s="46">
        <f t="shared" si="63"/>
        <v>2312</v>
      </c>
      <c r="AK238" s="46">
        <f t="shared" si="64"/>
        <v>2321</v>
      </c>
      <c r="AL238" s="33">
        <f ca="1">IFERROR(AVERAGEIFS(data_brute!M:M,data_brute!J:J,"&lt;="&amp;AK238),NA())</f>
        <v>25.353524229074896</v>
      </c>
      <c r="AM238" s="46">
        <f t="shared" ca="1" si="65"/>
        <v>2320</v>
      </c>
      <c r="AN238" s="46" t="b">
        <f t="shared" si="66"/>
        <v>0</v>
      </c>
      <c r="AO238" s="50" t="b">
        <f t="shared" si="67"/>
        <v>0</v>
      </c>
    </row>
    <row r="239" spans="21:41" x14ac:dyDescent="0.2">
      <c r="U239" s="46">
        <f t="shared" si="58"/>
        <v>2322</v>
      </c>
      <c r="V239" s="46">
        <f t="shared" si="59"/>
        <v>2331</v>
      </c>
      <c r="W239" s="33" t="e">
        <f>IFERROR(AVERAGEIFS(data_brute!M:M,data_brute!J:J,"&lt;="&amp;V239,data_brute!J:J,"&gt;="&amp;U239),NA())</f>
        <v>#N/A</v>
      </c>
      <c r="X239" s="46" t="e">
        <f t="shared" si="60"/>
        <v>#N/A</v>
      </c>
      <c r="Y239" s="2" t="b">
        <f t="shared" si="61"/>
        <v>0</v>
      </c>
      <c r="Z239" s="2" t="b">
        <f t="shared" si="62"/>
        <v>0</v>
      </c>
      <c r="AE239" s="46">
        <f t="shared" si="55"/>
        <v>2322</v>
      </c>
      <c r="AF239" s="46">
        <f t="shared" si="56"/>
        <v>2331</v>
      </c>
      <c r="AG239" s="33" t="e">
        <f>IFERROR(AVERAGEIFS(data_brute!M:M,data_brute!J:J,"&gt;="&amp;AE239,data_brute!J:J,"&lt;="&amp;AF239),NA())</f>
        <v>#N/A</v>
      </c>
      <c r="AH239" s="46" t="e">
        <f t="shared" si="57"/>
        <v>#N/A</v>
      </c>
      <c r="AJ239" s="46">
        <f t="shared" si="63"/>
        <v>2322</v>
      </c>
      <c r="AK239" s="46">
        <f t="shared" si="64"/>
        <v>2331</v>
      </c>
      <c r="AL239" s="33">
        <f ca="1">IFERROR(AVERAGEIFS(data_brute!M:M,data_brute!J:J,"&lt;="&amp;AK239),NA())</f>
        <v>25.353524229074896</v>
      </c>
      <c r="AM239" s="46">
        <f t="shared" ca="1" si="65"/>
        <v>2330</v>
      </c>
      <c r="AN239" s="46" t="b">
        <f t="shared" si="66"/>
        <v>0</v>
      </c>
      <c r="AO239" s="50" t="b">
        <f t="shared" si="67"/>
        <v>0</v>
      </c>
    </row>
    <row r="240" spans="21:41" x14ac:dyDescent="0.2">
      <c r="U240" s="46">
        <f t="shared" si="58"/>
        <v>2332</v>
      </c>
      <c r="V240" s="46">
        <f t="shared" si="59"/>
        <v>2341</v>
      </c>
      <c r="W240" s="33" t="e">
        <f>IFERROR(AVERAGEIFS(data_brute!M:M,data_brute!J:J,"&lt;="&amp;V240,data_brute!J:J,"&gt;="&amp;U240),NA())</f>
        <v>#N/A</v>
      </c>
      <c r="X240" s="46" t="e">
        <f t="shared" si="60"/>
        <v>#N/A</v>
      </c>
      <c r="Y240" s="2" t="b">
        <f t="shared" si="61"/>
        <v>0</v>
      </c>
      <c r="Z240" s="2" t="b">
        <f t="shared" si="62"/>
        <v>0</v>
      </c>
      <c r="AE240" s="46">
        <f t="shared" si="55"/>
        <v>2332</v>
      </c>
      <c r="AF240" s="46">
        <f t="shared" si="56"/>
        <v>2341</v>
      </c>
      <c r="AG240" s="33" t="e">
        <f>IFERROR(AVERAGEIFS(data_brute!M:M,data_brute!J:J,"&gt;="&amp;AE240,data_brute!J:J,"&lt;="&amp;AF240),NA())</f>
        <v>#N/A</v>
      </c>
      <c r="AH240" s="46" t="e">
        <f t="shared" si="57"/>
        <v>#N/A</v>
      </c>
      <c r="AJ240" s="46">
        <f t="shared" si="63"/>
        <v>2332</v>
      </c>
      <c r="AK240" s="46">
        <f t="shared" si="64"/>
        <v>2341</v>
      </c>
      <c r="AL240" s="33">
        <f ca="1">IFERROR(AVERAGEIFS(data_brute!M:M,data_brute!J:J,"&lt;="&amp;AK240),NA())</f>
        <v>25.353524229074896</v>
      </c>
      <c r="AM240" s="46">
        <f t="shared" ca="1" si="65"/>
        <v>2340</v>
      </c>
      <c r="AN240" s="46" t="b">
        <f t="shared" si="66"/>
        <v>0</v>
      </c>
      <c r="AO240" s="50" t="b">
        <f t="shared" si="67"/>
        <v>0</v>
      </c>
    </row>
    <row r="241" spans="21:41" x14ac:dyDescent="0.2">
      <c r="U241" s="46">
        <f t="shared" si="58"/>
        <v>2342</v>
      </c>
      <c r="V241" s="46">
        <f t="shared" si="59"/>
        <v>2351</v>
      </c>
      <c r="W241" s="33" t="e">
        <f>IFERROR(AVERAGEIFS(data_brute!M:M,data_brute!J:J,"&lt;="&amp;V241,data_brute!J:J,"&gt;="&amp;U241),NA())</f>
        <v>#N/A</v>
      </c>
      <c r="X241" s="46" t="e">
        <f t="shared" si="60"/>
        <v>#N/A</v>
      </c>
      <c r="Y241" s="2" t="b">
        <f t="shared" si="61"/>
        <v>0</v>
      </c>
      <c r="Z241" s="2" t="b">
        <f t="shared" si="62"/>
        <v>0</v>
      </c>
      <c r="AE241" s="46">
        <f t="shared" si="55"/>
        <v>2342</v>
      </c>
      <c r="AF241" s="46">
        <f t="shared" si="56"/>
        <v>2351</v>
      </c>
      <c r="AG241" s="33" t="e">
        <f>IFERROR(AVERAGEIFS(data_brute!M:M,data_brute!J:J,"&gt;="&amp;AE241,data_brute!J:J,"&lt;="&amp;AF241),NA())</f>
        <v>#N/A</v>
      </c>
      <c r="AH241" s="46" t="e">
        <f t="shared" si="57"/>
        <v>#N/A</v>
      </c>
      <c r="AJ241" s="46">
        <f t="shared" si="63"/>
        <v>2342</v>
      </c>
      <c r="AK241" s="46">
        <f t="shared" si="64"/>
        <v>2351</v>
      </c>
      <c r="AL241" s="33">
        <f ca="1">IFERROR(AVERAGEIFS(data_brute!M:M,data_brute!J:J,"&lt;="&amp;AK241),NA())</f>
        <v>25.353524229074896</v>
      </c>
      <c r="AM241" s="46">
        <f t="shared" ca="1" si="65"/>
        <v>2350</v>
      </c>
      <c r="AN241" s="46" t="b">
        <f t="shared" si="66"/>
        <v>0</v>
      </c>
      <c r="AO241" s="50" t="b">
        <f t="shared" si="67"/>
        <v>0</v>
      </c>
    </row>
    <row r="242" spans="21:41" x14ac:dyDescent="0.2">
      <c r="U242" s="46">
        <f t="shared" si="58"/>
        <v>2352</v>
      </c>
      <c r="V242" s="46">
        <f t="shared" si="59"/>
        <v>2361</v>
      </c>
      <c r="W242" s="33" t="e">
        <f>IFERROR(AVERAGEIFS(data_brute!M:M,data_brute!J:J,"&lt;="&amp;V242,data_brute!J:J,"&gt;="&amp;U242),NA())</f>
        <v>#N/A</v>
      </c>
      <c r="X242" s="46" t="e">
        <f t="shared" si="60"/>
        <v>#N/A</v>
      </c>
      <c r="Y242" s="2" t="b">
        <f t="shared" si="61"/>
        <v>0</v>
      </c>
      <c r="Z242" s="2" t="b">
        <f t="shared" si="62"/>
        <v>0</v>
      </c>
      <c r="AE242" s="46">
        <f t="shared" si="55"/>
        <v>2352</v>
      </c>
      <c r="AF242" s="46">
        <f t="shared" si="56"/>
        <v>2361</v>
      </c>
      <c r="AG242" s="33" t="e">
        <f>IFERROR(AVERAGEIFS(data_brute!M:M,data_brute!J:J,"&gt;="&amp;AE242,data_brute!J:J,"&lt;="&amp;AF242),NA())</f>
        <v>#N/A</v>
      </c>
      <c r="AH242" s="46" t="e">
        <f t="shared" si="57"/>
        <v>#N/A</v>
      </c>
      <c r="AJ242" s="46">
        <f t="shared" si="63"/>
        <v>2352</v>
      </c>
      <c r="AK242" s="46">
        <f t="shared" si="64"/>
        <v>2361</v>
      </c>
      <c r="AL242" s="33">
        <f ca="1">IFERROR(AVERAGEIFS(data_brute!M:M,data_brute!J:J,"&lt;="&amp;AK242),NA())</f>
        <v>25.353524229074896</v>
      </c>
      <c r="AM242" s="46">
        <f t="shared" ca="1" si="65"/>
        <v>2360</v>
      </c>
      <c r="AN242" s="46" t="b">
        <f t="shared" si="66"/>
        <v>0</v>
      </c>
      <c r="AO242" s="50" t="b">
        <f t="shared" si="67"/>
        <v>0</v>
      </c>
    </row>
    <row r="243" spans="21:41" x14ac:dyDescent="0.2">
      <c r="U243" s="46">
        <f t="shared" si="58"/>
        <v>2362</v>
      </c>
      <c r="V243" s="46">
        <f t="shared" si="59"/>
        <v>2371</v>
      </c>
      <c r="W243" s="33" t="e">
        <f>IFERROR(AVERAGEIFS(data_brute!M:M,data_brute!J:J,"&lt;="&amp;V243,data_brute!J:J,"&gt;="&amp;U243),NA())</f>
        <v>#N/A</v>
      </c>
      <c r="X243" s="46" t="e">
        <f t="shared" si="60"/>
        <v>#N/A</v>
      </c>
      <c r="Y243" s="2" t="b">
        <f t="shared" si="61"/>
        <v>0</v>
      </c>
      <c r="Z243" s="2" t="b">
        <f t="shared" si="62"/>
        <v>0</v>
      </c>
      <c r="AE243" s="46">
        <f t="shared" si="55"/>
        <v>2362</v>
      </c>
      <c r="AF243" s="46">
        <f t="shared" si="56"/>
        <v>2371</v>
      </c>
      <c r="AG243" s="33" t="e">
        <f>IFERROR(AVERAGEIFS(data_brute!M:M,data_brute!J:J,"&gt;="&amp;AE243,data_brute!J:J,"&lt;="&amp;AF243),NA())</f>
        <v>#N/A</v>
      </c>
      <c r="AH243" s="46" t="e">
        <f t="shared" si="57"/>
        <v>#N/A</v>
      </c>
      <c r="AJ243" s="46">
        <f t="shared" si="63"/>
        <v>2362</v>
      </c>
      <c r="AK243" s="46">
        <f t="shared" si="64"/>
        <v>2371</v>
      </c>
      <c r="AL243" s="33">
        <f ca="1">IFERROR(AVERAGEIFS(data_brute!M:M,data_brute!J:J,"&lt;="&amp;AK243),NA())</f>
        <v>25.353524229074896</v>
      </c>
      <c r="AM243" s="46">
        <f t="shared" ca="1" si="65"/>
        <v>2370</v>
      </c>
      <c r="AN243" s="46" t="b">
        <f t="shared" si="66"/>
        <v>0</v>
      </c>
      <c r="AO243" s="50" t="b">
        <f t="shared" si="67"/>
        <v>0</v>
      </c>
    </row>
    <row r="244" spans="21:41" x14ac:dyDescent="0.2">
      <c r="U244" s="46">
        <f t="shared" si="58"/>
        <v>2372</v>
      </c>
      <c r="V244" s="46">
        <f t="shared" si="59"/>
        <v>2381</v>
      </c>
      <c r="W244" s="33" t="e">
        <f>IFERROR(AVERAGEIFS(data_brute!M:M,data_brute!J:J,"&lt;="&amp;V244,data_brute!J:J,"&gt;="&amp;U244),NA())</f>
        <v>#N/A</v>
      </c>
      <c r="X244" s="46" t="e">
        <f t="shared" si="60"/>
        <v>#N/A</v>
      </c>
      <c r="Y244" s="2" t="b">
        <f t="shared" si="61"/>
        <v>0</v>
      </c>
      <c r="Z244" s="2" t="b">
        <f t="shared" si="62"/>
        <v>0</v>
      </c>
      <c r="AE244" s="46">
        <f t="shared" si="55"/>
        <v>2372</v>
      </c>
      <c r="AF244" s="46">
        <f t="shared" si="56"/>
        <v>2381</v>
      </c>
      <c r="AG244" s="33" t="e">
        <f>IFERROR(AVERAGEIFS(data_brute!M:M,data_brute!J:J,"&gt;="&amp;AE244,data_brute!J:J,"&lt;="&amp;AF244),NA())</f>
        <v>#N/A</v>
      </c>
      <c r="AH244" s="46" t="e">
        <f t="shared" si="57"/>
        <v>#N/A</v>
      </c>
      <c r="AJ244" s="46">
        <f t="shared" si="63"/>
        <v>2372</v>
      </c>
      <c r="AK244" s="46">
        <f t="shared" si="64"/>
        <v>2381</v>
      </c>
      <c r="AL244" s="33">
        <f ca="1">IFERROR(AVERAGEIFS(data_brute!M:M,data_brute!J:J,"&lt;="&amp;AK244),NA())</f>
        <v>25.353524229074896</v>
      </c>
      <c r="AM244" s="46">
        <f t="shared" ca="1" si="65"/>
        <v>2380</v>
      </c>
      <c r="AN244" s="46" t="b">
        <f t="shared" si="66"/>
        <v>0</v>
      </c>
      <c r="AO244" s="50" t="b">
        <f t="shared" si="67"/>
        <v>0</v>
      </c>
    </row>
    <row r="245" spans="21:41" x14ac:dyDescent="0.2">
      <c r="U245" s="46">
        <f t="shared" si="58"/>
        <v>2382</v>
      </c>
      <c r="V245" s="46">
        <f t="shared" si="59"/>
        <v>2391</v>
      </c>
      <c r="W245" s="33" t="e">
        <f>IFERROR(AVERAGEIFS(data_brute!M:M,data_brute!J:J,"&lt;="&amp;V245,data_brute!J:J,"&gt;="&amp;U245),NA())</f>
        <v>#N/A</v>
      </c>
      <c r="X245" s="46" t="e">
        <f t="shared" si="60"/>
        <v>#N/A</v>
      </c>
      <c r="Y245" s="2" t="b">
        <f t="shared" si="61"/>
        <v>0</v>
      </c>
      <c r="Z245" s="2" t="b">
        <f t="shared" si="62"/>
        <v>0</v>
      </c>
      <c r="AE245" s="46">
        <f t="shared" si="55"/>
        <v>2382</v>
      </c>
      <c r="AF245" s="46">
        <f t="shared" si="56"/>
        <v>2391</v>
      </c>
      <c r="AG245" s="33" t="e">
        <f>IFERROR(AVERAGEIFS(data_brute!M:M,data_brute!J:J,"&gt;="&amp;AE245,data_brute!J:J,"&lt;="&amp;AF245),NA())</f>
        <v>#N/A</v>
      </c>
      <c r="AH245" s="46" t="e">
        <f t="shared" si="57"/>
        <v>#N/A</v>
      </c>
      <c r="AJ245" s="46">
        <f t="shared" si="63"/>
        <v>2382</v>
      </c>
      <c r="AK245" s="46">
        <f t="shared" si="64"/>
        <v>2391</v>
      </c>
      <c r="AL245" s="33">
        <f ca="1">IFERROR(AVERAGEIFS(data_brute!M:M,data_brute!J:J,"&lt;="&amp;AK245),NA())</f>
        <v>25.353524229074896</v>
      </c>
      <c r="AM245" s="46">
        <f t="shared" ca="1" si="65"/>
        <v>2390</v>
      </c>
      <c r="AN245" s="46" t="b">
        <f t="shared" si="66"/>
        <v>0</v>
      </c>
      <c r="AO245" s="50" t="b">
        <f t="shared" si="67"/>
        <v>0</v>
      </c>
    </row>
    <row r="246" spans="21:41" x14ac:dyDescent="0.2">
      <c r="U246" s="46">
        <f t="shared" si="58"/>
        <v>2392</v>
      </c>
      <c r="V246" s="46">
        <f t="shared" si="59"/>
        <v>2401</v>
      </c>
      <c r="W246" s="33" t="e">
        <f>IFERROR(AVERAGEIFS(data_brute!M:M,data_brute!J:J,"&lt;="&amp;V246,data_brute!J:J,"&gt;="&amp;U246),NA())</f>
        <v>#N/A</v>
      </c>
      <c r="X246" s="46" t="e">
        <f t="shared" si="60"/>
        <v>#N/A</v>
      </c>
      <c r="Y246" s="2" t="b">
        <f t="shared" si="61"/>
        <v>0</v>
      </c>
      <c r="Z246" s="2" t="b">
        <f t="shared" si="62"/>
        <v>0</v>
      </c>
      <c r="AE246" s="46">
        <f t="shared" si="55"/>
        <v>2392</v>
      </c>
      <c r="AF246" s="46">
        <f t="shared" si="56"/>
        <v>2401</v>
      </c>
      <c r="AG246" s="33" t="e">
        <f>IFERROR(AVERAGEIFS(data_brute!M:M,data_brute!J:J,"&gt;="&amp;AE246,data_brute!J:J,"&lt;="&amp;AF246),NA())</f>
        <v>#N/A</v>
      </c>
      <c r="AH246" s="46" t="e">
        <f t="shared" si="57"/>
        <v>#N/A</v>
      </c>
      <c r="AJ246" s="46">
        <f t="shared" si="63"/>
        <v>2392</v>
      </c>
      <c r="AK246" s="46">
        <f t="shared" si="64"/>
        <v>2401</v>
      </c>
      <c r="AL246" s="33">
        <f ca="1">IFERROR(AVERAGEIFS(data_brute!M:M,data_brute!J:J,"&lt;="&amp;AK246),NA())</f>
        <v>25.353524229074896</v>
      </c>
      <c r="AM246" s="46">
        <f t="shared" ca="1" si="65"/>
        <v>2400</v>
      </c>
      <c r="AN246" s="46" t="b">
        <f t="shared" si="66"/>
        <v>0</v>
      </c>
      <c r="AO246" s="50" t="b">
        <f t="shared" si="67"/>
        <v>0</v>
      </c>
    </row>
    <row r="247" spans="21:41" x14ac:dyDescent="0.2">
      <c r="U247" s="46">
        <f t="shared" si="58"/>
        <v>2402</v>
      </c>
      <c r="V247" s="46">
        <f t="shared" si="59"/>
        <v>2411</v>
      </c>
      <c r="W247" s="33" t="e">
        <f>IFERROR(AVERAGEIFS(data_brute!M:M,data_brute!J:J,"&lt;="&amp;V247,data_brute!J:J,"&gt;="&amp;U247),NA())</f>
        <v>#N/A</v>
      </c>
      <c r="X247" s="46" t="e">
        <f t="shared" si="60"/>
        <v>#N/A</v>
      </c>
      <c r="Y247" s="2" t="b">
        <f t="shared" si="61"/>
        <v>0</v>
      </c>
      <c r="Z247" s="2" t="b">
        <f t="shared" si="62"/>
        <v>0</v>
      </c>
      <c r="AE247" s="46">
        <f t="shared" si="55"/>
        <v>2402</v>
      </c>
      <c r="AF247" s="46">
        <f t="shared" si="56"/>
        <v>2411</v>
      </c>
      <c r="AG247" s="33" t="e">
        <f>IFERROR(AVERAGEIFS(data_brute!M:M,data_brute!J:J,"&gt;="&amp;AE247,data_brute!J:J,"&lt;="&amp;AF247),NA())</f>
        <v>#N/A</v>
      </c>
      <c r="AH247" s="46" t="e">
        <f t="shared" si="57"/>
        <v>#N/A</v>
      </c>
      <c r="AJ247" s="46">
        <f t="shared" si="63"/>
        <v>2402</v>
      </c>
      <c r="AK247" s="46">
        <f t="shared" si="64"/>
        <v>2411</v>
      </c>
      <c r="AL247" s="33">
        <f ca="1">IFERROR(AVERAGEIFS(data_brute!M:M,data_brute!J:J,"&lt;="&amp;AK247),NA())</f>
        <v>25.353524229074896</v>
      </c>
      <c r="AM247" s="46">
        <f t="shared" ca="1" si="65"/>
        <v>2410</v>
      </c>
      <c r="AN247" s="46" t="b">
        <f t="shared" si="66"/>
        <v>0</v>
      </c>
      <c r="AO247" s="50" t="b">
        <f t="shared" si="67"/>
        <v>0</v>
      </c>
    </row>
    <row r="248" spans="21:41" x14ac:dyDescent="0.2">
      <c r="U248" s="46">
        <f t="shared" si="58"/>
        <v>2412</v>
      </c>
      <c r="V248" s="46">
        <f t="shared" si="59"/>
        <v>2421</v>
      </c>
      <c r="W248" s="33" t="e">
        <f>IFERROR(AVERAGEIFS(data_brute!M:M,data_brute!J:J,"&lt;="&amp;V248,data_brute!J:J,"&gt;="&amp;U248),NA())</f>
        <v>#N/A</v>
      </c>
      <c r="X248" s="46" t="e">
        <f t="shared" si="60"/>
        <v>#N/A</v>
      </c>
      <c r="Y248" s="2" t="b">
        <f t="shared" si="61"/>
        <v>0</v>
      </c>
      <c r="Z248" s="2" t="b">
        <f t="shared" si="62"/>
        <v>0</v>
      </c>
      <c r="AE248" s="46">
        <f t="shared" si="55"/>
        <v>2412</v>
      </c>
      <c r="AF248" s="46">
        <f t="shared" si="56"/>
        <v>2421</v>
      </c>
      <c r="AG248" s="33" t="e">
        <f>IFERROR(AVERAGEIFS(data_brute!M:M,data_brute!J:J,"&gt;="&amp;AE248,data_brute!J:J,"&lt;="&amp;AF248),NA())</f>
        <v>#N/A</v>
      </c>
      <c r="AH248" s="46" t="e">
        <f t="shared" si="57"/>
        <v>#N/A</v>
      </c>
      <c r="AJ248" s="46">
        <f t="shared" si="63"/>
        <v>2412</v>
      </c>
      <c r="AK248" s="46">
        <f t="shared" si="64"/>
        <v>2421</v>
      </c>
      <c r="AL248" s="33">
        <f ca="1">IFERROR(AVERAGEIFS(data_brute!M:M,data_brute!J:J,"&lt;="&amp;AK248),NA())</f>
        <v>25.353524229074896</v>
      </c>
      <c r="AM248" s="46">
        <f t="shared" ca="1" si="65"/>
        <v>2420</v>
      </c>
      <c r="AN248" s="46" t="b">
        <f t="shared" si="66"/>
        <v>0</v>
      </c>
      <c r="AO248" s="50" t="b">
        <f t="shared" si="67"/>
        <v>0</v>
      </c>
    </row>
    <row r="249" spans="21:41" x14ac:dyDescent="0.2">
      <c r="U249" s="46">
        <f t="shared" si="58"/>
        <v>2422</v>
      </c>
      <c r="V249" s="46">
        <f t="shared" si="59"/>
        <v>2431</v>
      </c>
      <c r="W249" s="33" t="e">
        <f>IFERROR(AVERAGEIFS(data_brute!M:M,data_brute!J:J,"&lt;="&amp;V249,data_brute!J:J,"&gt;="&amp;U249),NA())</f>
        <v>#N/A</v>
      </c>
      <c r="X249" s="46" t="e">
        <f t="shared" si="60"/>
        <v>#N/A</v>
      </c>
      <c r="Y249" s="2" t="b">
        <f t="shared" si="61"/>
        <v>0</v>
      </c>
      <c r="Z249" s="2" t="b">
        <f t="shared" si="62"/>
        <v>0</v>
      </c>
      <c r="AE249" s="46">
        <f t="shared" si="55"/>
        <v>2422</v>
      </c>
      <c r="AF249" s="46">
        <f t="shared" si="56"/>
        <v>2431</v>
      </c>
      <c r="AG249" s="33" t="e">
        <f>IFERROR(AVERAGEIFS(data_brute!M:M,data_brute!J:J,"&gt;="&amp;AE249,data_brute!J:J,"&lt;="&amp;AF249),NA())</f>
        <v>#N/A</v>
      </c>
      <c r="AH249" s="46" t="e">
        <f t="shared" si="57"/>
        <v>#N/A</v>
      </c>
      <c r="AJ249" s="46">
        <f t="shared" si="63"/>
        <v>2422</v>
      </c>
      <c r="AK249" s="46">
        <f t="shared" si="64"/>
        <v>2431</v>
      </c>
      <c r="AL249" s="33">
        <f ca="1">IFERROR(AVERAGEIFS(data_brute!M:M,data_brute!J:J,"&lt;="&amp;AK249),NA())</f>
        <v>25.353524229074896</v>
      </c>
      <c r="AM249" s="46">
        <f t="shared" ca="1" si="65"/>
        <v>2430</v>
      </c>
      <c r="AN249" s="46" t="b">
        <f t="shared" si="66"/>
        <v>0</v>
      </c>
      <c r="AO249" s="50" t="b">
        <f t="shared" si="67"/>
        <v>0</v>
      </c>
    </row>
    <row r="250" spans="21:41" x14ac:dyDescent="0.2">
      <c r="U250" s="46">
        <f t="shared" si="58"/>
        <v>2432</v>
      </c>
      <c r="V250" s="46">
        <f t="shared" si="59"/>
        <v>2441</v>
      </c>
      <c r="W250" s="33" t="e">
        <f>IFERROR(AVERAGEIFS(data_brute!M:M,data_brute!J:J,"&lt;="&amp;V250,data_brute!J:J,"&gt;="&amp;U250),NA())</f>
        <v>#N/A</v>
      </c>
      <c r="X250" s="46" t="e">
        <f t="shared" si="60"/>
        <v>#N/A</v>
      </c>
      <c r="Y250" s="2" t="b">
        <f t="shared" si="61"/>
        <v>0</v>
      </c>
      <c r="Z250" s="2" t="b">
        <f t="shared" si="62"/>
        <v>0</v>
      </c>
      <c r="AE250" s="46">
        <f t="shared" si="55"/>
        <v>2432</v>
      </c>
      <c r="AF250" s="46">
        <f t="shared" si="56"/>
        <v>2441</v>
      </c>
      <c r="AG250" s="33" t="e">
        <f>IFERROR(AVERAGEIFS(data_brute!M:M,data_brute!J:J,"&gt;="&amp;AE250,data_brute!J:J,"&lt;="&amp;AF250),NA())</f>
        <v>#N/A</v>
      </c>
      <c r="AH250" s="46" t="e">
        <f t="shared" si="57"/>
        <v>#N/A</v>
      </c>
      <c r="AJ250" s="46">
        <f t="shared" si="63"/>
        <v>2432</v>
      </c>
      <c r="AK250" s="46">
        <f t="shared" si="64"/>
        <v>2441</v>
      </c>
      <c r="AL250" s="33">
        <f ca="1">IFERROR(AVERAGEIFS(data_brute!M:M,data_brute!J:J,"&lt;="&amp;AK250),NA())</f>
        <v>25.353524229074896</v>
      </c>
      <c r="AM250" s="46">
        <f t="shared" ca="1" si="65"/>
        <v>2440</v>
      </c>
      <c r="AN250" s="46" t="b">
        <f t="shared" si="66"/>
        <v>0</v>
      </c>
      <c r="AO250" s="50" t="b">
        <f t="shared" si="67"/>
        <v>0</v>
      </c>
    </row>
    <row r="251" spans="21:41" x14ac:dyDescent="0.2">
      <c r="U251" s="46">
        <f t="shared" si="58"/>
        <v>2442</v>
      </c>
      <c r="V251" s="46">
        <f t="shared" si="59"/>
        <v>2451</v>
      </c>
      <c r="W251" s="33" t="e">
        <f>IFERROR(AVERAGEIFS(data_brute!M:M,data_brute!J:J,"&lt;="&amp;V251,data_brute!J:J,"&gt;="&amp;U251),NA())</f>
        <v>#N/A</v>
      </c>
      <c r="X251" s="46" t="e">
        <f t="shared" si="60"/>
        <v>#N/A</v>
      </c>
      <c r="Y251" s="2" t="b">
        <f t="shared" si="61"/>
        <v>0</v>
      </c>
      <c r="Z251" s="2" t="b">
        <f t="shared" si="62"/>
        <v>0</v>
      </c>
      <c r="AE251" s="46">
        <f t="shared" si="55"/>
        <v>2442</v>
      </c>
      <c r="AF251" s="46">
        <f t="shared" si="56"/>
        <v>2451</v>
      </c>
      <c r="AG251" s="33" t="e">
        <f>IFERROR(AVERAGEIFS(data_brute!M:M,data_brute!J:J,"&gt;="&amp;AE251,data_brute!J:J,"&lt;="&amp;AF251),NA())</f>
        <v>#N/A</v>
      </c>
      <c r="AH251" s="46" t="e">
        <f t="shared" si="57"/>
        <v>#N/A</v>
      </c>
      <c r="AJ251" s="46">
        <f t="shared" si="63"/>
        <v>2442</v>
      </c>
      <c r="AK251" s="46">
        <f t="shared" si="64"/>
        <v>2451</v>
      </c>
      <c r="AL251" s="33">
        <f ca="1">IFERROR(AVERAGEIFS(data_brute!M:M,data_brute!J:J,"&lt;="&amp;AK251),NA())</f>
        <v>25.353524229074896</v>
      </c>
      <c r="AM251" s="46">
        <f t="shared" ca="1" si="65"/>
        <v>2450</v>
      </c>
      <c r="AN251" s="46" t="b">
        <f t="shared" si="66"/>
        <v>0</v>
      </c>
      <c r="AO251" s="50" t="b">
        <f t="shared" si="67"/>
        <v>0</v>
      </c>
    </row>
    <row r="252" spans="21:41" x14ac:dyDescent="0.2">
      <c r="U252" s="46">
        <f t="shared" si="58"/>
        <v>2452</v>
      </c>
      <c r="V252" s="46">
        <f t="shared" si="59"/>
        <v>2461</v>
      </c>
      <c r="W252" s="33" t="e">
        <f>IFERROR(AVERAGEIFS(data_brute!M:M,data_brute!J:J,"&lt;="&amp;V252,data_brute!J:J,"&gt;="&amp;U252),NA())</f>
        <v>#N/A</v>
      </c>
      <c r="X252" s="46" t="e">
        <f t="shared" si="60"/>
        <v>#N/A</v>
      </c>
      <c r="Y252" s="2" t="b">
        <f t="shared" si="61"/>
        <v>0</v>
      </c>
      <c r="Z252" s="2" t="b">
        <f t="shared" si="62"/>
        <v>0</v>
      </c>
      <c r="AE252" s="46">
        <f t="shared" si="55"/>
        <v>2452</v>
      </c>
      <c r="AF252" s="46">
        <f t="shared" si="56"/>
        <v>2461</v>
      </c>
      <c r="AG252" s="33" t="e">
        <f>IFERROR(AVERAGEIFS(data_brute!M:M,data_brute!J:J,"&gt;="&amp;AE252,data_brute!J:J,"&lt;="&amp;AF252),NA())</f>
        <v>#N/A</v>
      </c>
      <c r="AH252" s="46" t="e">
        <f t="shared" si="57"/>
        <v>#N/A</v>
      </c>
      <c r="AJ252" s="46">
        <f t="shared" si="63"/>
        <v>2452</v>
      </c>
      <c r="AK252" s="46">
        <f t="shared" si="64"/>
        <v>2461</v>
      </c>
      <c r="AL252" s="33">
        <f ca="1">IFERROR(AVERAGEIFS(data_brute!M:M,data_brute!J:J,"&lt;="&amp;AK252),NA())</f>
        <v>25.353524229074896</v>
      </c>
      <c r="AM252" s="46">
        <f t="shared" ca="1" si="65"/>
        <v>2460</v>
      </c>
      <c r="AN252" s="46" t="b">
        <f t="shared" si="66"/>
        <v>0</v>
      </c>
      <c r="AO252" s="50" t="b">
        <f t="shared" si="67"/>
        <v>0</v>
      </c>
    </row>
    <row r="253" spans="21:41" x14ac:dyDescent="0.2">
      <c r="U253" s="46">
        <f t="shared" si="58"/>
        <v>2462</v>
      </c>
      <c r="V253" s="46">
        <f t="shared" si="59"/>
        <v>2471</v>
      </c>
      <c r="W253" s="33" t="e">
        <f>IFERROR(AVERAGEIFS(data_brute!M:M,data_brute!J:J,"&lt;="&amp;V253,data_brute!J:J,"&gt;="&amp;U253),NA())</f>
        <v>#N/A</v>
      </c>
      <c r="X253" s="46" t="e">
        <f t="shared" si="60"/>
        <v>#N/A</v>
      </c>
      <c r="Y253" s="2" t="b">
        <f t="shared" si="61"/>
        <v>0</v>
      </c>
      <c r="Z253" s="2" t="b">
        <f t="shared" si="62"/>
        <v>0</v>
      </c>
      <c r="AE253" s="46">
        <f t="shared" si="55"/>
        <v>2462</v>
      </c>
      <c r="AF253" s="46">
        <f t="shared" si="56"/>
        <v>2471</v>
      </c>
      <c r="AG253" s="33" t="e">
        <f>IFERROR(AVERAGEIFS(data_brute!M:M,data_brute!J:J,"&gt;="&amp;AE253,data_brute!J:J,"&lt;="&amp;AF253),NA())</f>
        <v>#N/A</v>
      </c>
      <c r="AH253" s="46" t="e">
        <f t="shared" si="57"/>
        <v>#N/A</v>
      </c>
      <c r="AJ253" s="46">
        <f t="shared" si="63"/>
        <v>2462</v>
      </c>
      <c r="AK253" s="46">
        <f t="shared" si="64"/>
        <v>2471</v>
      </c>
      <c r="AL253" s="33">
        <f ca="1">IFERROR(AVERAGEIFS(data_brute!M:M,data_brute!J:J,"&lt;="&amp;AK253),NA())</f>
        <v>25.353524229074896</v>
      </c>
      <c r="AM253" s="46">
        <f t="shared" ca="1" si="65"/>
        <v>2470</v>
      </c>
      <c r="AN253" s="46" t="b">
        <f t="shared" si="66"/>
        <v>0</v>
      </c>
      <c r="AO253" s="50" t="b">
        <f t="shared" si="67"/>
        <v>0</v>
      </c>
    </row>
    <row r="254" spans="21:41" x14ac:dyDescent="0.2">
      <c r="U254" s="46">
        <f t="shared" si="58"/>
        <v>2472</v>
      </c>
      <c r="V254" s="46">
        <f t="shared" si="59"/>
        <v>2481</v>
      </c>
      <c r="W254" s="33" t="e">
        <f>IFERROR(AVERAGEIFS(data_brute!M:M,data_brute!J:J,"&lt;="&amp;V254,data_brute!J:J,"&gt;="&amp;U254),NA())</f>
        <v>#N/A</v>
      </c>
      <c r="X254" s="46" t="e">
        <f t="shared" si="60"/>
        <v>#N/A</v>
      </c>
      <c r="Y254" s="2" t="b">
        <f t="shared" si="61"/>
        <v>0</v>
      </c>
      <c r="Z254" s="2" t="b">
        <f t="shared" si="62"/>
        <v>0</v>
      </c>
      <c r="AE254" s="46">
        <f t="shared" si="55"/>
        <v>2472</v>
      </c>
      <c r="AF254" s="46">
        <f t="shared" si="56"/>
        <v>2481</v>
      </c>
      <c r="AG254" s="33" t="e">
        <f>IFERROR(AVERAGEIFS(data_brute!M:M,data_brute!J:J,"&gt;="&amp;AE254,data_brute!J:J,"&lt;="&amp;AF254),NA())</f>
        <v>#N/A</v>
      </c>
      <c r="AH254" s="46" t="e">
        <f t="shared" si="57"/>
        <v>#N/A</v>
      </c>
      <c r="AJ254" s="46">
        <f t="shared" si="63"/>
        <v>2472</v>
      </c>
      <c r="AK254" s="46">
        <f t="shared" si="64"/>
        <v>2481</v>
      </c>
      <c r="AL254" s="33">
        <f ca="1">IFERROR(AVERAGEIFS(data_brute!M:M,data_brute!J:J,"&lt;="&amp;AK254),NA())</f>
        <v>25.353524229074896</v>
      </c>
      <c r="AM254" s="46">
        <f t="shared" ca="1" si="65"/>
        <v>2480</v>
      </c>
      <c r="AN254" s="46" t="b">
        <f t="shared" si="66"/>
        <v>0</v>
      </c>
      <c r="AO254" s="50" t="b">
        <f t="shared" si="67"/>
        <v>0</v>
      </c>
    </row>
    <row r="255" spans="21:41" x14ac:dyDescent="0.2">
      <c r="U255" s="46">
        <f t="shared" si="58"/>
        <v>2482</v>
      </c>
      <c r="V255" s="46">
        <f t="shared" si="59"/>
        <v>2491</v>
      </c>
      <c r="W255" s="33" t="e">
        <f>IFERROR(AVERAGEIFS(data_brute!M:M,data_brute!J:J,"&lt;="&amp;V255,data_brute!J:J,"&gt;="&amp;U255),NA())</f>
        <v>#N/A</v>
      </c>
      <c r="X255" s="46" t="e">
        <f t="shared" si="60"/>
        <v>#N/A</v>
      </c>
      <c r="Y255" s="2" t="b">
        <f t="shared" si="61"/>
        <v>0</v>
      </c>
      <c r="Z255" s="2" t="b">
        <f t="shared" si="62"/>
        <v>0</v>
      </c>
      <c r="AE255" s="46">
        <f t="shared" si="55"/>
        <v>2482</v>
      </c>
      <c r="AF255" s="46">
        <f t="shared" si="56"/>
        <v>2491</v>
      </c>
      <c r="AG255" s="33" t="e">
        <f>IFERROR(AVERAGEIFS(data_brute!M:M,data_brute!J:J,"&gt;="&amp;AE255,data_brute!J:J,"&lt;="&amp;AF255),NA())</f>
        <v>#N/A</v>
      </c>
      <c r="AH255" s="46" t="e">
        <f t="shared" si="57"/>
        <v>#N/A</v>
      </c>
      <c r="AJ255" s="46">
        <f t="shared" si="63"/>
        <v>2482</v>
      </c>
      <c r="AK255" s="46">
        <f t="shared" si="64"/>
        <v>2491</v>
      </c>
      <c r="AL255" s="33">
        <f ca="1">IFERROR(AVERAGEIFS(data_brute!M:M,data_brute!J:J,"&lt;="&amp;AK255),NA())</f>
        <v>25.353524229074896</v>
      </c>
      <c r="AM255" s="46">
        <f t="shared" ca="1" si="65"/>
        <v>2490</v>
      </c>
      <c r="AN255" s="46" t="b">
        <f t="shared" si="66"/>
        <v>0</v>
      </c>
      <c r="AO255" s="50" t="b">
        <f t="shared" si="67"/>
        <v>0</v>
      </c>
    </row>
    <row r="256" spans="21:41" x14ac:dyDescent="0.2">
      <c r="U256" s="46">
        <f t="shared" si="58"/>
        <v>2492</v>
      </c>
      <c r="V256" s="46">
        <f t="shared" si="59"/>
        <v>2501</v>
      </c>
      <c r="W256" s="33" t="e">
        <f>IFERROR(AVERAGEIFS(data_brute!M:M,data_brute!J:J,"&lt;="&amp;V256,data_brute!J:J,"&gt;="&amp;U256),NA())</f>
        <v>#N/A</v>
      </c>
      <c r="X256" s="46" t="e">
        <f t="shared" si="60"/>
        <v>#N/A</v>
      </c>
      <c r="Y256" s="2" t="b">
        <f t="shared" si="61"/>
        <v>0</v>
      </c>
      <c r="Z256" s="2" t="b">
        <f t="shared" si="62"/>
        <v>0</v>
      </c>
      <c r="AE256" s="46">
        <f t="shared" si="55"/>
        <v>2492</v>
      </c>
      <c r="AF256" s="46">
        <f t="shared" si="56"/>
        <v>2501</v>
      </c>
      <c r="AG256" s="33" t="e">
        <f>IFERROR(AVERAGEIFS(data_brute!M:M,data_brute!J:J,"&gt;="&amp;AE256,data_brute!J:J,"&lt;="&amp;AF256),NA())</f>
        <v>#N/A</v>
      </c>
      <c r="AH256" s="46" t="e">
        <f t="shared" si="57"/>
        <v>#N/A</v>
      </c>
      <c r="AJ256" s="46">
        <f t="shared" si="63"/>
        <v>2492</v>
      </c>
      <c r="AK256" s="46">
        <f t="shared" si="64"/>
        <v>2501</v>
      </c>
      <c r="AL256" s="33">
        <f ca="1">IFERROR(AVERAGEIFS(data_brute!M:M,data_brute!J:J,"&lt;="&amp;AK256),NA())</f>
        <v>25.353524229074896</v>
      </c>
      <c r="AM256" s="46">
        <f t="shared" ca="1" si="65"/>
        <v>2500</v>
      </c>
      <c r="AN256" s="46" t="b">
        <f t="shared" si="66"/>
        <v>0</v>
      </c>
      <c r="AO256" s="50" t="b">
        <f t="shared" si="67"/>
        <v>0</v>
      </c>
    </row>
    <row r="257" spans="21:41" x14ac:dyDescent="0.2">
      <c r="U257" s="46">
        <f t="shared" si="58"/>
        <v>2502</v>
      </c>
      <c r="V257" s="46">
        <f t="shared" si="59"/>
        <v>2511</v>
      </c>
      <c r="W257" s="33" t="e">
        <f>IFERROR(AVERAGEIFS(data_brute!M:M,data_brute!J:J,"&lt;="&amp;V257,data_brute!J:J,"&gt;="&amp;U257),NA())</f>
        <v>#N/A</v>
      </c>
      <c r="X257" s="46" t="e">
        <f t="shared" si="60"/>
        <v>#N/A</v>
      </c>
      <c r="Y257" s="2" t="b">
        <f t="shared" si="61"/>
        <v>0</v>
      </c>
      <c r="Z257" s="2" t="b">
        <f t="shared" si="62"/>
        <v>0</v>
      </c>
      <c r="AE257" s="46">
        <f t="shared" si="55"/>
        <v>2502</v>
      </c>
      <c r="AF257" s="46">
        <f t="shared" si="56"/>
        <v>2511</v>
      </c>
      <c r="AG257" s="33" t="e">
        <f>IFERROR(AVERAGEIFS(data_brute!M:M,data_brute!J:J,"&gt;="&amp;AE257,data_brute!J:J,"&lt;="&amp;AF257),NA())</f>
        <v>#N/A</v>
      </c>
      <c r="AH257" s="46" t="e">
        <f t="shared" si="57"/>
        <v>#N/A</v>
      </c>
      <c r="AJ257" s="46">
        <f t="shared" si="63"/>
        <v>2502</v>
      </c>
      <c r="AK257" s="46">
        <f t="shared" si="64"/>
        <v>2511</v>
      </c>
      <c r="AL257" s="33">
        <f ca="1">IFERROR(AVERAGEIFS(data_brute!M:M,data_brute!J:J,"&lt;="&amp;AK257),NA())</f>
        <v>25.353524229074896</v>
      </c>
      <c r="AM257" s="46">
        <f t="shared" ca="1" si="65"/>
        <v>2510</v>
      </c>
      <c r="AN257" s="46" t="b">
        <f t="shared" si="66"/>
        <v>0</v>
      </c>
      <c r="AO257" s="50" t="b">
        <f t="shared" si="67"/>
        <v>0</v>
      </c>
    </row>
    <row r="258" spans="21:41" x14ac:dyDescent="0.2">
      <c r="U258" s="46">
        <f t="shared" si="58"/>
        <v>2512</v>
      </c>
      <c r="V258" s="46">
        <f t="shared" si="59"/>
        <v>2521</v>
      </c>
      <c r="W258" s="33" t="e">
        <f>IFERROR(AVERAGEIFS(data_brute!M:M,data_brute!J:J,"&lt;="&amp;V258,data_brute!J:J,"&gt;="&amp;U258),NA())</f>
        <v>#N/A</v>
      </c>
      <c r="X258" s="46" t="e">
        <f t="shared" si="60"/>
        <v>#N/A</v>
      </c>
      <c r="Y258" s="2" t="b">
        <f t="shared" si="61"/>
        <v>0</v>
      </c>
      <c r="Z258" s="2" t="b">
        <f t="shared" si="62"/>
        <v>0</v>
      </c>
      <c r="AE258" s="46">
        <f t="shared" si="55"/>
        <v>2512</v>
      </c>
      <c r="AF258" s="46">
        <f t="shared" si="56"/>
        <v>2521</v>
      </c>
      <c r="AG258" s="33" t="e">
        <f>IFERROR(AVERAGEIFS(data_brute!M:M,data_brute!J:J,"&gt;="&amp;AE258,data_brute!J:J,"&lt;="&amp;AF258),NA())</f>
        <v>#N/A</v>
      </c>
      <c r="AH258" s="46" t="e">
        <f t="shared" si="57"/>
        <v>#N/A</v>
      </c>
      <c r="AJ258" s="46">
        <f t="shared" si="63"/>
        <v>2512</v>
      </c>
      <c r="AK258" s="46">
        <f t="shared" si="64"/>
        <v>2521</v>
      </c>
      <c r="AL258" s="33">
        <f ca="1">IFERROR(AVERAGEIFS(data_brute!M:M,data_brute!J:J,"&lt;="&amp;AK258),NA())</f>
        <v>25.353524229074896</v>
      </c>
      <c r="AM258" s="46">
        <f t="shared" ca="1" si="65"/>
        <v>2520</v>
      </c>
      <c r="AN258" s="46" t="b">
        <f t="shared" si="66"/>
        <v>0</v>
      </c>
      <c r="AO258" s="50" t="b">
        <f t="shared" si="67"/>
        <v>0</v>
      </c>
    </row>
    <row r="259" spans="21:41" x14ac:dyDescent="0.2">
      <c r="U259" s="46">
        <f t="shared" si="58"/>
        <v>2522</v>
      </c>
      <c r="V259" s="46">
        <f t="shared" si="59"/>
        <v>2531</v>
      </c>
      <c r="W259" s="33" t="e">
        <f>IFERROR(AVERAGEIFS(data_brute!M:M,data_brute!J:J,"&lt;="&amp;V259,data_brute!J:J,"&gt;="&amp;U259),NA())</f>
        <v>#N/A</v>
      </c>
      <c r="X259" s="46" t="e">
        <f t="shared" si="60"/>
        <v>#N/A</v>
      </c>
      <c r="Y259" s="2" t="b">
        <f t="shared" si="61"/>
        <v>0</v>
      </c>
      <c r="Z259" s="2" t="b">
        <f t="shared" si="62"/>
        <v>0</v>
      </c>
      <c r="AE259" s="46">
        <f t="shared" si="55"/>
        <v>2522</v>
      </c>
      <c r="AF259" s="46">
        <f t="shared" si="56"/>
        <v>2531</v>
      </c>
      <c r="AG259" s="33" t="e">
        <f>IFERROR(AVERAGEIFS(data_brute!M:M,data_brute!J:J,"&gt;="&amp;AE259,data_brute!J:J,"&lt;="&amp;AF259),NA())</f>
        <v>#N/A</v>
      </c>
      <c r="AH259" s="46" t="e">
        <f t="shared" si="57"/>
        <v>#N/A</v>
      </c>
      <c r="AJ259" s="46">
        <f t="shared" si="63"/>
        <v>2522</v>
      </c>
      <c r="AK259" s="46">
        <f t="shared" si="64"/>
        <v>2531</v>
      </c>
      <c r="AL259" s="33">
        <f ca="1">IFERROR(AVERAGEIFS(data_brute!M:M,data_brute!J:J,"&lt;="&amp;AK259),NA())</f>
        <v>25.353524229074896</v>
      </c>
      <c r="AM259" s="46">
        <f t="shared" ca="1" si="65"/>
        <v>2530</v>
      </c>
      <c r="AN259" s="46" t="b">
        <f t="shared" si="66"/>
        <v>0</v>
      </c>
      <c r="AO259" s="50" t="b">
        <f t="shared" si="67"/>
        <v>0</v>
      </c>
    </row>
    <row r="260" spans="21:41" x14ac:dyDescent="0.2">
      <c r="U260" s="46">
        <f t="shared" si="58"/>
        <v>2532</v>
      </c>
      <c r="V260" s="46">
        <f t="shared" si="59"/>
        <v>2541</v>
      </c>
      <c r="W260" s="33" t="e">
        <f>IFERROR(AVERAGEIFS(data_brute!M:M,data_brute!J:J,"&lt;="&amp;V260,data_brute!J:J,"&gt;="&amp;U260),NA())</f>
        <v>#N/A</v>
      </c>
      <c r="X260" s="46" t="e">
        <f t="shared" si="60"/>
        <v>#N/A</v>
      </c>
      <c r="Y260" s="2" t="b">
        <f t="shared" si="61"/>
        <v>0</v>
      </c>
      <c r="Z260" s="2" t="b">
        <f t="shared" si="62"/>
        <v>0</v>
      </c>
      <c r="AE260" s="46">
        <f t="shared" si="55"/>
        <v>2532</v>
      </c>
      <c r="AF260" s="46">
        <f t="shared" si="56"/>
        <v>2541</v>
      </c>
      <c r="AG260" s="33" t="e">
        <f>IFERROR(AVERAGEIFS(data_brute!M:M,data_brute!J:J,"&gt;="&amp;AE260,data_brute!J:J,"&lt;="&amp;AF260),NA())</f>
        <v>#N/A</v>
      </c>
      <c r="AH260" s="46" t="e">
        <f t="shared" si="57"/>
        <v>#N/A</v>
      </c>
      <c r="AJ260" s="46">
        <f t="shared" si="63"/>
        <v>2532</v>
      </c>
      <c r="AK260" s="46">
        <f t="shared" si="64"/>
        <v>2541</v>
      </c>
      <c r="AL260" s="33">
        <f ca="1">IFERROR(AVERAGEIFS(data_brute!M:M,data_brute!J:J,"&lt;="&amp;AK260),NA())</f>
        <v>25.353524229074896</v>
      </c>
      <c r="AM260" s="46">
        <f t="shared" ca="1" si="65"/>
        <v>2540</v>
      </c>
      <c r="AN260" s="46" t="b">
        <f t="shared" si="66"/>
        <v>0</v>
      </c>
      <c r="AO260" s="50" t="b">
        <f t="shared" si="67"/>
        <v>0</v>
      </c>
    </row>
    <row r="261" spans="21:41" x14ac:dyDescent="0.2">
      <c r="U261" s="46">
        <f t="shared" si="58"/>
        <v>2542</v>
      </c>
      <c r="V261" s="46">
        <f t="shared" si="59"/>
        <v>2551</v>
      </c>
      <c r="W261" s="33" t="e">
        <f>IFERROR(AVERAGEIFS(data_brute!M:M,data_brute!J:J,"&lt;="&amp;V261,data_brute!J:J,"&gt;="&amp;U261),NA())</f>
        <v>#N/A</v>
      </c>
      <c r="X261" s="46" t="e">
        <f t="shared" si="60"/>
        <v>#N/A</v>
      </c>
      <c r="Y261" s="2" t="b">
        <f t="shared" si="61"/>
        <v>0</v>
      </c>
      <c r="Z261" s="2" t="b">
        <f t="shared" si="62"/>
        <v>0</v>
      </c>
      <c r="AE261" s="46">
        <f t="shared" si="55"/>
        <v>2542</v>
      </c>
      <c r="AF261" s="46">
        <f t="shared" si="56"/>
        <v>2551</v>
      </c>
      <c r="AG261" s="33" t="e">
        <f>IFERROR(AVERAGEIFS(data_brute!M:M,data_brute!J:J,"&gt;="&amp;AE261,data_brute!J:J,"&lt;="&amp;AF261),NA())</f>
        <v>#N/A</v>
      </c>
      <c r="AH261" s="46" t="e">
        <f t="shared" si="57"/>
        <v>#N/A</v>
      </c>
      <c r="AJ261" s="46">
        <f t="shared" si="63"/>
        <v>2542</v>
      </c>
      <c r="AK261" s="46">
        <f t="shared" si="64"/>
        <v>2551</v>
      </c>
      <c r="AL261" s="33">
        <f ca="1">IFERROR(AVERAGEIFS(data_brute!M:M,data_brute!J:J,"&lt;="&amp;AK261),NA())</f>
        <v>25.353524229074896</v>
      </c>
      <c r="AM261" s="46">
        <f t="shared" ca="1" si="65"/>
        <v>2550</v>
      </c>
      <c r="AN261" s="46" t="b">
        <f t="shared" si="66"/>
        <v>0</v>
      </c>
      <c r="AO261" s="50" t="b">
        <f t="shared" si="67"/>
        <v>0</v>
      </c>
    </row>
    <row r="262" spans="21:41" x14ac:dyDescent="0.2">
      <c r="U262" s="46">
        <f t="shared" si="58"/>
        <v>2552</v>
      </c>
      <c r="V262" s="46">
        <f t="shared" si="59"/>
        <v>2561</v>
      </c>
      <c r="W262" s="33" t="e">
        <f>IFERROR(AVERAGEIFS(data_brute!M:M,data_brute!J:J,"&lt;="&amp;V262,data_brute!J:J,"&gt;="&amp;U262),NA())</f>
        <v>#N/A</v>
      </c>
      <c r="X262" s="46" t="e">
        <f t="shared" si="60"/>
        <v>#N/A</v>
      </c>
      <c r="Y262" s="2" t="b">
        <f t="shared" si="61"/>
        <v>0</v>
      </c>
      <c r="Z262" s="2" t="b">
        <f t="shared" si="62"/>
        <v>0</v>
      </c>
      <c r="AE262" s="46">
        <f t="shared" si="55"/>
        <v>2552</v>
      </c>
      <c r="AF262" s="46">
        <f t="shared" si="56"/>
        <v>2561</v>
      </c>
      <c r="AG262" s="33" t="e">
        <f>IFERROR(AVERAGEIFS(data_brute!M:M,data_brute!J:J,"&gt;="&amp;AE262,data_brute!J:J,"&lt;="&amp;AF262),NA())</f>
        <v>#N/A</v>
      </c>
      <c r="AH262" s="46" t="e">
        <f t="shared" si="57"/>
        <v>#N/A</v>
      </c>
      <c r="AJ262" s="46">
        <f t="shared" si="63"/>
        <v>2552</v>
      </c>
      <c r="AK262" s="46">
        <f t="shared" si="64"/>
        <v>2561</v>
      </c>
      <c r="AL262" s="33">
        <f ca="1">IFERROR(AVERAGEIFS(data_brute!M:M,data_brute!J:J,"&lt;="&amp;AK262),NA())</f>
        <v>25.353524229074896</v>
      </c>
      <c r="AM262" s="46">
        <f t="shared" ca="1" si="65"/>
        <v>2560</v>
      </c>
      <c r="AN262" s="46" t="b">
        <f t="shared" si="66"/>
        <v>0</v>
      </c>
      <c r="AO262" s="50" t="b">
        <f t="shared" si="67"/>
        <v>0</v>
      </c>
    </row>
    <row r="263" spans="21:41" x14ac:dyDescent="0.2">
      <c r="U263" s="46">
        <f t="shared" si="58"/>
        <v>2562</v>
      </c>
      <c r="V263" s="46">
        <f t="shared" si="59"/>
        <v>2571</v>
      </c>
      <c r="W263" s="33" t="e">
        <f>IFERROR(AVERAGEIFS(data_brute!M:M,data_brute!J:J,"&lt;="&amp;V263,data_brute!J:J,"&gt;="&amp;U263),NA())</f>
        <v>#N/A</v>
      </c>
      <c r="X263" s="46" t="e">
        <f t="shared" si="60"/>
        <v>#N/A</v>
      </c>
      <c r="Y263" s="2" t="b">
        <f t="shared" si="61"/>
        <v>0</v>
      </c>
      <c r="Z263" s="2" t="b">
        <f t="shared" si="62"/>
        <v>0</v>
      </c>
      <c r="AE263" s="46">
        <f t="shared" si="55"/>
        <v>2562</v>
      </c>
      <c r="AF263" s="46">
        <f t="shared" si="56"/>
        <v>2571</v>
      </c>
      <c r="AG263" s="33" t="e">
        <f>IFERROR(AVERAGEIFS(data_brute!M:M,data_brute!J:J,"&gt;="&amp;AE263,data_brute!J:J,"&lt;="&amp;AF263),NA())</f>
        <v>#N/A</v>
      </c>
      <c r="AH263" s="46" t="e">
        <f t="shared" si="57"/>
        <v>#N/A</v>
      </c>
      <c r="AJ263" s="46">
        <f t="shared" si="63"/>
        <v>2562</v>
      </c>
      <c r="AK263" s="46">
        <f t="shared" si="64"/>
        <v>2571</v>
      </c>
      <c r="AL263" s="33">
        <f ca="1">IFERROR(AVERAGEIFS(data_brute!M:M,data_brute!J:J,"&lt;="&amp;AK263),NA())</f>
        <v>25.353524229074896</v>
      </c>
      <c r="AM263" s="46">
        <f t="shared" ca="1" si="65"/>
        <v>2570</v>
      </c>
      <c r="AN263" s="46" t="b">
        <f t="shared" si="66"/>
        <v>0</v>
      </c>
      <c r="AO263" s="50" t="b">
        <f t="shared" si="67"/>
        <v>0</v>
      </c>
    </row>
    <row r="264" spans="21:41" x14ac:dyDescent="0.2">
      <c r="U264" s="46">
        <f t="shared" si="58"/>
        <v>2572</v>
      </c>
      <c r="V264" s="46">
        <f t="shared" si="59"/>
        <v>2581</v>
      </c>
      <c r="W264" s="33" t="e">
        <f>IFERROR(AVERAGEIFS(data_brute!M:M,data_brute!J:J,"&lt;="&amp;V264,data_brute!J:J,"&gt;="&amp;U264),NA())</f>
        <v>#N/A</v>
      </c>
      <c r="X264" s="46" t="e">
        <f t="shared" si="60"/>
        <v>#N/A</v>
      </c>
      <c r="Y264" s="2" t="b">
        <f t="shared" si="61"/>
        <v>0</v>
      </c>
      <c r="Z264" s="2" t="b">
        <f t="shared" si="62"/>
        <v>0</v>
      </c>
      <c r="AE264" s="46">
        <f t="shared" si="55"/>
        <v>2572</v>
      </c>
      <c r="AF264" s="46">
        <f t="shared" si="56"/>
        <v>2581</v>
      </c>
      <c r="AG264" s="33" t="e">
        <f>IFERROR(AVERAGEIFS(data_brute!M:M,data_brute!J:J,"&gt;="&amp;AE264,data_brute!J:J,"&lt;="&amp;AF264),NA())</f>
        <v>#N/A</v>
      </c>
      <c r="AH264" s="46" t="e">
        <f t="shared" si="57"/>
        <v>#N/A</v>
      </c>
      <c r="AJ264" s="46">
        <f t="shared" si="63"/>
        <v>2572</v>
      </c>
      <c r="AK264" s="46">
        <f t="shared" si="64"/>
        <v>2581</v>
      </c>
      <c r="AL264" s="33">
        <f ca="1">IFERROR(AVERAGEIFS(data_brute!M:M,data_brute!J:J,"&lt;="&amp;AK264),NA())</f>
        <v>25.353524229074896</v>
      </c>
      <c r="AM264" s="46">
        <f t="shared" ca="1" si="65"/>
        <v>2580</v>
      </c>
      <c r="AN264" s="46" t="b">
        <f t="shared" si="66"/>
        <v>0</v>
      </c>
      <c r="AO264" s="50" t="b">
        <f t="shared" si="67"/>
        <v>0</v>
      </c>
    </row>
    <row r="265" spans="21:41" x14ac:dyDescent="0.2">
      <c r="U265" s="46">
        <f t="shared" si="58"/>
        <v>2582</v>
      </c>
      <c r="V265" s="46">
        <f t="shared" si="59"/>
        <v>2591</v>
      </c>
      <c r="W265" s="33" t="e">
        <f>IFERROR(AVERAGEIFS(data_brute!M:M,data_brute!J:J,"&lt;="&amp;V265,data_brute!J:J,"&gt;="&amp;U265),NA())</f>
        <v>#N/A</v>
      </c>
      <c r="X265" s="46" t="e">
        <f t="shared" si="60"/>
        <v>#N/A</v>
      </c>
      <c r="Y265" s="2" t="b">
        <f t="shared" si="61"/>
        <v>0</v>
      </c>
      <c r="Z265" s="2" t="b">
        <f t="shared" si="62"/>
        <v>0</v>
      </c>
      <c r="AE265" s="46">
        <f t="shared" si="55"/>
        <v>2582</v>
      </c>
      <c r="AF265" s="46">
        <f t="shared" si="56"/>
        <v>2591</v>
      </c>
      <c r="AG265" s="33" t="e">
        <f>IFERROR(AVERAGEIFS(data_brute!M:M,data_brute!J:J,"&gt;="&amp;AE265,data_brute!J:J,"&lt;="&amp;AF265),NA())</f>
        <v>#N/A</v>
      </c>
      <c r="AH265" s="46" t="e">
        <f t="shared" si="57"/>
        <v>#N/A</v>
      </c>
      <c r="AJ265" s="46">
        <f t="shared" si="63"/>
        <v>2582</v>
      </c>
      <c r="AK265" s="46">
        <f t="shared" si="64"/>
        <v>2591</v>
      </c>
      <c r="AL265" s="33">
        <f ca="1">IFERROR(AVERAGEIFS(data_brute!M:M,data_brute!J:J,"&lt;="&amp;AK265),NA())</f>
        <v>25.353524229074896</v>
      </c>
      <c r="AM265" s="46">
        <f t="shared" ca="1" si="65"/>
        <v>2590</v>
      </c>
      <c r="AN265" s="46" t="b">
        <f t="shared" si="66"/>
        <v>0</v>
      </c>
      <c r="AO265" s="50" t="b">
        <f t="shared" si="67"/>
        <v>0</v>
      </c>
    </row>
    <row r="266" spans="21:41" x14ac:dyDescent="0.2">
      <c r="U266" s="46">
        <f t="shared" si="58"/>
        <v>2592</v>
      </c>
      <c r="V266" s="46">
        <f t="shared" si="59"/>
        <v>2601</v>
      </c>
      <c r="W266" s="33" t="e">
        <f>IFERROR(AVERAGEIFS(data_brute!M:M,data_brute!J:J,"&lt;="&amp;V266,data_brute!J:J,"&gt;="&amp;U266),NA())</f>
        <v>#N/A</v>
      </c>
      <c r="X266" s="46" t="e">
        <f t="shared" si="60"/>
        <v>#N/A</v>
      </c>
      <c r="Y266" s="2" t="b">
        <f t="shared" si="61"/>
        <v>0</v>
      </c>
      <c r="Z266" s="2" t="b">
        <f t="shared" si="62"/>
        <v>0</v>
      </c>
      <c r="AE266" s="46">
        <f t="shared" si="55"/>
        <v>2592</v>
      </c>
      <c r="AF266" s="46">
        <f t="shared" si="56"/>
        <v>2601</v>
      </c>
      <c r="AG266" s="33" t="e">
        <f>IFERROR(AVERAGEIFS(data_brute!M:M,data_brute!J:J,"&gt;="&amp;AE266,data_brute!J:J,"&lt;="&amp;AF266),NA())</f>
        <v>#N/A</v>
      </c>
      <c r="AH266" s="46" t="e">
        <f t="shared" si="57"/>
        <v>#N/A</v>
      </c>
      <c r="AJ266" s="46">
        <f t="shared" si="63"/>
        <v>2592</v>
      </c>
      <c r="AK266" s="46">
        <f t="shared" si="64"/>
        <v>2601</v>
      </c>
      <c r="AL266" s="33">
        <f ca="1">IFERROR(AVERAGEIFS(data_brute!M:M,data_brute!J:J,"&lt;="&amp;AK266),NA())</f>
        <v>25.353524229074896</v>
      </c>
      <c r="AM266" s="46">
        <f t="shared" ca="1" si="65"/>
        <v>2600</v>
      </c>
      <c r="AN266" s="46" t="b">
        <f t="shared" si="66"/>
        <v>0</v>
      </c>
      <c r="AO266" s="50" t="b">
        <f t="shared" si="67"/>
        <v>0</v>
      </c>
    </row>
    <row r="267" spans="21:41" x14ac:dyDescent="0.2">
      <c r="U267" s="46">
        <f t="shared" si="58"/>
        <v>2602</v>
      </c>
      <c r="V267" s="46">
        <f t="shared" si="59"/>
        <v>2611</v>
      </c>
      <c r="W267" s="33" t="e">
        <f>IFERROR(AVERAGEIFS(data_brute!M:M,data_brute!J:J,"&lt;="&amp;V267,data_brute!J:J,"&gt;="&amp;U267),NA())</f>
        <v>#N/A</v>
      </c>
      <c r="X267" s="46" t="e">
        <f t="shared" si="60"/>
        <v>#N/A</v>
      </c>
      <c r="Y267" s="2" t="b">
        <f t="shared" si="61"/>
        <v>0</v>
      </c>
      <c r="Z267" s="2" t="b">
        <f t="shared" si="62"/>
        <v>0</v>
      </c>
      <c r="AE267" s="46">
        <f t="shared" si="55"/>
        <v>2602</v>
      </c>
      <c r="AF267" s="46">
        <f t="shared" si="56"/>
        <v>2611</v>
      </c>
      <c r="AG267" s="33" t="e">
        <f>IFERROR(AVERAGEIFS(data_brute!M:M,data_brute!J:J,"&gt;="&amp;AE267,data_brute!J:J,"&lt;="&amp;AF267),NA())</f>
        <v>#N/A</v>
      </c>
      <c r="AH267" s="46" t="e">
        <f t="shared" si="57"/>
        <v>#N/A</v>
      </c>
      <c r="AJ267" s="46">
        <f t="shared" si="63"/>
        <v>2602</v>
      </c>
      <c r="AK267" s="46">
        <f t="shared" si="64"/>
        <v>2611</v>
      </c>
      <c r="AL267" s="33">
        <f ca="1">IFERROR(AVERAGEIFS(data_brute!M:M,data_brute!J:J,"&lt;="&amp;AK267),NA())</f>
        <v>25.353524229074896</v>
      </c>
      <c r="AM267" s="46">
        <f t="shared" ca="1" si="65"/>
        <v>2610</v>
      </c>
      <c r="AN267" s="46" t="b">
        <f t="shared" si="66"/>
        <v>0</v>
      </c>
      <c r="AO267" s="50" t="b">
        <f t="shared" si="67"/>
        <v>0</v>
      </c>
    </row>
    <row r="268" spans="21:41" x14ac:dyDescent="0.2">
      <c r="U268" s="46">
        <f t="shared" si="58"/>
        <v>2612</v>
      </c>
      <c r="V268" s="46">
        <f t="shared" si="59"/>
        <v>2621</v>
      </c>
      <c r="W268" s="33" t="e">
        <f>IFERROR(AVERAGEIFS(data_brute!M:M,data_brute!J:J,"&lt;="&amp;V268,data_brute!J:J,"&gt;="&amp;U268),NA())</f>
        <v>#N/A</v>
      </c>
      <c r="X268" s="46" t="e">
        <f t="shared" si="60"/>
        <v>#N/A</v>
      </c>
      <c r="Y268" s="2" t="b">
        <f t="shared" si="61"/>
        <v>0</v>
      </c>
      <c r="Z268" s="2" t="b">
        <f t="shared" si="62"/>
        <v>0</v>
      </c>
      <c r="AE268" s="46">
        <f t="shared" si="55"/>
        <v>2612</v>
      </c>
      <c r="AF268" s="46">
        <f t="shared" si="56"/>
        <v>2621</v>
      </c>
      <c r="AG268" s="33" t="e">
        <f>IFERROR(AVERAGEIFS(data_brute!M:M,data_brute!J:J,"&gt;="&amp;AE268,data_brute!J:J,"&lt;="&amp;AF268),NA())</f>
        <v>#N/A</v>
      </c>
      <c r="AH268" s="46" t="e">
        <f t="shared" si="57"/>
        <v>#N/A</v>
      </c>
      <c r="AJ268" s="46">
        <f t="shared" si="63"/>
        <v>2612</v>
      </c>
      <c r="AK268" s="46">
        <f t="shared" si="64"/>
        <v>2621</v>
      </c>
      <c r="AL268" s="33">
        <f ca="1">IFERROR(AVERAGEIFS(data_brute!M:M,data_brute!J:J,"&lt;="&amp;AK268),NA())</f>
        <v>25.353524229074896</v>
      </c>
      <c r="AM268" s="46">
        <f t="shared" ca="1" si="65"/>
        <v>2620</v>
      </c>
      <c r="AN268" s="46" t="b">
        <f t="shared" si="66"/>
        <v>0</v>
      </c>
      <c r="AO268" s="50" t="b">
        <f t="shared" si="67"/>
        <v>0</v>
      </c>
    </row>
    <row r="269" spans="21:41" x14ac:dyDescent="0.2">
      <c r="U269" s="46">
        <f t="shared" si="58"/>
        <v>2622</v>
      </c>
      <c r="V269" s="46">
        <f t="shared" si="59"/>
        <v>2631</v>
      </c>
      <c r="W269" s="33" t="e">
        <f>IFERROR(AVERAGEIFS(data_brute!M:M,data_brute!J:J,"&lt;="&amp;V269,data_brute!J:J,"&gt;="&amp;U269),NA())</f>
        <v>#N/A</v>
      </c>
      <c r="X269" s="46" t="e">
        <f t="shared" si="60"/>
        <v>#N/A</v>
      </c>
      <c r="Y269" s="2" t="b">
        <f t="shared" si="61"/>
        <v>0</v>
      </c>
      <c r="Z269" s="2" t="b">
        <f t="shared" si="62"/>
        <v>0</v>
      </c>
      <c r="AE269" s="46">
        <f t="shared" si="55"/>
        <v>2622</v>
      </c>
      <c r="AF269" s="46">
        <f t="shared" si="56"/>
        <v>2631</v>
      </c>
      <c r="AG269" s="33" t="e">
        <f>IFERROR(AVERAGEIFS(data_brute!M:M,data_brute!J:J,"&gt;="&amp;AE269,data_brute!J:J,"&lt;="&amp;AF269),NA())</f>
        <v>#N/A</v>
      </c>
      <c r="AH269" s="46" t="e">
        <f t="shared" si="57"/>
        <v>#N/A</v>
      </c>
      <c r="AJ269" s="46">
        <f t="shared" si="63"/>
        <v>2622</v>
      </c>
      <c r="AK269" s="46">
        <f t="shared" si="64"/>
        <v>2631</v>
      </c>
      <c r="AL269" s="33">
        <f ca="1">IFERROR(AVERAGEIFS(data_brute!M:M,data_brute!J:J,"&lt;="&amp;AK269),NA())</f>
        <v>25.353524229074896</v>
      </c>
      <c r="AM269" s="46">
        <f t="shared" ca="1" si="65"/>
        <v>2630</v>
      </c>
      <c r="AN269" s="46" t="b">
        <f t="shared" si="66"/>
        <v>0</v>
      </c>
      <c r="AO269" s="50" t="b">
        <f t="shared" si="67"/>
        <v>0</v>
      </c>
    </row>
    <row r="270" spans="21:41" x14ac:dyDescent="0.2">
      <c r="U270" s="46">
        <f t="shared" si="58"/>
        <v>2632</v>
      </c>
      <c r="V270" s="46">
        <f t="shared" si="59"/>
        <v>2641</v>
      </c>
      <c r="W270" s="33" t="e">
        <f>IFERROR(AVERAGEIFS(data_brute!M:M,data_brute!J:J,"&lt;="&amp;V270,data_brute!J:J,"&gt;="&amp;U270),NA())</f>
        <v>#N/A</v>
      </c>
      <c r="X270" s="46" t="e">
        <f t="shared" si="60"/>
        <v>#N/A</v>
      </c>
      <c r="Y270" s="2" t="b">
        <f t="shared" si="61"/>
        <v>0</v>
      </c>
      <c r="Z270" s="2" t="b">
        <f t="shared" si="62"/>
        <v>0</v>
      </c>
      <c r="AE270" s="46">
        <f t="shared" si="55"/>
        <v>2632</v>
      </c>
      <c r="AF270" s="46">
        <f t="shared" si="56"/>
        <v>2641</v>
      </c>
      <c r="AG270" s="33" t="e">
        <f>IFERROR(AVERAGEIFS(data_brute!M:M,data_brute!J:J,"&gt;="&amp;AE270,data_brute!J:J,"&lt;="&amp;AF270),NA())</f>
        <v>#N/A</v>
      </c>
      <c r="AH270" s="46" t="e">
        <f t="shared" si="57"/>
        <v>#N/A</v>
      </c>
      <c r="AJ270" s="46">
        <f t="shared" si="63"/>
        <v>2632</v>
      </c>
      <c r="AK270" s="46">
        <f t="shared" si="64"/>
        <v>2641</v>
      </c>
      <c r="AL270" s="33">
        <f ca="1">IFERROR(AVERAGEIFS(data_brute!M:M,data_brute!J:J,"&lt;="&amp;AK270),NA())</f>
        <v>25.353524229074896</v>
      </c>
      <c r="AM270" s="46">
        <f t="shared" ca="1" si="65"/>
        <v>2640</v>
      </c>
      <c r="AN270" s="46" t="b">
        <f t="shared" si="66"/>
        <v>0</v>
      </c>
      <c r="AO270" s="50" t="b">
        <f t="shared" si="67"/>
        <v>0</v>
      </c>
    </row>
    <row r="271" spans="21:41" x14ac:dyDescent="0.2">
      <c r="U271" s="46">
        <f t="shared" si="58"/>
        <v>2642</v>
      </c>
      <c r="V271" s="46">
        <f t="shared" si="59"/>
        <v>2651</v>
      </c>
      <c r="W271" s="33" t="e">
        <f>IFERROR(AVERAGEIFS(data_brute!M:M,data_brute!J:J,"&lt;="&amp;V271,data_brute!J:J,"&gt;="&amp;U271),NA())</f>
        <v>#N/A</v>
      </c>
      <c r="X271" s="46" t="e">
        <f t="shared" si="60"/>
        <v>#N/A</v>
      </c>
      <c r="Y271" s="2" t="b">
        <f t="shared" si="61"/>
        <v>0</v>
      </c>
      <c r="Z271" s="2" t="b">
        <f t="shared" si="62"/>
        <v>0</v>
      </c>
      <c r="AE271" s="46">
        <f t="shared" si="55"/>
        <v>2642</v>
      </c>
      <c r="AF271" s="46">
        <f t="shared" si="56"/>
        <v>2651</v>
      </c>
      <c r="AG271" s="33" t="e">
        <f>IFERROR(AVERAGEIFS(data_brute!M:M,data_brute!J:J,"&gt;="&amp;AE271,data_brute!J:J,"&lt;="&amp;AF271),NA())</f>
        <v>#N/A</v>
      </c>
      <c r="AH271" s="46" t="e">
        <f t="shared" si="57"/>
        <v>#N/A</v>
      </c>
      <c r="AJ271" s="46">
        <f t="shared" si="63"/>
        <v>2642</v>
      </c>
      <c r="AK271" s="46">
        <f t="shared" si="64"/>
        <v>2651</v>
      </c>
      <c r="AL271" s="33">
        <f ca="1">IFERROR(AVERAGEIFS(data_brute!M:M,data_brute!J:J,"&lt;="&amp;AK271),NA())</f>
        <v>25.353524229074896</v>
      </c>
      <c r="AM271" s="46">
        <f t="shared" ca="1" si="65"/>
        <v>2650</v>
      </c>
      <c r="AN271" s="46" t="b">
        <f t="shared" si="66"/>
        <v>0</v>
      </c>
      <c r="AO271" s="50" t="b">
        <f t="shared" si="67"/>
        <v>0</v>
      </c>
    </row>
    <row r="272" spans="21:41" x14ac:dyDescent="0.2">
      <c r="U272" s="46">
        <f t="shared" si="58"/>
        <v>2652</v>
      </c>
      <c r="V272" s="46">
        <f t="shared" si="59"/>
        <v>2661</v>
      </c>
      <c r="W272" s="33" t="e">
        <f>IFERROR(AVERAGEIFS(data_brute!M:M,data_brute!J:J,"&lt;="&amp;V272,data_brute!J:J,"&gt;="&amp;U272),NA())</f>
        <v>#N/A</v>
      </c>
      <c r="X272" s="46" t="e">
        <f t="shared" si="60"/>
        <v>#N/A</v>
      </c>
      <c r="Y272" s="2" t="b">
        <f t="shared" si="61"/>
        <v>0</v>
      </c>
      <c r="Z272" s="2" t="b">
        <f t="shared" si="62"/>
        <v>0</v>
      </c>
      <c r="AE272" s="46">
        <f t="shared" si="55"/>
        <v>2652</v>
      </c>
      <c r="AF272" s="46">
        <f t="shared" si="56"/>
        <v>2661</v>
      </c>
      <c r="AG272" s="33" t="e">
        <f>IFERROR(AVERAGEIFS(data_brute!M:M,data_brute!J:J,"&gt;="&amp;AE272,data_brute!J:J,"&lt;="&amp;AF272),NA())</f>
        <v>#N/A</v>
      </c>
      <c r="AH272" s="46" t="e">
        <f t="shared" si="57"/>
        <v>#N/A</v>
      </c>
      <c r="AJ272" s="46">
        <f t="shared" si="63"/>
        <v>2652</v>
      </c>
      <c r="AK272" s="46">
        <f t="shared" si="64"/>
        <v>2661</v>
      </c>
      <c r="AL272" s="33">
        <f ca="1">IFERROR(AVERAGEIFS(data_brute!M:M,data_brute!J:J,"&lt;="&amp;AK272),NA())</f>
        <v>25.353524229074896</v>
      </c>
      <c r="AM272" s="46">
        <f t="shared" ca="1" si="65"/>
        <v>2660</v>
      </c>
      <c r="AN272" s="46" t="b">
        <f t="shared" si="66"/>
        <v>0</v>
      </c>
      <c r="AO272" s="50" t="b">
        <f t="shared" si="67"/>
        <v>0</v>
      </c>
    </row>
    <row r="273" spans="21:41" x14ac:dyDescent="0.2">
      <c r="U273" s="46">
        <f t="shared" si="58"/>
        <v>2662</v>
      </c>
      <c r="V273" s="46">
        <f t="shared" si="59"/>
        <v>2671</v>
      </c>
      <c r="W273" s="33" t="e">
        <f>IFERROR(AVERAGEIFS(data_brute!M:M,data_brute!J:J,"&lt;="&amp;V273,data_brute!J:J,"&gt;="&amp;U273),NA())</f>
        <v>#N/A</v>
      </c>
      <c r="X273" s="46" t="e">
        <f t="shared" si="60"/>
        <v>#N/A</v>
      </c>
      <c r="Y273" s="2" t="b">
        <f t="shared" si="61"/>
        <v>0</v>
      </c>
      <c r="Z273" s="2" t="b">
        <f t="shared" si="62"/>
        <v>0</v>
      </c>
      <c r="AE273" s="46">
        <f t="shared" si="55"/>
        <v>2662</v>
      </c>
      <c r="AF273" s="46">
        <f t="shared" si="56"/>
        <v>2671</v>
      </c>
      <c r="AG273" s="33" t="e">
        <f>IFERROR(AVERAGEIFS(data_brute!M:M,data_brute!J:J,"&gt;="&amp;AE273,data_brute!J:J,"&lt;="&amp;AF273),NA())</f>
        <v>#N/A</v>
      </c>
      <c r="AH273" s="46" t="e">
        <f t="shared" si="57"/>
        <v>#N/A</v>
      </c>
      <c r="AJ273" s="46">
        <f t="shared" si="63"/>
        <v>2662</v>
      </c>
      <c r="AK273" s="46">
        <f t="shared" si="64"/>
        <v>2671</v>
      </c>
      <c r="AL273" s="33">
        <f ca="1">IFERROR(AVERAGEIFS(data_brute!M:M,data_brute!J:J,"&lt;="&amp;AK273),NA())</f>
        <v>25.353524229074896</v>
      </c>
      <c r="AM273" s="46">
        <f t="shared" ca="1" si="65"/>
        <v>2670</v>
      </c>
      <c r="AN273" s="46" t="b">
        <f t="shared" si="66"/>
        <v>0</v>
      </c>
      <c r="AO273" s="50" t="b">
        <f t="shared" si="67"/>
        <v>0</v>
      </c>
    </row>
    <row r="274" spans="21:41" x14ac:dyDescent="0.2">
      <c r="U274" s="46">
        <f t="shared" si="58"/>
        <v>2672</v>
      </c>
      <c r="V274" s="46">
        <f t="shared" si="59"/>
        <v>2681</v>
      </c>
      <c r="W274" s="33" t="e">
        <f>IFERROR(AVERAGEIFS(data_brute!M:M,data_brute!J:J,"&lt;="&amp;V274,data_brute!J:J,"&gt;="&amp;U274),NA())</f>
        <v>#N/A</v>
      </c>
      <c r="X274" s="46" t="e">
        <f t="shared" si="60"/>
        <v>#N/A</v>
      </c>
      <c r="Y274" s="2" t="b">
        <f t="shared" si="61"/>
        <v>0</v>
      </c>
      <c r="Z274" s="2" t="b">
        <f t="shared" si="62"/>
        <v>0</v>
      </c>
      <c r="AE274" s="46">
        <f t="shared" si="55"/>
        <v>2672</v>
      </c>
      <c r="AF274" s="46">
        <f t="shared" si="56"/>
        <v>2681</v>
      </c>
      <c r="AG274" s="33" t="e">
        <f>IFERROR(AVERAGEIFS(data_brute!M:M,data_brute!J:J,"&gt;="&amp;AE274,data_brute!J:J,"&lt;="&amp;AF274),NA())</f>
        <v>#N/A</v>
      </c>
      <c r="AH274" s="46" t="e">
        <f t="shared" si="57"/>
        <v>#N/A</v>
      </c>
      <c r="AJ274" s="46">
        <f t="shared" si="63"/>
        <v>2672</v>
      </c>
      <c r="AK274" s="46">
        <f t="shared" si="64"/>
        <v>2681</v>
      </c>
      <c r="AL274" s="33">
        <f ca="1">IFERROR(AVERAGEIFS(data_brute!M:M,data_brute!J:J,"&lt;="&amp;AK274),NA())</f>
        <v>25.353524229074896</v>
      </c>
      <c r="AM274" s="46">
        <f t="shared" ca="1" si="65"/>
        <v>2680</v>
      </c>
      <c r="AN274" s="46" t="b">
        <f t="shared" si="66"/>
        <v>0</v>
      </c>
      <c r="AO274" s="50" t="b">
        <f t="shared" si="67"/>
        <v>0</v>
      </c>
    </row>
    <row r="275" spans="21:41" x14ac:dyDescent="0.2">
      <c r="U275" s="46">
        <f t="shared" si="58"/>
        <v>2682</v>
      </c>
      <c r="V275" s="46">
        <f t="shared" si="59"/>
        <v>2691</v>
      </c>
      <c r="W275" s="33" t="e">
        <f>IFERROR(AVERAGEIFS(data_brute!M:M,data_brute!J:J,"&lt;="&amp;V275,data_brute!J:J,"&gt;="&amp;U275),NA())</f>
        <v>#N/A</v>
      </c>
      <c r="X275" s="46" t="e">
        <f t="shared" si="60"/>
        <v>#N/A</v>
      </c>
      <c r="Y275" s="2" t="b">
        <f t="shared" si="61"/>
        <v>0</v>
      </c>
      <c r="Z275" s="2" t="b">
        <f t="shared" si="62"/>
        <v>0</v>
      </c>
      <c r="AE275" s="46">
        <f t="shared" si="55"/>
        <v>2682</v>
      </c>
      <c r="AF275" s="46">
        <f t="shared" si="56"/>
        <v>2691</v>
      </c>
      <c r="AG275" s="33" t="e">
        <f>IFERROR(AVERAGEIFS(data_brute!M:M,data_brute!J:J,"&gt;="&amp;AE275,data_brute!J:J,"&lt;="&amp;AF275),NA())</f>
        <v>#N/A</v>
      </c>
      <c r="AH275" s="46" t="e">
        <f t="shared" si="57"/>
        <v>#N/A</v>
      </c>
      <c r="AJ275" s="46">
        <f t="shared" si="63"/>
        <v>2682</v>
      </c>
      <c r="AK275" s="46">
        <f t="shared" si="64"/>
        <v>2691</v>
      </c>
      <c r="AL275" s="33">
        <f ca="1">IFERROR(AVERAGEIFS(data_brute!M:M,data_brute!J:J,"&lt;="&amp;AK275),NA())</f>
        <v>25.353524229074896</v>
      </c>
      <c r="AM275" s="46">
        <f t="shared" ca="1" si="65"/>
        <v>2690</v>
      </c>
      <c r="AN275" s="46" t="b">
        <f t="shared" si="66"/>
        <v>0</v>
      </c>
      <c r="AO275" s="50" t="b">
        <f t="shared" si="67"/>
        <v>0</v>
      </c>
    </row>
    <row r="276" spans="21:41" x14ac:dyDescent="0.2">
      <c r="U276" s="46">
        <f t="shared" si="58"/>
        <v>2692</v>
      </c>
      <c r="V276" s="46">
        <f t="shared" si="59"/>
        <v>2701</v>
      </c>
      <c r="W276" s="33" t="e">
        <f>IFERROR(AVERAGEIFS(data_brute!M:M,data_brute!J:J,"&lt;="&amp;V276,data_brute!J:J,"&gt;="&amp;U276),NA())</f>
        <v>#N/A</v>
      </c>
      <c r="X276" s="46" t="e">
        <f t="shared" si="60"/>
        <v>#N/A</v>
      </c>
      <c r="Y276" s="2" t="b">
        <f t="shared" si="61"/>
        <v>0</v>
      </c>
      <c r="Z276" s="2" t="b">
        <f t="shared" si="62"/>
        <v>0</v>
      </c>
      <c r="AE276" s="46">
        <f t="shared" si="55"/>
        <v>2692</v>
      </c>
      <c r="AF276" s="46">
        <f t="shared" si="56"/>
        <v>2701</v>
      </c>
      <c r="AG276" s="33" t="e">
        <f>IFERROR(AVERAGEIFS(data_brute!M:M,data_brute!J:J,"&gt;="&amp;AE276,data_brute!J:J,"&lt;="&amp;AF276),NA())</f>
        <v>#N/A</v>
      </c>
      <c r="AH276" s="46" t="e">
        <f t="shared" si="57"/>
        <v>#N/A</v>
      </c>
      <c r="AJ276" s="46">
        <f t="shared" si="63"/>
        <v>2692</v>
      </c>
      <c r="AK276" s="46">
        <f t="shared" si="64"/>
        <v>2701</v>
      </c>
      <c r="AL276" s="33">
        <f ca="1">IFERROR(AVERAGEIFS(data_brute!M:M,data_brute!J:J,"&lt;="&amp;AK276),NA())</f>
        <v>25.353524229074896</v>
      </c>
      <c r="AM276" s="46">
        <f t="shared" ca="1" si="65"/>
        <v>2700</v>
      </c>
      <c r="AN276" s="46" t="b">
        <f t="shared" si="66"/>
        <v>0</v>
      </c>
      <c r="AO276" s="50" t="b">
        <f t="shared" si="67"/>
        <v>0</v>
      </c>
    </row>
    <row r="277" spans="21:41" x14ac:dyDescent="0.2">
      <c r="U277" s="46">
        <f t="shared" si="58"/>
        <v>2702</v>
      </c>
      <c r="V277" s="46">
        <f t="shared" si="59"/>
        <v>2711</v>
      </c>
      <c r="W277" s="33" t="e">
        <f>IFERROR(AVERAGEIFS(data_brute!M:M,data_brute!J:J,"&lt;="&amp;V277,data_brute!J:J,"&gt;="&amp;U277),NA())</f>
        <v>#N/A</v>
      </c>
      <c r="X277" s="46" t="e">
        <f t="shared" si="60"/>
        <v>#N/A</v>
      </c>
      <c r="Y277" s="2" t="b">
        <f t="shared" si="61"/>
        <v>0</v>
      </c>
      <c r="Z277" s="2" t="b">
        <f t="shared" si="62"/>
        <v>0</v>
      </c>
      <c r="AE277" s="46">
        <f t="shared" si="55"/>
        <v>2702</v>
      </c>
      <c r="AF277" s="46">
        <f t="shared" si="56"/>
        <v>2711</v>
      </c>
      <c r="AG277" s="33" t="e">
        <f>IFERROR(AVERAGEIFS(data_brute!M:M,data_brute!J:J,"&gt;="&amp;AE277,data_brute!J:J,"&lt;="&amp;AF277),NA())</f>
        <v>#N/A</v>
      </c>
      <c r="AH277" s="46" t="e">
        <f t="shared" si="57"/>
        <v>#N/A</v>
      </c>
      <c r="AJ277" s="46">
        <f t="shared" si="63"/>
        <v>2702</v>
      </c>
      <c r="AK277" s="46">
        <f t="shared" si="64"/>
        <v>2711</v>
      </c>
      <c r="AL277" s="33">
        <f ca="1">IFERROR(AVERAGEIFS(data_brute!M:M,data_brute!J:J,"&lt;="&amp;AK277),NA())</f>
        <v>25.353524229074896</v>
      </c>
      <c r="AM277" s="46">
        <f t="shared" ca="1" si="65"/>
        <v>2710</v>
      </c>
      <c r="AN277" s="46" t="b">
        <f t="shared" si="66"/>
        <v>0</v>
      </c>
      <c r="AO277" s="50" t="b">
        <f t="shared" si="67"/>
        <v>0</v>
      </c>
    </row>
    <row r="278" spans="21:41" x14ac:dyDescent="0.2">
      <c r="U278" s="46">
        <f t="shared" si="58"/>
        <v>2712</v>
      </c>
      <c r="V278" s="46">
        <f t="shared" si="59"/>
        <v>2721</v>
      </c>
      <c r="W278" s="33" t="e">
        <f>IFERROR(AVERAGEIFS(data_brute!M:M,data_brute!J:J,"&lt;="&amp;V278,data_brute!J:J,"&gt;="&amp;U278),NA())</f>
        <v>#N/A</v>
      </c>
      <c r="X278" s="46" t="e">
        <f t="shared" si="60"/>
        <v>#N/A</v>
      </c>
      <c r="Y278" s="2" t="b">
        <f t="shared" si="61"/>
        <v>0</v>
      </c>
      <c r="Z278" s="2" t="b">
        <f t="shared" si="62"/>
        <v>0</v>
      </c>
      <c r="AE278" s="46">
        <f t="shared" si="55"/>
        <v>2712</v>
      </c>
      <c r="AF278" s="46">
        <f t="shared" si="56"/>
        <v>2721</v>
      </c>
      <c r="AG278" s="33" t="e">
        <f>IFERROR(AVERAGEIFS(data_brute!M:M,data_brute!J:J,"&gt;="&amp;AE278,data_brute!J:J,"&lt;="&amp;AF278),NA())</f>
        <v>#N/A</v>
      </c>
      <c r="AH278" s="46" t="e">
        <f t="shared" si="57"/>
        <v>#N/A</v>
      </c>
      <c r="AJ278" s="46">
        <f t="shared" si="63"/>
        <v>2712</v>
      </c>
      <c r="AK278" s="46">
        <f t="shared" si="64"/>
        <v>2721</v>
      </c>
      <c r="AL278" s="33">
        <f ca="1">IFERROR(AVERAGEIFS(data_brute!M:M,data_brute!J:J,"&lt;="&amp;AK278),NA())</f>
        <v>25.353524229074896</v>
      </c>
      <c r="AM278" s="46">
        <f t="shared" ca="1" si="65"/>
        <v>2720</v>
      </c>
      <c r="AN278" s="46" t="b">
        <f t="shared" si="66"/>
        <v>0</v>
      </c>
      <c r="AO278" s="50" t="b">
        <f t="shared" si="67"/>
        <v>0</v>
      </c>
    </row>
    <row r="279" spans="21:41" x14ac:dyDescent="0.2">
      <c r="U279" s="46">
        <f t="shared" si="58"/>
        <v>2722</v>
      </c>
      <c r="V279" s="46">
        <f t="shared" si="59"/>
        <v>2731</v>
      </c>
      <c r="W279" s="33" t="e">
        <f>IFERROR(AVERAGEIFS(data_brute!M:M,data_brute!J:J,"&lt;="&amp;V279,data_brute!J:J,"&gt;="&amp;U279),NA())</f>
        <v>#N/A</v>
      </c>
      <c r="X279" s="46" t="e">
        <f t="shared" si="60"/>
        <v>#N/A</v>
      </c>
      <c r="Y279" s="2" t="b">
        <f t="shared" si="61"/>
        <v>0</v>
      </c>
      <c r="Z279" s="2" t="b">
        <f t="shared" si="62"/>
        <v>0</v>
      </c>
      <c r="AE279" s="46">
        <f t="shared" si="55"/>
        <v>2722</v>
      </c>
      <c r="AF279" s="46">
        <f t="shared" si="56"/>
        <v>2731</v>
      </c>
      <c r="AG279" s="33" t="e">
        <f>IFERROR(AVERAGEIFS(data_brute!M:M,data_brute!J:J,"&gt;="&amp;AE279,data_brute!J:J,"&lt;="&amp;AF279),NA())</f>
        <v>#N/A</v>
      </c>
      <c r="AH279" s="46" t="e">
        <f t="shared" si="57"/>
        <v>#N/A</v>
      </c>
      <c r="AJ279" s="46">
        <f t="shared" si="63"/>
        <v>2722</v>
      </c>
      <c r="AK279" s="46">
        <f t="shared" si="64"/>
        <v>2731</v>
      </c>
      <c r="AL279" s="33">
        <f ca="1">IFERROR(AVERAGEIFS(data_brute!M:M,data_brute!J:J,"&lt;="&amp;AK279),NA())</f>
        <v>25.353524229074896</v>
      </c>
      <c r="AM279" s="46">
        <f t="shared" ca="1" si="65"/>
        <v>2730</v>
      </c>
      <c r="AN279" s="46" t="b">
        <f t="shared" si="66"/>
        <v>0</v>
      </c>
      <c r="AO279" s="50" t="b">
        <f t="shared" si="67"/>
        <v>0</v>
      </c>
    </row>
    <row r="280" spans="21:41" x14ac:dyDescent="0.2">
      <c r="U280" s="46">
        <f t="shared" si="58"/>
        <v>2732</v>
      </c>
      <c r="V280" s="46">
        <f t="shared" si="59"/>
        <v>2741</v>
      </c>
      <c r="W280" s="33" t="e">
        <f>IFERROR(AVERAGEIFS(data_brute!M:M,data_brute!J:J,"&lt;="&amp;V280,data_brute!J:J,"&gt;="&amp;U280),NA())</f>
        <v>#N/A</v>
      </c>
      <c r="X280" s="46" t="e">
        <f t="shared" si="60"/>
        <v>#N/A</v>
      </c>
      <c r="Y280" s="2" t="b">
        <f t="shared" si="61"/>
        <v>0</v>
      </c>
      <c r="Z280" s="2" t="b">
        <f t="shared" si="62"/>
        <v>0</v>
      </c>
      <c r="AE280" s="46">
        <f t="shared" ref="AE280:AE343" si="68">AF279+1</f>
        <v>2732</v>
      </c>
      <c r="AF280" s="46">
        <f t="shared" ref="AF280:AF343" si="69">AE280+$AG$2-1</f>
        <v>2741</v>
      </c>
      <c r="AG280" s="33" t="e">
        <f>IFERROR(AVERAGEIFS(data_brute!M:M,data_brute!J:J,"&gt;="&amp;AE280,data_brute!J:J,"&lt;="&amp;AF280),NA())</f>
        <v>#N/A</v>
      </c>
      <c r="AH280" s="46" t="e">
        <f t="shared" ref="AH280:AH343" si="70">IF(AG280&lt;&gt;"",$AG$2*(ROW()-ROW($AH$6)),NA())</f>
        <v>#N/A</v>
      </c>
      <c r="AJ280" s="46">
        <f t="shared" si="63"/>
        <v>2732</v>
      </c>
      <c r="AK280" s="46">
        <f t="shared" si="64"/>
        <v>2741</v>
      </c>
      <c r="AL280" s="33">
        <f ca="1">IFERROR(AVERAGEIFS(data_brute!M:M,data_brute!J:J,"&lt;="&amp;AK280),NA())</f>
        <v>25.353524229074896</v>
      </c>
      <c r="AM280" s="46">
        <f t="shared" ca="1" si="65"/>
        <v>2740</v>
      </c>
      <c r="AN280" s="46" t="b">
        <f t="shared" si="66"/>
        <v>0</v>
      </c>
      <c r="AO280" s="50" t="b">
        <f t="shared" si="67"/>
        <v>0</v>
      </c>
    </row>
    <row r="281" spans="21:41" x14ac:dyDescent="0.2">
      <c r="U281" s="46">
        <f t="shared" si="58"/>
        <v>2742</v>
      </c>
      <c r="V281" s="46">
        <f t="shared" si="59"/>
        <v>2751</v>
      </c>
      <c r="W281" s="33" t="e">
        <f>IFERROR(AVERAGEIFS(data_brute!M:M,data_brute!J:J,"&lt;="&amp;V281,data_brute!J:J,"&gt;="&amp;U281),NA())</f>
        <v>#N/A</v>
      </c>
      <c r="X281" s="46" t="e">
        <f t="shared" si="60"/>
        <v>#N/A</v>
      </c>
      <c r="Y281" s="2" t="b">
        <f t="shared" si="61"/>
        <v>0</v>
      </c>
      <c r="Z281" s="2" t="b">
        <f t="shared" si="62"/>
        <v>0</v>
      </c>
      <c r="AE281" s="46">
        <f t="shared" si="68"/>
        <v>2742</v>
      </c>
      <c r="AF281" s="46">
        <f t="shared" si="69"/>
        <v>2751</v>
      </c>
      <c r="AG281" s="33" t="e">
        <f>IFERROR(AVERAGEIFS(data_brute!M:M,data_brute!J:J,"&gt;="&amp;AE281,data_brute!J:J,"&lt;="&amp;AF281),NA())</f>
        <v>#N/A</v>
      </c>
      <c r="AH281" s="46" t="e">
        <f t="shared" si="70"/>
        <v>#N/A</v>
      </c>
      <c r="AJ281" s="46">
        <f t="shared" si="63"/>
        <v>2742</v>
      </c>
      <c r="AK281" s="46">
        <f t="shared" si="64"/>
        <v>2751</v>
      </c>
      <c r="AL281" s="33">
        <f ca="1">IFERROR(AVERAGEIFS(data_brute!M:M,data_brute!J:J,"&lt;="&amp;AK281),NA())</f>
        <v>25.353524229074896</v>
      </c>
      <c r="AM281" s="46">
        <f t="shared" ca="1" si="65"/>
        <v>2750</v>
      </c>
      <c r="AN281" s="46" t="b">
        <f t="shared" si="66"/>
        <v>0</v>
      </c>
      <c r="AO281" s="50" t="b">
        <f t="shared" si="67"/>
        <v>0</v>
      </c>
    </row>
    <row r="282" spans="21:41" x14ac:dyDescent="0.2">
      <c r="U282" s="46">
        <f t="shared" si="58"/>
        <v>2752</v>
      </c>
      <c r="V282" s="46">
        <f t="shared" si="59"/>
        <v>2761</v>
      </c>
      <c r="W282" s="33" t="e">
        <f>IFERROR(AVERAGEIFS(data_brute!M:M,data_brute!J:J,"&lt;="&amp;V282,data_brute!J:J,"&gt;="&amp;U282),NA())</f>
        <v>#N/A</v>
      </c>
      <c r="X282" s="46" t="e">
        <f t="shared" si="60"/>
        <v>#N/A</v>
      </c>
      <c r="Y282" s="2" t="b">
        <f t="shared" si="61"/>
        <v>0</v>
      </c>
      <c r="Z282" s="2" t="b">
        <f t="shared" si="62"/>
        <v>0</v>
      </c>
      <c r="AE282" s="46">
        <f t="shared" si="68"/>
        <v>2752</v>
      </c>
      <c r="AF282" s="46">
        <f t="shared" si="69"/>
        <v>2761</v>
      </c>
      <c r="AG282" s="33" t="e">
        <f>IFERROR(AVERAGEIFS(data_brute!M:M,data_brute!J:J,"&gt;="&amp;AE282,data_brute!J:J,"&lt;="&amp;AF282),NA())</f>
        <v>#N/A</v>
      </c>
      <c r="AH282" s="46" t="e">
        <f t="shared" si="70"/>
        <v>#N/A</v>
      </c>
      <c r="AJ282" s="46">
        <f t="shared" si="63"/>
        <v>2752</v>
      </c>
      <c r="AK282" s="46">
        <f t="shared" si="64"/>
        <v>2761</v>
      </c>
      <c r="AL282" s="33">
        <f ca="1">IFERROR(AVERAGEIFS(data_brute!M:M,data_brute!J:J,"&lt;="&amp;AK282),NA())</f>
        <v>25.353524229074896</v>
      </c>
      <c r="AM282" s="46">
        <f t="shared" ca="1" si="65"/>
        <v>2760</v>
      </c>
      <c r="AN282" s="46" t="b">
        <f t="shared" si="66"/>
        <v>0</v>
      </c>
      <c r="AO282" s="50" t="b">
        <f t="shared" si="67"/>
        <v>0</v>
      </c>
    </row>
    <row r="283" spans="21:41" x14ac:dyDescent="0.2">
      <c r="U283" s="46">
        <f t="shared" si="58"/>
        <v>2762</v>
      </c>
      <c r="V283" s="46">
        <f t="shared" si="59"/>
        <v>2771</v>
      </c>
      <c r="W283" s="33" t="e">
        <f>IFERROR(AVERAGEIFS(data_brute!M:M,data_brute!J:J,"&lt;="&amp;V283,data_brute!J:J,"&gt;="&amp;U283),NA())</f>
        <v>#N/A</v>
      </c>
      <c r="X283" s="46" t="e">
        <f t="shared" si="60"/>
        <v>#N/A</v>
      </c>
      <c r="Y283" s="2" t="b">
        <f t="shared" si="61"/>
        <v>0</v>
      </c>
      <c r="Z283" s="2" t="b">
        <f t="shared" si="62"/>
        <v>0</v>
      </c>
      <c r="AE283" s="46">
        <f t="shared" si="68"/>
        <v>2762</v>
      </c>
      <c r="AF283" s="46">
        <f t="shared" si="69"/>
        <v>2771</v>
      </c>
      <c r="AG283" s="33" t="e">
        <f>IFERROR(AVERAGEIFS(data_brute!M:M,data_brute!J:J,"&gt;="&amp;AE283,data_brute!J:J,"&lt;="&amp;AF283),NA())</f>
        <v>#N/A</v>
      </c>
      <c r="AH283" s="46" t="e">
        <f t="shared" si="70"/>
        <v>#N/A</v>
      </c>
      <c r="AJ283" s="46">
        <f t="shared" si="63"/>
        <v>2762</v>
      </c>
      <c r="AK283" s="46">
        <f t="shared" si="64"/>
        <v>2771</v>
      </c>
      <c r="AL283" s="33">
        <f ca="1">IFERROR(AVERAGEIFS(data_brute!M:M,data_brute!J:J,"&lt;="&amp;AK283),NA())</f>
        <v>25.353524229074896</v>
      </c>
      <c r="AM283" s="46">
        <f t="shared" ca="1" si="65"/>
        <v>2770</v>
      </c>
      <c r="AN283" s="46" t="b">
        <f t="shared" si="66"/>
        <v>0</v>
      </c>
      <c r="AO283" s="50" t="b">
        <f t="shared" si="67"/>
        <v>0</v>
      </c>
    </row>
    <row r="284" spans="21:41" x14ac:dyDescent="0.2">
      <c r="U284" s="46">
        <f t="shared" si="58"/>
        <v>2772</v>
      </c>
      <c r="V284" s="46">
        <f t="shared" si="59"/>
        <v>2781</v>
      </c>
      <c r="W284" s="33" t="e">
        <f>IFERROR(AVERAGEIFS(data_brute!M:M,data_brute!J:J,"&lt;="&amp;V284,data_brute!J:J,"&gt;="&amp;U284),NA())</f>
        <v>#N/A</v>
      </c>
      <c r="X284" s="46" t="e">
        <f t="shared" si="60"/>
        <v>#N/A</v>
      </c>
      <c r="Y284" s="2" t="b">
        <f t="shared" si="61"/>
        <v>0</v>
      </c>
      <c r="Z284" s="2" t="b">
        <f t="shared" si="62"/>
        <v>0</v>
      </c>
      <c r="AE284" s="46">
        <f t="shared" si="68"/>
        <v>2772</v>
      </c>
      <c r="AF284" s="46">
        <f t="shared" si="69"/>
        <v>2781</v>
      </c>
      <c r="AG284" s="33" t="e">
        <f>IFERROR(AVERAGEIFS(data_brute!M:M,data_brute!J:J,"&gt;="&amp;AE284,data_brute!J:J,"&lt;="&amp;AF284),NA())</f>
        <v>#N/A</v>
      </c>
      <c r="AH284" s="46" t="e">
        <f t="shared" si="70"/>
        <v>#N/A</v>
      </c>
      <c r="AJ284" s="46">
        <f t="shared" si="63"/>
        <v>2772</v>
      </c>
      <c r="AK284" s="46">
        <f t="shared" si="64"/>
        <v>2781</v>
      </c>
      <c r="AL284" s="33">
        <f ca="1">IFERROR(AVERAGEIFS(data_brute!M:M,data_brute!J:J,"&lt;="&amp;AK284),NA())</f>
        <v>25.353524229074896</v>
      </c>
      <c r="AM284" s="46">
        <f t="shared" ca="1" si="65"/>
        <v>2780</v>
      </c>
      <c r="AN284" s="46" t="b">
        <f t="shared" si="66"/>
        <v>0</v>
      </c>
      <c r="AO284" s="50" t="b">
        <f t="shared" si="67"/>
        <v>0</v>
      </c>
    </row>
    <row r="285" spans="21:41" x14ac:dyDescent="0.2">
      <c r="U285" s="46">
        <f t="shared" si="58"/>
        <v>2782</v>
      </c>
      <c r="V285" s="46">
        <f t="shared" si="59"/>
        <v>2791</v>
      </c>
      <c r="W285" s="33" t="e">
        <f>IFERROR(AVERAGEIFS(data_brute!M:M,data_brute!J:J,"&lt;="&amp;V285,data_brute!J:J,"&gt;="&amp;U285),NA())</f>
        <v>#N/A</v>
      </c>
      <c r="X285" s="46" t="e">
        <f t="shared" si="60"/>
        <v>#N/A</v>
      </c>
      <c r="Y285" s="2" t="b">
        <f t="shared" si="61"/>
        <v>0</v>
      </c>
      <c r="Z285" s="2" t="b">
        <f t="shared" si="62"/>
        <v>0</v>
      </c>
      <c r="AE285" s="46">
        <f t="shared" si="68"/>
        <v>2782</v>
      </c>
      <c r="AF285" s="46">
        <f t="shared" si="69"/>
        <v>2791</v>
      </c>
      <c r="AG285" s="33" t="e">
        <f>IFERROR(AVERAGEIFS(data_brute!M:M,data_brute!J:J,"&gt;="&amp;AE285,data_brute!J:J,"&lt;="&amp;AF285),NA())</f>
        <v>#N/A</v>
      </c>
      <c r="AH285" s="46" t="e">
        <f t="shared" si="70"/>
        <v>#N/A</v>
      </c>
      <c r="AJ285" s="46">
        <f t="shared" si="63"/>
        <v>2782</v>
      </c>
      <c r="AK285" s="46">
        <f t="shared" si="64"/>
        <v>2791</v>
      </c>
      <c r="AL285" s="33">
        <f ca="1">IFERROR(AVERAGEIFS(data_brute!M:M,data_brute!J:J,"&lt;="&amp;AK285),NA())</f>
        <v>25.353524229074896</v>
      </c>
      <c r="AM285" s="46">
        <f t="shared" ca="1" si="65"/>
        <v>2790</v>
      </c>
      <c r="AN285" s="46" t="b">
        <f t="shared" si="66"/>
        <v>0</v>
      </c>
      <c r="AO285" s="50" t="b">
        <f t="shared" si="67"/>
        <v>0</v>
      </c>
    </row>
    <row r="286" spans="21:41" x14ac:dyDescent="0.2">
      <c r="U286" s="46">
        <f t="shared" si="58"/>
        <v>2792</v>
      </c>
      <c r="V286" s="46">
        <f t="shared" si="59"/>
        <v>2801</v>
      </c>
      <c r="W286" s="33" t="e">
        <f>IFERROR(AVERAGEIFS(data_brute!M:M,data_brute!J:J,"&lt;="&amp;V286,data_brute!J:J,"&gt;="&amp;U286),NA())</f>
        <v>#N/A</v>
      </c>
      <c r="X286" s="46" t="e">
        <f t="shared" si="60"/>
        <v>#N/A</v>
      </c>
      <c r="Y286" s="2" t="b">
        <f t="shared" si="61"/>
        <v>0</v>
      </c>
      <c r="Z286" s="2" t="b">
        <f t="shared" si="62"/>
        <v>0</v>
      </c>
      <c r="AE286" s="46">
        <f t="shared" si="68"/>
        <v>2792</v>
      </c>
      <c r="AF286" s="46">
        <f t="shared" si="69"/>
        <v>2801</v>
      </c>
      <c r="AG286" s="33" t="e">
        <f>IFERROR(AVERAGEIFS(data_brute!M:M,data_brute!J:J,"&gt;="&amp;AE286,data_brute!J:J,"&lt;="&amp;AF286),NA())</f>
        <v>#N/A</v>
      </c>
      <c r="AH286" s="46" t="e">
        <f t="shared" si="70"/>
        <v>#N/A</v>
      </c>
      <c r="AJ286" s="46">
        <f t="shared" si="63"/>
        <v>2792</v>
      </c>
      <c r="AK286" s="46">
        <f t="shared" si="64"/>
        <v>2801</v>
      </c>
      <c r="AL286" s="33">
        <f ca="1">IFERROR(AVERAGEIFS(data_brute!M:M,data_brute!J:J,"&lt;="&amp;AK286),NA())</f>
        <v>25.353524229074896</v>
      </c>
      <c r="AM286" s="46">
        <f t="shared" ca="1" si="65"/>
        <v>2800</v>
      </c>
      <c r="AN286" s="46" t="b">
        <f t="shared" si="66"/>
        <v>0</v>
      </c>
      <c r="AO286" s="50" t="b">
        <f t="shared" si="67"/>
        <v>0</v>
      </c>
    </row>
    <row r="287" spans="21:41" x14ac:dyDescent="0.2">
      <c r="U287" s="46">
        <f t="shared" si="58"/>
        <v>2802</v>
      </c>
      <c r="V287" s="46">
        <f t="shared" si="59"/>
        <v>2811</v>
      </c>
      <c r="W287" s="33" t="e">
        <f>IFERROR(AVERAGEIFS(data_brute!M:M,data_brute!J:J,"&lt;="&amp;V287,data_brute!J:J,"&gt;="&amp;U287),NA())</f>
        <v>#N/A</v>
      </c>
      <c r="X287" s="46" t="e">
        <f t="shared" si="60"/>
        <v>#N/A</v>
      </c>
      <c r="Y287" s="2" t="b">
        <f t="shared" si="61"/>
        <v>0</v>
      </c>
      <c r="Z287" s="2" t="b">
        <f t="shared" si="62"/>
        <v>0</v>
      </c>
      <c r="AE287" s="46">
        <f t="shared" si="68"/>
        <v>2802</v>
      </c>
      <c r="AF287" s="46">
        <f t="shared" si="69"/>
        <v>2811</v>
      </c>
      <c r="AG287" s="33" t="e">
        <f>IFERROR(AVERAGEIFS(data_brute!M:M,data_brute!J:J,"&gt;="&amp;AE287,data_brute!J:J,"&lt;="&amp;AF287),NA())</f>
        <v>#N/A</v>
      </c>
      <c r="AH287" s="46" t="e">
        <f t="shared" si="70"/>
        <v>#N/A</v>
      </c>
      <c r="AJ287" s="46">
        <f t="shared" si="63"/>
        <v>2802</v>
      </c>
      <c r="AK287" s="46">
        <f t="shared" si="64"/>
        <v>2811</v>
      </c>
      <c r="AL287" s="33">
        <f ca="1">IFERROR(AVERAGEIFS(data_brute!M:M,data_brute!J:J,"&lt;="&amp;AK287),NA())</f>
        <v>25.353524229074896</v>
      </c>
      <c r="AM287" s="46">
        <f t="shared" ca="1" si="65"/>
        <v>2810</v>
      </c>
      <c r="AN287" s="46" t="b">
        <f t="shared" si="66"/>
        <v>0</v>
      </c>
      <c r="AO287" s="50" t="b">
        <f t="shared" si="67"/>
        <v>0</v>
      </c>
    </row>
    <row r="288" spans="21:41" x14ac:dyDescent="0.2">
      <c r="U288" s="46">
        <f t="shared" si="58"/>
        <v>2812</v>
      </c>
      <c r="V288" s="46">
        <f t="shared" si="59"/>
        <v>2821</v>
      </c>
      <c r="W288" s="33" t="e">
        <f>IFERROR(AVERAGEIFS(data_brute!M:M,data_brute!J:J,"&lt;="&amp;V288,data_brute!J:J,"&gt;="&amp;U288),NA())</f>
        <v>#N/A</v>
      </c>
      <c r="X288" s="46" t="e">
        <f t="shared" si="60"/>
        <v>#N/A</v>
      </c>
      <c r="Y288" s="2" t="b">
        <f t="shared" si="61"/>
        <v>0</v>
      </c>
      <c r="Z288" s="2" t="b">
        <f t="shared" si="62"/>
        <v>0</v>
      </c>
      <c r="AE288" s="46">
        <f t="shared" si="68"/>
        <v>2812</v>
      </c>
      <c r="AF288" s="46">
        <f t="shared" si="69"/>
        <v>2821</v>
      </c>
      <c r="AG288" s="33" t="e">
        <f>IFERROR(AVERAGEIFS(data_brute!M:M,data_brute!J:J,"&gt;="&amp;AE288,data_brute!J:J,"&lt;="&amp;AF288),NA())</f>
        <v>#N/A</v>
      </c>
      <c r="AH288" s="46" t="e">
        <f t="shared" si="70"/>
        <v>#N/A</v>
      </c>
      <c r="AJ288" s="46">
        <f t="shared" si="63"/>
        <v>2812</v>
      </c>
      <c r="AK288" s="46">
        <f t="shared" si="64"/>
        <v>2821</v>
      </c>
      <c r="AL288" s="33">
        <f ca="1">IFERROR(AVERAGEIFS(data_brute!M:M,data_brute!J:J,"&lt;="&amp;AK288),NA())</f>
        <v>25.353524229074896</v>
      </c>
      <c r="AM288" s="46">
        <f t="shared" ca="1" si="65"/>
        <v>2820</v>
      </c>
      <c r="AN288" s="46" t="b">
        <f t="shared" si="66"/>
        <v>0</v>
      </c>
      <c r="AO288" s="50" t="b">
        <f t="shared" si="67"/>
        <v>0</v>
      </c>
    </row>
    <row r="289" spans="21:41" x14ac:dyDescent="0.2">
      <c r="U289" s="46">
        <f t="shared" si="58"/>
        <v>2822</v>
      </c>
      <c r="V289" s="46">
        <f t="shared" si="59"/>
        <v>2831</v>
      </c>
      <c r="W289" s="33" t="e">
        <f>IFERROR(AVERAGEIFS(data_brute!M:M,data_brute!J:J,"&lt;="&amp;V289,data_brute!J:J,"&gt;="&amp;U289),NA())</f>
        <v>#N/A</v>
      </c>
      <c r="X289" s="46" t="e">
        <f t="shared" si="60"/>
        <v>#N/A</v>
      </c>
      <c r="Y289" s="2" t="b">
        <f t="shared" si="61"/>
        <v>0</v>
      </c>
      <c r="Z289" s="2" t="b">
        <f t="shared" si="62"/>
        <v>0</v>
      </c>
      <c r="AE289" s="46">
        <f t="shared" si="68"/>
        <v>2822</v>
      </c>
      <c r="AF289" s="46">
        <f t="shared" si="69"/>
        <v>2831</v>
      </c>
      <c r="AG289" s="33" t="e">
        <f>IFERROR(AVERAGEIFS(data_brute!M:M,data_brute!J:J,"&gt;="&amp;AE289,data_brute!J:J,"&lt;="&amp;AF289),NA())</f>
        <v>#N/A</v>
      </c>
      <c r="AH289" s="46" t="e">
        <f t="shared" si="70"/>
        <v>#N/A</v>
      </c>
      <c r="AJ289" s="46">
        <f t="shared" si="63"/>
        <v>2822</v>
      </c>
      <c r="AK289" s="46">
        <f t="shared" si="64"/>
        <v>2831</v>
      </c>
      <c r="AL289" s="33">
        <f ca="1">IFERROR(AVERAGEIFS(data_brute!M:M,data_brute!J:J,"&lt;="&amp;AK289),NA())</f>
        <v>25.353524229074896</v>
      </c>
      <c r="AM289" s="46">
        <f t="shared" ca="1" si="65"/>
        <v>2830</v>
      </c>
      <c r="AN289" s="46" t="b">
        <f t="shared" si="66"/>
        <v>0</v>
      </c>
      <c r="AO289" s="50" t="b">
        <f t="shared" si="67"/>
        <v>0</v>
      </c>
    </row>
    <row r="290" spans="21:41" x14ac:dyDescent="0.2">
      <c r="U290" s="46">
        <f t="shared" si="58"/>
        <v>2832</v>
      </c>
      <c r="V290" s="46">
        <f t="shared" si="59"/>
        <v>2841</v>
      </c>
      <c r="W290" s="33" t="e">
        <f>IFERROR(AVERAGEIFS(data_brute!M:M,data_brute!J:J,"&lt;="&amp;V290,data_brute!J:J,"&gt;="&amp;U290),NA())</f>
        <v>#N/A</v>
      </c>
      <c r="X290" s="46" t="e">
        <f t="shared" si="60"/>
        <v>#N/A</v>
      </c>
      <c r="Y290" s="2" t="b">
        <f t="shared" si="61"/>
        <v>0</v>
      </c>
      <c r="Z290" s="2" t="b">
        <f t="shared" si="62"/>
        <v>0</v>
      </c>
      <c r="AE290" s="46">
        <f t="shared" si="68"/>
        <v>2832</v>
      </c>
      <c r="AF290" s="46">
        <f t="shared" si="69"/>
        <v>2841</v>
      </c>
      <c r="AG290" s="33" t="e">
        <f>IFERROR(AVERAGEIFS(data_brute!M:M,data_brute!J:J,"&gt;="&amp;AE290,data_brute!J:J,"&lt;="&amp;AF290),NA())</f>
        <v>#N/A</v>
      </c>
      <c r="AH290" s="46" t="e">
        <f t="shared" si="70"/>
        <v>#N/A</v>
      </c>
      <c r="AJ290" s="46">
        <f t="shared" si="63"/>
        <v>2832</v>
      </c>
      <c r="AK290" s="46">
        <f t="shared" si="64"/>
        <v>2841</v>
      </c>
      <c r="AL290" s="33">
        <f ca="1">IFERROR(AVERAGEIFS(data_brute!M:M,data_brute!J:J,"&lt;="&amp;AK290),NA())</f>
        <v>25.353524229074896</v>
      </c>
      <c r="AM290" s="46">
        <f t="shared" ca="1" si="65"/>
        <v>2840</v>
      </c>
      <c r="AN290" s="46" t="b">
        <f t="shared" si="66"/>
        <v>0</v>
      </c>
      <c r="AO290" s="50" t="b">
        <f t="shared" si="67"/>
        <v>0</v>
      </c>
    </row>
    <row r="291" spans="21:41" x14ac:dyDescent="0.2">
      <c r="U291" s="46">
        <f t="shared" ref="U291:U354" si="71">V290+1</f>
        <v>2842</v>
      </c>
      <c r="V291" s="46">
        <f t="shared" ref="V291:V354" si="72">U291+$AG$2-1</f>
        <v>2851</v>
      </c>
      <c r="W291" s="33" t="e">
        <f>IFERROR(AVERAGEIFS(data_brute!M:M,data_brute!J:J,"&lt;="&amp;V291,data_brute!J:J,"&gt;="&amp;U291),NA())</f>
        <v>#N/A</v>
      </c>
      <c r="X291" s="46" t="e">
        <f t="shared" ref="X291:X354" si="73">IF(W291&lt;&gt;"",$AG$2*(ROW()-ROW($AH$6)),NA())</f>
        <v>#N/A</v>
      </c>
      <c r="Y291" s="2" t="b">
        <f t="shared" ref="Y291:Y354" si="74">IF(AND($F$5&gt;=U291,$F$5&lt;=V291,V291=$F$5),TRUE,FALSE)</f>
        <v>0</v>
      </c>
      <c r="Z291" s="2" t="b">
        <f t="shared" ref="Z291:Z354" si="75">IF(AND($F$5&gt;=U291,$F$5&lt;=V291),TRUE,FALSE)</f>
        <v>0</v>
      </c>
      <c r="AE291" s="46">
        <f t="shared" si="68"/>
        <v>2842</v>
      </c>
      <c r="AF291" s="46">
        <f t="shared" si="69"/>
        <v>2851</v>
      </c>
      <c r="AG291" s="33" t="e">
        <f>IFERROR(AVERAGEIFS(data_brute!M:M,data_brute!J:J,"&gt;="&amp;AE291,data_brute!J:J,"&lt;="&amp;AF291),NA())</f>
        <v>#N/A</v>
      </c>
      <c r="AH291" s="46" t="e">
        <f t="shared" si="70"/>
        <v>#N/A</v>
      </c>
      <c r="AJ291" s="46">
        <f t="shared" si="63"/>
        <v>2842</v>
      </c>
      <c r="AK291" s="46">
        <f t="shared" si="64"/>
        <v>2851</v>
      </c>
      <c r="AL291" s="33">
        <f ca="1">IFERROR(AVERAGEIFS(data_brute!M:M,data_brute!J:J,"&lt;="&amp;AK291),NA())</f>
        <v>25.353524229074896</v>
      </c>
      <c r="AM291" s="46">
        <f t="shared" ca="1" si="65"/>
        <v>2850</v>
      </c>
      <c r="AN291" s="46" t="b">
        <f t="shared" si="66"/>
        <v>0</v>
      </c>
      <c r="AO291" s="50" t="b">
        <f t="shared" si="67"/>
        <v>0</v>
      </c>
    </row>
    <row r="292" spans="21:41" x14ac:dyDescent="0.2">
      <c r="U292" s="46">
        <f t="shared" si="71"/>
        <v>2852</v>
      </c>
      <c r="V292" s="46">
        <f t="shared" si="72"/>
        <v>2861</v>
      </c>
      <c r="W292" s="33" t="e">
        <f>IFERROR(AVERAGEIFS(data_brute!M:M,data_brute!J:J,"&lt;="&amp;V292,data_brute!J:J,"&gt;="&amp;U292),NA())</f>
        <v>#N/A</v>
      </c>
      <c r="X292" s="46" t="e">
        <f t="shared" si="73"/>
        <v>#N/A</v>
      </c>
      <c r="Y292" s="2" t="b">
        <f t="shared" si="74"/>
        <v>0</v>
      </c>
      <c r="Z292" s="2" t="b">
        <f t="shared" si="75"/>
        <v>0</v>
      </c>
      <c r="AE292" s="46">
        <f t="shared" si="68"/>
        <v>2852</v>
      </c>
      <c r="AF292" s="46">
        <f t="shared" si="69"/>
        <v>2861</v>
      </c>
      <c r="AG292" s="33" t="e">
        <f>IFERROR(AVERAGEIFS(data_brute!M:M,data_brute!J:J,"&gt;="&amp;AE292,data_brute!J:J,"&lt;="&amp;AF292),NA())</f>
        <v>#N/A</v>
      </c>
      <c r="AH292" s="46" t="e">
        <f t="shared" si="70"/>
        <v>#N/A</v>
      </c>
      <c r="AJ292" s="46">
        <f t="shared" ref="AJ292:AJ355" si="76">AK291+1</f>
        <v>2852</v>
      </c>
      <c r="AK292" s="46">
        <f t="shared" ref="AK292:AK355" si="77">AJ292+$AG$2-1</f>
        <v>2861</v>
      </c>
      <c r="AL292" s="33">
        <f ca="1">IFERROR(AVERAGEIFS(data_brute!M:M,data_brute!J:J,"&lt;="&amp;AK292),NA())</f>
        <v>25.353524229074896</v>
      </c>
      <c r="AM292" s="46">
        <f t="shared" ref="AM292:AM355" ca="1" si="78">IF(AL292&lt;&gt;"",$AG$2*(ROW()-ROW($AH$6)),NA())</f>
        <v>2860</v>
      </c>
      <c r="AN292" s="46" t="b">
        <f t="shared" ref="AN292:AN355" si="79">IF(AND($F$5&gt;=AJ292,$F$5&lt;=AK292,AK292=$F$5),TRUE,FALSE)</f>
        <v>0</v>
      </c>
      <c r="AO292" s="50" t="b">
        <f t="shared" ref="AO292:AO355" si="80">IF(AND($F$5&gt;=AJ292,$F$5&lt;=AK292),TRUE,FALSE)</f>
        <v>0</v>
      </c>
    </row>
    <row r="293" spans="21:41" x14ac:dyDescent="0.2">
      <c r="U293" s="46">
        <f t="shared" si="71"/>
        <v>2862</v>
      </c>
      <c r="V293" s="46">
        <f t="shared" si="72"/>
        <v>2871</v>
      </c>
      <c r="W293" s="33" t="e">
        <f>IFERROR(AVERAGEIFS(data_brute!M:M,data_brute!J:J,"&lt;="&amp;V293,data_brute!J:J,"&gt;="&amp;U293),NA())</f>
        <v>#N/A</v>
      </c>
      <c r="X293" s="46" t="e">
        <f t="shared" si="73"/>
        <v>#N/A</v>
      </c>
      <c r="Y293" s="2" t="b">
        <f t="shared" si="74"/>
        <v>0</v>
      </c>
      <c r="Z293" s="2" t="b">
        <f t="shared" si="75"/>
        <v>0</v>
      </c>
      <c r="AE293" s="46">
        <f t="shared" si="68"/>
        <v>2862</v>
      </c>
      <c r="AF293" s="46">
        <f t="shared" si="69"/>
        <v>2871</v>
      </c>
      <c r="AG293" s="33" t="e">
        <f>IFERROR(AVERAGEIFS(data_brute!M:M,data_brute!J:J,"&gt;="&amp;AE293,data_brute!J:J,"&lt;="&amp;AF293),NA())</f>
        <v>#N/A</v>
      </c>
      <c r="AH293" s="46" t="e">
        <f t="shared" si="70"/>
        <v>#N/A</v>
      </c>
      <c r="AJ293" s="46">
        <f t="shared" si="76"/>
        <v>2862</v>
      </c>
      <c r="AK293" s="46">
        <f t="shared" si="77"/>
        <v>2871</v>
      </c>
      <c r="AL293" s="33">
        <f ca="1">IFERROR(AVERAGEIFS(data_brute!M:M,data_brute!J:J,"&lt;="&amp;AK293),NA())</f>
        <v>25.353524229074896</v>
      </c>
      <c r="AM293" s="46">
        <f t="shared" ca="1" si="78"/>
        <v>2870</v>
      </c>
      <c r="AN293" s="46" t="b">
        <f t="shared" si="79"/>
        <v>0</v>
      </c>
      <c r="AO293" s="50" t="b">
        <f t="shared" si="80"/>
        <v>0</v>
      </c>
    </row>
    <row r="294" spans="21:41" x14ac:dyDescent="0.2">
      <c r="U294" s="46">
        <f t="shared" si="71"/>
        <v>2872</v>
      </c>
      <c r="V294" s="46">
        <f t="shared" si="72"/>
        <v>2881</v>
      </c>
      <c r="W294" s="33" t="e">
        <f>IFERROR(AVERAGEIFS(data_brute!M:M,data_brute!J:J,"&lt;="&amp;V294,data_brute!J:J,"&gt;="&amp;U294),NA())</f>
        <v>#N/A</v>
      </c>
      <c r="X294" s="46" t="e">
        <f t="shared" si="73"/>
        <v>#N/A</v>
      </c>
      <c r="Y294" s="2" t="b">
        <f t="shared" si="74"/>
        <v>0</v>
      </c>
      <c r="Z294" s="2" t="b">
        <f t="shared" si="75"/>
        <v>0</v>
      </c>
      <c r="AE294" s="46">
        <f t="shared" si="68"/>
        <v>2872</v>
      </c>
      <c r="AF294" s="46">
        <f t="shared" si="69"/>
        <v>2881</v>
      </c>
      <c r="AG294" s="33" t="e">
        <f>IFERROR(AVERAGEIFS(data_brute!M:M,data_brute!J:J,"&gt;="&amp;AE294,data_brute!J:J,"&lt;="&amp;AF294),NA())</f>
        <v>#N/A</v>
      </c>
      <c r="AH294" s="46" t="e">
        <f t="shared" si="70"/>
        <v>#N/A</v>
      </c>
      <c r="AJ294" s="46">
        <f t="shared" si="76"/>
        <v>2872</v>
      </c>
      <c r="AK294" s="46">
        <f t="shared" si="77"/>
        <v>2881</v>
      </c>
      <c r="AL294" s="33">
        <f ca="1">IFERROR(AVERAGEIFS(data_brute!M:M,data_brute!J:J,"&lt;="&amp;AK294),NA())</f>
        <v>25.353524229074896</v>
      </c>
      <c r="AM294" s="46">
        <f t="shared" ca="1" si="78"/>
        <v>2880</v>
      </c>
      <c r="AN294" s="46" t="b">
        <f t="shared" si="79"/>
        <v>0</v>
      </c>
      <c r="AO294" s="50" t="b">
        <f t="shared" si="80"/>
        <v>0</v>
      </c>
    </row>
    <row r="295" spans="21:41" x14ac:dyDescent="0.2">
      <c r="U295" s="46">
        <f t="shared" si="71"/>
        <v>2882</v>
      </c>
      <c r="V295" s="46">
        <f t="shared" si="72"/>
        <v>2891</v>
      </c>
      <c r="W295" s="33" t="e">
        <f>IFERROR(AVERAGEIFS(data_brute!M:M,data_brute!J:J,"&lt;="&amp;V295,data_brute!J:J,"&gt;="&amp;U295),NA())</f>
        <v>#N/A</v>
      </c>
      <c r="X295" s="46" t="e">
        <f t="shared" si="73"/>
        <v>#N/A</v>
      </c>
      <c r="Y295" s="2" t="b">
        <f t="shared" si="74"/>
        <v>0</v>
      </c>
      <c r="Z295" s="2" t="b">
        <f t="shared" si="75"/>
        <v>0</v>
      </c>
      <c r="AE295" s="46">
        <f t="shared" si="68"/>
        <v>2882</v>
      </c>
      <c r="AF295" s="46">
        <f t="shared" si="69"/>
        <v>2891</v>
      </c>
      <c r="AG295" s="33" t="e">
        <f>IFERROR(AVERAGEIFS(data_brute!M:M,data_brute!J:J,"&gt;="&amp;AE295,data_brute!J:J,"&lt;="&amp;AF295),NA())</f>
        <v>#N/A</v>
      </c>
      <c r="AH295" s="46" t="e">
        <f t="shared" si="70"/>
        <v>#N/A</v>
      </c>
      <c r="AJ295" s="46">
        <f t="shared" si="76"/>
        <v>2882</v>
      </c>
      <c r="AK295" s="46">
        <f t="shared" si="77"/>
        <v>2891</v>
      </c>
      <c r="AL295" s="33">
        <f ca="1">IFERROR(AVERAGEIFS(data_brute!M:M,data_brute!J:J,"&lt;="&amp;AK295),NA())</f>
        <v>25.353524229074896</v>
      </c>
      <c r="AM295" s="46">
        <f t="shared" ca="1" si="78"/>
        <v>2890</v>
      </c>
      <c r="AN295" s="46" t="b">
        <f t="shared" si="79"/>
        <v>0</v>
      </c>
      <c r="AO295" s="50" t="b">
        <f t="shared" si="80"/>
        <v>0</v>
      </c>
    </row>
    <row r="296" spans="21:41" x14ac:dyDescent="0.2">
      <c r="U296" s="46">
        <f t="shared" si="71"/>
        <v>2892</v>
      </c>
      <c r="V296" s="46">
        <f t="shared" si="72"/>
        <v>2901</v>
      </c>
      <c r="W296" s="33" t="e">
        <f>IFERROR(AVERAGEIFS(data_brute!M:M,data_brute!J:J,"&lt;="&amp;V296,data_brute!J:J,"&gt;="&amp;U296),NA())</f>
        <v>#N/A</v>
      </c>
      <c r="X296" s="46" t="e">
        <f t="shared" si="73"/>
        <v>#N/A</v>
      </c>
      <c r="Y296" s="2" t="b">
        <f t="shared" si="74"/>
        <v>0</v>
      </c>
      <c r="Z296" s="2" t="b">
        <f t="shared" si="75"/>
        <v>0</v>
      </c>
      <c r="AE296" s="46">
        <f t="shared" si="68"/>
        <v>2892</v>
      </c>
      <c r="AF296" s="46">
        <f t="shared" si="69"/>
        <v>2901</v>
      </c>
      <c r="AG296" s="33" t="e">
        <f>IFERROR(AVERAGEIFS(data_brute!M:M,data_brute!J:J,"&gt;="&amp;AE296,data_brute!J:J,"&lt;="&amp;AF296),NA())</f>
        <v>#N/A</v>
      </c>
      <c r="AH296" s="46" t="e">
        <f t="shared" si="70"/>
        <v>#N/A</v>
      </c>
      <c r="AJ296" s="46">
        <f t="shared" si="76"/>
        <v>2892</v>
      </c>
      <c r="AK296" s="46">
        <f t="shared" si="77"/>
        <v>2901</v>
      </c>
      <c r="AL296" s="33">
        <f ca="1">IFERROR(AVERAGEIFS(data_brute!M:M,data_brute!J:J,"&lt;="&amp;AK296),NA())</f>
        <v>25.353524229074896</v>
      </c>
      <c r="AM296" s="46">
        <f t="shared" ca="1" si="78"/>
        <v>2900</v>
      </c>
      <c r="AN296" s="46" t="b">
        <f t="shared" si="79"/>
        <v>0</v>
      </c>
      <c r="AO296" s="50" t="b">
        <f t="shared" si="80"/>
        <v>0</v>
      </c>
    </row>
    <row r="297" spans="21:41" x14ac:dyDescent="0.2">
      <c r="U297" s="46">
        <f t="shared" si="71"/>
        <v>2902</v>
      </c>
      <c r="V297" s="46">
        <f t="shared" si="72"/>
        <v>2911</v>
      </c>
      <c r="W297" s="33" t="e">
        <f>IFERROR(AVERAGEIFS(data_brute!M:M,data_brute!J:J,"&lt;="&amp;V297,data_brute!J:J,"&gt;="&amp;U297),NA())</f>
        <v>#N/A</v>
      </c>
      <c r="X297" s="46" t="e">
        <f t="shared" si="73"/>
        <v>#N/A</v>
      </c>
      <c r="Y297" s="2" t="b">
        <f t="shared" si="74"/>
        <v>0</v>
      </c>
      <c r="Z297" s="2" t="b">
        <f t="shared" si="75"/>
        <v>0</v>
      </c>
      <c r="AE297" s="46">
        <f t="shared" si="68"/>
        <v>2902</v>
      </c>
      <c r="AF297" s="46">
        <f t="shared" si="69"/>
        <v>2911</v>
      </c>
      <c r="AG297" s="33" t="e">
        <f>IFERROR(AVERAGEIFS(data_brute!M:M,data_brute!J:J,"&gt;="&amp;AE297,data_brute!J:J,"&lt;="&amp;AF297),NA())</f>
        <v>#N/A</v>
      </c>
      <c r="AH297" s="46" t="e">
        <f t="shared" si="70"/>
        <v>#N/A</v>
      </c>
      <c r="AJ297" s="46">
        <f t="shared" si="76"/>
        <v>2902</v>
      </c>
      <c r="AK297" s="46">
        <f t="shared" si="77"/>
        <v>2911</v>
      </c>
      <c r="AL297" s="33">
        <f ca="1">IFERROR(AVERAGEIFS(data_brute!M:M,data_brute!J:J,"&lt;="&amp;AK297),NA())</f>
        <v>25.353524229074896</v>
      </c>
      <c r="AM297" s="46">
        <f t="shared" ca="1" si="78"/>
        <v>2910</v>
      </c>
      <c r="AN297" s="46" t="b">
        <f t="shared" si="79"/>
        <v>0</v>
      </c>
      <c r="AO297" s="50" t="b">
        <f t="shared" si="80"/>
        <v>0</v>
      </c>
    </row>
    <row r="298" spans="21:41" x14ac:dyDescent="0.2">
      <c r="U298" s="46">
        <f t="shared" si="71"/>
        <v>2912</v>
      </c>
      <c r="V298" s="46">
        <f t="shared" si="72"/>
        <v>2921</v>
      </c>
      <c r="W298" s="33" t="e">
        <f>IFERROR(AVERAGEIFS(data_brute!M:M,data_brute!J:J,"&lt;="&amp;V298,data_brute!J:J,"&gt;="&amp;U298),NA())</f>
        <v>#N/A</v>
      </c>
      <c r="X298" s="46" t="e">
        <f t="shared" si="73"/>
        <v>#N/A</v>
      </c>
      <c r="Y298" s="2" t="b">
        <f t="shared" si="74"/>
        <v>0</v>
      </c>
      <c r="Z298" s="2" t="b">
        <f t="shared" si="75"/>
        <v>0</v>
      </c>
      <c r="AE298" s="46">
        <f t="shared" si="68"/>
        <v>2912</v>
      </c>
      <c r="AF298" s="46">
        <f t="shared" si="69"/>
        <v>2921</v>
      </c>
      <c r="AG298" s="33" t="e">
        <f>IFERROR(AVERAGEIFS(data_brute!M:M,data_brute!J:J,"&gt;="&amp;AE298,data_brute!J:J,"&lt;="&amp;AF298),NA())</f>
        <v>#N/A</v>
      </c>
      <c r="AH298" s="46" t="e">
        <f t="shared" si="70"/>
        <v>#N/A</v>
      </c>
      <c r="AJ298" s="46">
        <f t="shared" si="76"/>
        <v>2912</v>
      </c>
      <c r="AK298" s="46">
        <f t="shared" si="77"/>
        <v>2921</v>
      </c>
      <c r="AL298" s="33">
        <f ca="1">IFERROR(AVERAGEIFS(data_brute!M:M,data_brute!J:J,"&lt;="&amp;AK298),NA())</f>
        <v>25.353524229074896</v>
      </c>
      <c r="AM298" s="46">
        <f t="shared" ca="1" si="78"/>
        <v>2920</v>
      </c>
      <c r="AN298" s="46" t="b">
        <f t="shared" si="79"/>
        <v>0</v>
      </c>
      <c r="AO298" s="50" t="b">
        <f t="shared" si="80"/>
        <v>0</v>
      </c>
    </row>
    <row r="299" spans="21:41" x14ac:dyDescent="0.2">
      <c r="U299" s="46">
        <f t="shared" si="71"/>
        <v>2922</v>
      </c>
      <c r="V299" s="46">
        <f t="shared" si="72"/>
        <v>2931</v>
      </c>
      <c r="W299" s="33" t="e">
        <f>IFERROR(AVERAGEIFS(data_brute!M:M,data_brute!J:J,"&lt;="&amp;V299,data_brute!J:J,"&gt;="&amp;U299),NA())</f>
        <v>#N/A</v>
      </c>
      <c r="X299" s="46" t="e">
        <f t="shared" si="73"/>
        <v>#N/A</v>
      </c>
      <c r="Y299" s="2" t="b">
        <f t="shared" si="74"/>
        <v>0</v>
      </c>
      <c r="Z299" s="2" t="b">
        <f t="shared" si="75"/>
        <v>0</v>
      </c>
      <c r="AE299" s="46">
        <f t="shared" si="68"/>
        <v>2922</v>
      </c>
      <c r="AF299" s="46">
        <f t="shared" si="69"/>
        <v>2931</v>
      </c>
      <c r="AG299" s="33" t="e">
        <f>IFERROR(AVERAGEIFS(data_brute!M:M,data_brute!J:J,"&gt;="&amp;AE299,data_brute!J:J,"&lt;="&amp;AF299),NA())</f>
        <v>#N/A</v>
      </c>
      <c r="AH299" s="46" t="e">
        <f t="shared" si="70"/>
        <v>#N/A</v>
      </c>
      <c r="AJ299" s="46">
        <f t="shared" si="76"/>
        <v>2922</v>
      </c>
      <c r="AK299" s="46">
        <f t="shared" si="77"/>
        <v>2931</v>
      </c>
      <c r="AL299" s="33">
        <f ca="1">IFERROR(AVERAGEIFS(data_brute!M:M,data_brute!J:J,"&lt;="&amp;AK299),NA())</f>
        <v>25.353524229074896</v>
      </c>
      <c r="AM299" s="46">
        <f t="shared" ca="1" si="78"/>
        <v>2930</v>
      </c>
      <c r="AN299" s="46" t="b">
        <f t="shared" si="79"/>
        <v>0</v>
      </c>
      <c r="AO299" s="50" t="b">
        <f t="shared" si="80"/>
        <v>0</v>
      </c>
    </row>
    <row r="300" spans="21:41" x14ac:dyDescent="0.2">
      <c r="U300" s="46">
        <f t="shared" si="71"/>
        <v>2932</v>
      </c>
      <c r="V300" s="46">
        <f t="shared" si="72"/>
        <v>2941</v>
      </c>
      <c r="W300" s="33" t="e">
        <f>IFERROR(AVERAGEIFS(data_brute!M:M,data_brute!J:J,"&lt;="&amp;V300,data_brute!J:J,"&gt;="&amp;U300),NA())</f>
        <v>#N/A</v>
      </c>
      <c r="X300" s="46" t="e">
        <f t="shared" si="73"/>
        <v>#N/A</v>
      </c>
      <c r="Y300" s="2" t="b">
        <f t="shared" si="74"/>
        <v>0</v>
      </c>
      <c r="Z300" s="2" t="b">
        <f t="shared" si="75"/>
        <v>0</v>
      </c>
      <c r="AE300" s="46">
        <f t="shared" si="68"/>
        <v>2932</v>
      </c>
      <c r="AF300" s="46">
        <f t="shared" si="69"/>
        <v>2941</v>
      </c>
      <c r="AG300" s="33" t="e">
        <f>IFERROR(AVERAGEIFS(data_brute!M:M,data_brute!J:J,"&gt;="&amp;AE300,data_brute!J:J,"&lt;="&amp;AF300),NA())</f>
        <v>#N/A</v>
      </c>
      <c r="AH300" s="46" t="e">
        <f t="shared" si="70"/>
        <v>#N/A</v>
      </c>
      <c r="AJ300" s="46">
        <f t="shared" si="76"/>
        <v>2932</v>
      </c>
      <c r="AK300" s="46">
        <f t="shared" si="77"/>
        <v>2941</v>
      </c>
      <c r="AL300" s="33">
        <f ca="1">IFERROR(AVERAGEIFS(data_brute!M:M,data_brute!J:J,"&lt;="&amp;AK300),NA())</f>
        <v>25.353524229074896</v>
      </c>
      <c r="AM300" s="46">
        <f t="shared" ca="1" si="78"/>
        <v>2940</v>
      </c>
      <c r="AN300" s="46" t="b">
        <f t="shared" si="79"/>
        <v>0</v>
      </c>
      <c r="AO300" s="50" t="b">
        <f t="shared" si="80"/>
        <v>0</v>
      </c>
    </row>
    <row r="301" spans="21:41" x14ac:dyDescent="0.2">
      <c r="U301" s="46">
        <f t="shared" si="71"/>
        <v>2942</v>
      </c>
      <c r="V301" s="46">
        <f t="shared" si="72"/>
        <v>2951</v>
      </c>
      <c r="W301" s="33" t="e">
        <f>IFERROR(AVERAGEIFS(data_brute!M:M,data_brute!J:J,"&lt;="&amp;V301,data_brute!J:J,"&gt;="&amp;U301),NA())</f>
        <v>#N/A</v>
      </c>
      <c r="X301" s="46" t="e">
        <f t="shared" si="73"/>
        <v>#N/A</v>
      </c>
      <c r="Y301" s="2" t="b">
        <f t="shared" si="74"/>
        <v>0</v>
      </c>
      <c r="Z301" s="2" t="b">
        <f t="shared" si="75"/>
        <v>0</v>
      </c>
      <c r="AE301" s="46">
        <f t="shared" si="68"/>
        <v>2942</v>
      </c>
      <c r="AF301" s="46">
        <f t="shared" si="69"/>
        <v>2951</v>
      </c>
      <c r="AG301" s="33" t="e">
        <f>IFERROR(AVERAGEIFS(data_brute!M:M,data_brute!J:J,"&gt;="&amp;AE301,data_brute!J:J,"&lt;="&amp;AF301),NA())</f>
        <v>#N/A</v>
      </c>
      <c r="AH301" s="46" t="e">
        <f t="shared" si="70"/>
        <v>#N/A</v>
      </c>
      <c r="AJ301" s="46">
        <f t="shared" si="76"/>
        <v>2942</v>
      </c>
      <c r="AK301" s="46">
        <f t="shared" si="77"/>
        <v>2951</v>
      </c>
      <c r="AL301" s="33">
        <f ca="1">IFERROR(AVERAGEIFS(data_brute!M:M,data_brute!J:J,"&lt;="&amp;AK301),NA())</f>
        <v>25.353524229074896</v>
      </c>
      <c r="AM301" s="46">
        <f t="shared" ca="1" si="78"/>
        <v>2950</v>
      </c>
      <c r="AN301" s="46" t="b">
        <f t="shared" si="79"/>
        <v>0</v>
      </c>
      <c r="AO301" s="50" t="b">
        <f t="shared" si="80"/>
        <v>0</v>
      </c>
    </row>
    <row r="302" spans="21:41" x14ac:dyDescent="0.2">
      <c r="U302" s="46">
        <f t="shared" si="71"/>
        <v>2952</v>
      </c>
      <c r="V302" s="46">
        <f t="shared" si="72"/>
        <v>2961</v>
      </c>
      <c r="W302" s="33" t="e">
        <f>IFERROR(AVERAGEIFS(data_brute!M:M,data_brute!J:J,"&lt;="&amp;V302,data_brute!J:J,"&gt;="&amp;U302),NA())</f>
        <v>#N/A</v>
      </c>
      <c r="X302" s="46" t="e">
        <f t="shared" si="73"/>
        <v>#N/A</v>
      </c>
      <c r="Y302" s="2" t="b">
        <f t="shared" si="74"/>
        <v>0</v>
      </c>
      <c r="Z302" s="2" t="b">
        <f t="shared" si="75"/>
        <v>0</v>
      </c>
      <c r="AE302" s="46">
        <f t="shared" si="68"/>
        <v>2952</v>
      </c>
      <c r="AF302" s="46">
        <f t="shared" si="69"/>
        <v>2961</v>
      </c>
      <c r="AG302" s="33" t="e">
        <f>IFERROR(AVERAGEIFS(data_brute!M:M,data_brute!J:J,"&gt;="&amp;AE302,data_brute!J:J,"&lt;="&amp;AF302),NA())</f>
        <v>#N/A</v>
      </c>
      <c r="AH302" s="46" t="e">
        <f t="shared" si="70"/>
        <v>#N/A</v>
      </c>
      <c r="AJ302" s="46">
        <f t="shared" si="76"/>
        <v>2952</v>
      </c>
      <c r="AK302" s="46">
        <f t="shared" si="77"/>
        <v>2961</v>
      </c>
      <c r="AL302" s="33">
        <f ca="1">IFERROR(AVERAGEIFS(data_brute!M:M,data_brute!J:J,"&lt;="&amp;AK302),NA())</f>
        <v>25.353524229074896</v>
      </c>
      <c r="AM302" s="46">
        <f t="shared" ca="1" si="78"/>
        <v>2960</v>
      </c>
      <c r="AN302" s="46" t="b">
        <f t="shared" si="79"/>
        <v>0</v>
      </c>
      <c r="AO302" s="50" t="b">
        <f t="shared" si="80"/>
        <v>0</v>
      </c>
    </row>
    <row r="303" spans="21:41" x14ac:dyDescent="0.2">
      <c r="U303" s="46">
        <f t="shared" si="71"/>
        <v>2962</v>
      </c>
      <c r="V303" s="46">
        <f t="shared" si="72"/>
        <v>2971</v>
      </c>
      <c r="W303" s="33" t="e">
        <f>IFERROR(AVERAGEIFS(data_brute!M:M,data_brute!J:J,"&lt;="&amp;V303,data_brute!J:J,"&gt;="&amp;U303),NA())</f>
        <v>#N/A</v>
      </c>
      <c r="X303" s="46" t="e">
        <f t="shared" si="73"/>
        <v>#N/A</v>
      </c>
      <c r="Y303" s="2" t="b">
        <f t="shared" si="74"/>
        <v>0</v>
      </c>
      <c r="Z303" s="2" t="b">
        <f t="shared" si="75"/>
        <v>0</v>
      </c>
      <c r="AE303" s="46">
        <f t="shared" si="68"/>
        <v>2962</v>
      </c>
      <c r="AF303" s="46">
        <f t="shared" si="69"/>
        <v>2971</v>
      </c>
      <c r="AG303" s="33" t="e">
        <f>IFERROR(AVERAGEIFS(data_brute!M:M,data_brute!J:J,"&gt;="&amp;AE303,data_brute!J:J,"&lt;="&amp;AF303),NA())</f>
        <v>#N/A</v>
      </c>
      <c r="AH303" s="46" t="e">
        <f t="shared" si="70"/>
        <v>#N/A</v>
      </c>
      <c r="AJ303" s="46">
        <f t="shared" si="76"/>
        <v>2962</v>
      </c>
      <c r="AK303" s="46">
        <f t="shared" si="77"/>
        <v>2971</v>
      </c>
      <c r="AL303" s="33">
        <f ca="1">IFERROR(AVERAGEIFS(data_brute!M:M,data_brute!J:J,"&lt;="&amp;AK303),NA())</f>
        <v>25.353524229074896</v>
      </c>
      <c r="AM303" s="46">
        <f t="shared" ca="1" si="78"/>
        <v>2970</v>
      </c>
      <c r="AN303" s="46" t="b">
        <f t="shared" si="79"/>
        <v>0</v>
      </c>
      <c r="AO303" s="50" t="b">
        <f t="shared" si="80"/>
        <v>0</v>
      </c>
    </row>
    <row r="304" spans="21:41" x14ac:dyDescent="0.2">
      <c r="U304" s="46">
        <f t="shared" si="71"/>
        <v>2972</v>
      </c>
      <c r="V304" s="46">
        <f t="shared" si="72"/>
        <v>2981</v>
      </c>
      <c r="W304" s="33" t="e">
        <f>IFERROR(AVERAGEIFS(data_brute!M:M,data_brute!J:J,"&lt;="&amp;V304,data_brute!J:J,"&gt;="&amp;U304),NA())</f>
        <v>#N/A</v>
      </c>
      <c r="X304" s="46" t="e">
        <f t="shared" si="73"/>
        <v>#N/A</v>
      </c>
      <c r="Y304" s="2" t="b">
        <f t="shared" si="74"/>
        <v>0</v>
      </c>
      <c r="Z304" s="2" t="b">
        <f t="shared" si="75"/>
        <v>0</v>
      </c>
      <c r="AE304" s="46">
        <f t="shared" si="68"/>
        <v>2972</v>
      </c>
      <c r="AF304" s="46">
        <f t="shared" si="69"/>
        <v>2981</v>
      </c>
      <c r="AG304" s="33" t="e">
        <f>IFERROR(AVERAGEIFS(data_brute!M:M,data_brute!J:J,"&gt;="&amp;AE304,data_brute!J:J,"&lt;="&amp;AF304),NA())</f>
        <v>#N/A</v>
      </c>
      <c r="AH304" s="46" t="e">
        <f t="shared" si="70"/>
        <v>#N/A</v>
      </c>
      <c r="AJ304" s="46">
        <f t="shared" si="76"/>
        <v>2972</v>
      </c>
      <c r="AK304" s="46">
        <f t="shared" si="77"/>
        <v>2981</v>
      </c>
      <c r="AL304" s="33">
        <f ca="1">IFERROR(AVERAGEIFS(data_brute!M:M,data_brute!J:J,"&lt;="&amp;AK304),NA())</f>
        <v>25.353524229074896</v>
      </c>
      <c r="AM304" s="46">
        <f t="shared" ca="1" si="78"/>
        <v>2980</v>
      </c>
      <c r="AN304" s="46" t="b">
        <f t="shared" si="79"/>
        <v>0</v>
      </c>
      <c r="AO304" s="50" t="b">
        <f t="shared" si="80"/>
        <v>0</v>
      </c>
    </row>
    <row r="305" spans="21:41" x14ac:dyDescent="0.2">
      <c r="U305" s="46">
        <f t="shared" si="71"/>
        <v>2982</v>
      </c>
      <c r="V305" s="46">
        <f t="shared" si="72"/>
        <v>2991</v>
      </c>
      <c r="W305" s="33" t="e">
        <f>IFERROR(AVERAGEIFS(data_brute!M:M,data_brute!J:J,"&lt;="&amp;V305,data_brute!J:J,"&gt;="&amp;U305),NA())</f>
        <v>#N/A</v>
      </c>
      <c r="X305" s="46" t="e">
        <f t="shared" si="73"/>
        <v>#N/A</v>
      </c>
      <c r="Y305" s="2" t="b">
        <f t="shared" si="74"/>
        <v>0</v>
      </c>
      <c r="Z305" s="2" t="b">
        <f t="shared" si="75"/>
        <v>0</v>
      </c>
      <c r="AE305" s="46">
        <f t="shared" si="68"/>
        <v>2982</v>
      </c>
      <c r="AF305" s="46">
        <f t="shared" si="69"/>
        <v>2991</v>
      </c>
      <c r="AG305" s="33" t="e">
        <f>IFERROR(AVERAGEIFS(data_brute!M:M,data_brute!J:J,"&gt;="&amp;AE305,data_brute!J:J,"&lt;="&amp;AF305),NA())</f>
        <v>#N/A</v>
      </c>
      <c r="AH305" s="46" t="e">
        <f t="shared" si="70"/>
        <v>#N/A</v>
      </c>
      <c r="AJ305" s="46">
        <f t="shared" si="76"/>
        <v>2982</v>
      </c>
      <c r="AK305" s="46">
        <f t="shared" si="77"/>
        <v>2991</v>
      </c>
      <c r="AL305" s="33">
        <f ca="1">IFERROR(AVERAGEIFS(data_brute!M:M,data_brute!J:J,"&lt;="&amp;AK305),NA())</f>
        <v>25.353524229074896</v>
      </c>
      <c r="AM305" s="46">
        <f t="shared" ca="1" si="78"/>
        <v>2990</v>
      </c>
      <c r="AN305" s="46" t="b">
        <f t="shared" si="79"/>
        <v>0</v>
      </c>
      <c r="AO305" s="50" t="b">
        <f t="shared" si="80"/>
        <v>0</v>
      </c>
    </row>
    <row r="306" spans="21:41" x14ac:dyDescent="0.2">
      <c r="U306" s="46">
        <f t="shared" si="71"/>
        <v>2992</v>
      </c>
      <c r="V306" s="46">
        <f t="shared" si="72"/>
        <v>3001</v>
      </c>
      <c r="W306" s="33" t="e">
        <f>IFERROR(AVERAGEIFS(data_brute!M:M,data_brute!J:J,"&lt;="&amp;V306,data_brute!J:J,"&gt;="&amp;U306),NA())</f>
        <v>#N/A</v>
      </c>
      <c r="X306" s="46" t="e">
        <f t="shared" si="73"/>
        <v>#N/A</v>
      </c>
      <c r="Y306" s="2" t="b">
        <f t="shared" si="74"/>
        <v>0</v>
      </c>
      <c r="Z306" s="2" t="b">
        <f t="shared" si="75"/>
        <v>0</v>
      </c>
      <c r="AE306" s="46">
        <f t="shared" si="68"/>
        <v>2992</v>
      </c>
      <c r="AF306" s="46">
        <f t="shared" si="69"/>
        <v>3001</v>
      </c>
      <c r="AG306" s="33" t="e">
        <f>IFERROR(AVERAGEIFS(data_brute!M:M,data_brute!J:J,"&gt;="&amp;AE306,data_brute!J:J,"&lt;="&amp;AF306),NA())</f>
        <v>#N/A</v>
      </c>
      <c r="AH306" s="46" t="e">
        <f t="shared" si="70"/>
        <v>#N/A</v>
      </c>
      <c r="AJ306" s="46">
        <f t="shared" si="76"/>
        <v>2992</v>
      </c>
      <c r="AK306" s="46">
        <f t="shared" si="77"/>
        <v>3001</v>
      </c>
      <c r="AL306" s="33">
        <f ca="1">IFERROR(AVERAGEIFS(data_brute!M:M,data_brute!J:J,"&lt;="&amp;AK306),NA())</f>
        <v>25.353524229074896</v>
      </c>
      <c r="AM306" s="46">
        <f t="shared" ca="1" si="78"/>
        <v>3000</v>
      </c>
      <c r="AN306" s="46" t="b">
        <f t="shared" si="79"/>
        <v>0</v>
      </c>
      <c r="AO306" s="50" t="b">
        <f t="shared" si="80"/>
        <v>0</v>
      </c>
    </row>
    <row r="307" spans="21:41" x14ac:dyDescent="0.2">
      <c r="U307" s="46">
        <f t="shared" si="71"/>
        <v>3002</v>
      </c>
      <c r="V307" s="46">
        <f t="shared" si="72"/>
        <v>3011</v>
      </c>
      <c r="W307" s="33" t="e">
        <f>IFERROR(AVERAGEIFS(data_brute!M:M,data_brute!J:J,"&lt;="&amp;V307,data_brute!J:J,"&gt;="&amp;U307),NA())</f>
        <v>#N/A</v>
      </c>
      <c r="X307" s="46" t="e">
        <f t="shared" si="73"/>
        <v>#N/A</v>
      </c>
      <c r="Y307" s="2" t="b">
        <f t="shared" si="74"/>
        <v>0</v>
      </c>
      <c r="Z307" s="2" t="b">
        <f t="shared" si="75"/>
        <v>0</v>
      </c>
      <c r="AE307" s="46">
        <f t="shared" si="68"/>
        <v>3002</v>
      </c>
      <c r="AF307" s="46">
        <f t="shared" si="69"/>
        <v>3011</v>
      </c>
      <c r="AG307" s="33" t="e">
        <f>IFERROR(AVERAGEIFS(data_brute!M:M,data_brute!J:J,"&gt;="&amp;AE307,data_brute!J:J,"&lt;="&amp;AF307),NA())</f>
        <v>#N/A</v>
      </c>
      <c r="AH307" s="46" t="e">
        <f t="shared" si="70"/>
        <v>#N/A</v>
      </c>
      <c r="AJ307" s="46">
        <f t="shared" si="76"/>
        <v>3002</v>
      </c>
      <c r="AK307" s="46">
        <f t="shared" si="77"/>
        <v>3011</v>
      </c>
      <c r="AL307" s="33">
        <f ca="1">IFERROR(AVERAGEIFS(data_brute!M:M,data_brute!J:J,"&lt;="&amp;AK307),NA())</f>
        <v>25.353524229074896</v>
      </c>
      <c r="AM307" s="46">
        <f t="shared" ca="1" si="78"/>
        <v>3010</v>
      </c>
      <c r="AN307" s="46" t="b">
        <f t="shared" si="79"/>
        <v>0</v>
      </c>
      <c r="AO307" s="50" t="b">
        <f t="shared" si="80"/>
        <v>0</v>
      </c>
    </row>
    <row r="308" spans="21:41" x14ac:dyDescent="0.2">
      <c r="U308" s="46">
        <f t="shared" si="71"/>
        <v>3012</v>
      </c>
      <c r="V308" s="46">
        <f t="shared" si="72"/>
        <v>3021</v>
      </c>
      <c r="W308" s="33" t="e">
        <f>IFERROR(AVERAGEIFS(data_brute!M:M,data_brute!J:J,"&lt;="&amp;V308,data_brute!J:J,"&gt;="&amp;U308),NA())</f>
        <v>#N/A</v>
      </c>
      <c r="X308" s="46" t="e">
        <f t="shared" si="73"/>
        <v>#N/A</v>
      </c>
      <c r="Y308" s="2" t="b">
        <f t="shared" si="74"/>
        <v>0</v>
      </c>
      <c r="Z308" s="2" t="b">
        <f t="shared" si="75"/>
        <v>0</v>
      </c>
      <c r="AE308" s="46">
        <f t="shared" si="68"/>
        <v>3012</v>
      </c>
      <c r="AF308" s="46">
        <f t="shared" si="69"/>
        <v>3021</v>
      </c>
      <c r="AG308" s="33" t="e">
        <f>IFERROR(AVERAGEIFS(data_brute!M:M,data_brute!J:J,"&gt;="&amp;AE308,data_brute!J:J,"&lt;="&amp;AF308),NA())</f>
        <v>#N/A</v>
      </c>
      <c r="AH308" s="46" t="e">
        <f t="shared" si="70"/>
        <v>#N/A</v>
      </c>
      <c r="AJ308" s="46">
        <f t="shared" si="76"/>
        <v>3012</v>
      </c>
      <c r="AK308" s="46">
        <f t="shared" si="77"/>
        <v>3021</v>
      </c>
      <c r="AL308" s="33">
        <f ca="1">IFERROR(AVERAGEIFS(data_brute!M:M,data_brute!J:J,"&lt;="&amp;AK308),NA())</f>
        <v>25.353524229074896</v>
      </c>
      <c r="AM308" s="46">
        <f t="shared" ca="1" si="78"/>
        <v>3020</v>
      </c>
      <c r="AN308" s="46" t="b">
        <f t="shared" si="79"/>
        <v>0</v>
      </c>
      <c r="AO308" s="50" t="b">
        <f t="shared" si="80"/>
        <v>0</v>
      </c>
    </row>
    <row r="309" spans="21:41" x14ac:dyDescent="0.2">
      <c r="U309" s="46">
        <f t="shared" si="71"/>
        <v>3022</v>
      </c>
      <c r="V309" s="46">
        <f t="shared" si="72"/>
        <v>3031</v>
      </c>
      <c r="W309" s="33" t="e">
        <f>IFERROR(AVERAGEIFS(data_brute!M:M,data_brute!J:J,"&lt;="&amp;V309,data_brute!J:J,"&gt;="&amp;U309),NA())</f>
        <v>#N/A</v>
      </c>
      <c r="X309" s="46" t="e">
        <f t="shared" si="73"/>
        <v>#N/A</v>
      </c>
      <c r="Y309" s="2" t="b">
        <f t="shared" si="74"/>
        <v>0</v>
      </c>
      <c r="Z309" s="2" t="b">
        <f t="shared" si="75"/>
        <v>0</v>
      </c>
      <c r="AE309" s="46">
        <f t="shared" si="68"/>
        <v>3022</v>
      </c>
      <c r="AF309" s="46">
        <f t="shared" si="69"/>
        <v>3031</v>
      </c>
      <c r="AG309" s="33" t="e">
        <f>IFERROR(AVERAGEIFS(data_brute!M:M,data_brute!J:J,"&gt;="&amp;AE309,data_brute!J:J,"&lt;="&amp;AF309),NA())</f>
        <v>#N/A</v>
      </c>
      <c r="AH309" s="46" t="e">
        <f t="shared" si="70"/>
        <v>#N/A</v>
      </c>
      <c r="AJ309" s="46">
        <f t="shared" si="76"/>
        <v>3022</v>
      </c>
      <c r="AK309" s="46">
        <f t="shared" si="77"/>
        <v>3031</v>
      </c>
      <c r="AL309" s="33">
        <f ca="1">IFERROR(AVERAGEIFS(data_brute!M:M,data_brute!J:J,"&lt;="&amp;AK309),NA())</f>
        <v>25.353524229074896</v>
      </c>
      <c r="AM309" s="46">
        <f t="shared" ca="1" si="78"/>
        <v>3030</v>
      </c>
      <c r="AN309" s="46" t="b">
        <f t="shared" si="79"/>
        <v>0</v>
      </c>
      <c r="AO309" s="50" t="b">
        <f t="shared" si="80"/>
        <v>0</v>
      </c>
    </row>
    <row r="310" spans="21:41" x14ac:dyDescent="0.2">
      <c r="U310" s="46">
        <f t="shared" si="71"/>
        <v>3032</v>
      </c>
      <c r="V310" s="46">
        <f t="shared" si="72"/>
        <v>3041</v>
      </c>
      <c r="W310" s="33" t="e">
        <f>IFERROR(AVERAGEIFS(data_brute!M:M,data_brute!J:J,"&lt;="&amp;V310,data_brute!J:J,"&gt;="&amp;U310),NA())</f>
        <v>#N/A</v>
      </c>
      <c r="X310" s="46" t="e">
        <f t="shared" si="73"/>
        <v>#N/A</v>
      </c>
      <c r="Y310" s="2" t="b">
        <f t="shared" si="74"/>
        <v>0</v>
      </c>
      <c r="Z310" s="2" t="b">
        <f t="shared" si="75"/>
        <v>0</v>
      </c>
      <c r="AE310" s="46">
        <f t="shared" si="68"/>
        <v>3032</v>
      </c>
      <c r="AF310" s="46">
        <f t="shared" si="69"/>
        <v>3041</v>
      </c>
      <c r="AG310" s="33" t="e">
        <f>IFERROR(AVERAGEIFS(data_brute!M:M,data_brute!J:J,"&gt;="&amp;AE310,data_brute!J:J,"&lt;="&amp;AF310),NA())</f>
        <v>#N/A</v>
      </c>
      <c r="AH310" s="46" t="e">
        <f t="shared" si="70"/>
        <v>#N/A</v>
      </c>
      <c r="AJ310" s="46">
        <f t="shared" si="76"/>
        <v>3032</v>
      </c>
      <c r="AK310" s="46">
        <f t="shared" si="77"/>
        <v>3041</v>
      </c>
      <c r="AL310" s="33">
        <f ca="1">IFERROR(AVERAGEIFS(data_brute!M:M,data_brute!J:J,"&lt;="&amp;AK310),NA())</f>
        <v>25.353524229074896</v>
      </c>
      <c r="AM310" s="46">
        <f t="shared" ca="1" si="78"/>
        <v>3040</v>
      </c>
      <c r="AN310" s="46" t="b">
        <f t="shared" si="79"/>
        <v>0</v>
      </c>
      <c r="AO310" s="50" t="b">
        <f t="shared" si="80"/>
        <v>0</v>
      </c>
    </row>
    <row r="311" spans="21:41" x14ac:dyDescent="0.2">
      <c r="U311" s="46">
        <f t="shared" si="71"/>
        <v>3042</v>
      </c>
      <c r="V311" s="46">
        <f t="shared" si="72"/>
        <v>3051</v>
      </c>
      <c r="W311" s="33" t="e">
        <f>IFERROR(AVERAGEIFS(data_brute!M:M,data_brute!J:J,"&lt;="&amp;V311,data_brute!J:J,"&gt;="&amp;U311),NA())</f>
        <v>#N/A</v>
      </c>
      <c r="X311" s="46" t="e">
        <f t="shared" si="73"/>
        <v>#N/A</v>
      </c>
      <c r="Y311" s="2" t="b">
        <f t="shared" si="74"/>
        <v>0</v>
      </c>
      <c r="Z311" s="2" t="b">
        <f t="shared" si="75"/>
        <v>0</v>
      </c>
      <c r="AE311" s="46">
        <f t="shared" si="68"/>
        <v>3042</v>
      </c>
      <c r="AF311" s="46">
        <f t="shared" si="69"/>
        <v>3051</v>
      </c>
      <c r="AG311" s="33" t="e">
        <f>IFERROR(AVERAGEIFS(data_brute!M:M,data_brute!J:J,"&gt;="&amp;AE311,data_brute!J:J,"&lt;="&amp;AF311),NA())</f>
        <v>#N/A</v>
      </c>
      <c r="AH311" s="46" t="e">
        <f t="shared" si="70"/>
        <v>#N/A</v>
      </c>
      <c r="AJ311" s="46">
        <f t="shared" si="76"/>
        <v>3042</v>
      </c>
      <c r="AK311" s="46">
        <f t="shared" si="77"/>
        <v>3051</v>
      </c>
      <c r="AL311" s="33">
        <f ca="1">IFERROR(AVERAGEIFS(data_brute!M:M,data_brute!J:J,"&lt;="&amp;AK311),NA())</f>
        <v>25.353524229074896</v>
      </c>
      <c r="AM311" s="46">
        <f t="shared" ca="1" si="78"/>
        <v>3050</v>
      </c>
      <c r="AN311" s="46" t="b">
        <f t="shared" si="79"/>
        <v>0</v>
      </c>
      <c r="AO311" s="50" t="b">
        <f t="shared" si="80"/>
        <v>0</v>
      </c>
    </row>
    <row r="312" spans="21:41" x14ac:dyDescent="0.2">
      <c r="U312" s="46">
        <f t="shared" si="71"/>
        <v>3052</v>
      </c>
      <c r="V312" s="46">
        <f t="shared" si="72"/>
        <v>3061</v>
      </c>
      <c r="W312" s="33" t="e">
        <f>IFERROR(AVERAGEIFS(data_brute!M:M,data_brute!J:J,"&lt;="&amp;V312,data_brute!J:J,"&gt;="&amp;U312),NA())</f>
        <v>#N/A</v>
      </c>
      <c r="X312" s="46" t="e">
        <f t="shared" si="73"/>
        <v>#N/A</v>
      </c>
      <c r="Y312" s="2" t="b">
        <f t="shared" si="74"/>
        <v>0</v>
      </c>
      <c r="Z312" s="2" t="b">
        <f t="shared" si="75"/>
        <v>0</v>
      </c>
      <c r="AE312" s="46">
        <f t="shared" si="68"/>
        <v>3052</v>
      </c>
      <c r="AF312" s="46">
        <f t="shared" si="69"/>
        <v>3061</v>
      </c>
      <c r="AG312" s="33" t="e">
        <f>IFERROR(AVERAGEIFS(data_brute!M:M,data_brute!J:J,"&gt;="&amp;AE312,data_brute!J:J,"&lt;="&amp;AF312),NA())</f>
        <v>#N/A</v>
      </c>
      <c r="AH312" s="46" t="e">
        <f t="shared" si="70"/>
        <v>#N/A</v>
      </c>
      <c r="AJ312" s="46">
        <f t="shared" si="76"/>
        <v>3052</v>
      </c>
      <c r="AK312" s="46">
        <f t="shared" si="77"/>
        <v>3061</v>
      </c>
      <c r="AL312" s="33">
        <f ca="1">IFERROR(AVERAGEIFS(data_brute!M:M,data_brute!J:J,"&lt;="&amp;AK312),NA())</f>
        <v>25.353524229074896</v>
      </c>
      <c r="AM312" s="46">
        <f t="shared" ca="1" si="78"/>
        <v>3060</v>
      </c>
      <c r="AN312" s="46" t="b">
        <f t="shared" si="79"/>
        <v>0</v>
      </c>
      <c r="AO312" s="50" t="b">
        <f t="shared" si="80"/>
        <v>0</v>
      </c>
    </row>
    <row r="313" spans="21:41" x14ac:dyDescent="0.2">
      <c r="U313" s="46">
        <f t="shared" si="71"/>
        <v>3062</v>
      </c>
      <c r="V313" s="46">
        <f t="shared" si="72"/>
        <v>3071</v>
      </c>
      <c r="W313" s="33" t="e">
        <f>IFERROR(AVERAGEIFS(data_brute!M:M,data_brute!J:J,"&lt;="&amp;V313,data_brute!J:J,"&gt;="&amp;U313),NA())</f>
        <v>#N/A</v>
      </c>
      <c r="X313" s="46" t="e">
        <f t="shared" si="73"/>
        <v>#N/A</v>
      </c>
      <c r="Y313" s="2" t="b">
        <f t="shared" si="74"/>
        <v>0</v>
      </c>
      <c r="Z313" s="2" t="b">
        <f t="shared" si="75"/>
        <v>0</v>
      </c>
      <c r="AE313" s="46">
        <f t="shared" si="68"/>
        <v>3062</v>
      </c>
      <c r="AF313" s="46">
        <f t="shared" si="69"/>
        <v>3071</v>
      </c>
      <c r="AG313" s="33" t="e">
        <f>IFERROR(AVERAGEIFS(data_brute!M:M,data_brute!J:J,"&gt;="&amp;AE313,data_brute!J:J,"&lt;="&amp;AF313),NA())</f>
        <v>#N/A</v>
      </c>
      <c r="AH313" s="46" t="e">
        <f t="shared" si="70"/>
        <v>#N/A</v>
      </c>
      <c r="AJ313" s="46">
        <f t="shared" si="76"/>
        <v>3062</v>
      </c>
      <c r="AK313" s="46">
        <f t="shared" si="77"/>
        <v>3071</v>
      </c>
      <c r="AL313" s="33">
        <f ca="1">IFERROR(AVERAGEIFS(data_brute!M:M,data_brute!J:J,"&lt;="&amp;AK313),NA())</f>
        <v>25.353524229074896</v>
      </c>
      <c r="AM313" s="46">
        <f t="shared" ca="1" si="78"/>
        <v>3070</v>
      </c>
      <c r="AN313" s="46" t="b">
        <f t="shared" si="79"/>
        <v>0</v>
      </c>
      <c r="AO313" s="50" t="b">
        <f t="shared" si="80"/>
        <v>0</v>
      </c>
    </row>
    <row r="314" spans="21:41" x14ac:dyDescent="0.2">
      <c r="U314" s="46">
        <f t="shared" si="71"/>
        <v>3072</v>
      </c>
      <c r="V314" s="46">
        <f t="shared" si="72"/>
        <v>3081</v>
      </c>
      <c r="W314" s="33" t="e">
        <f>IFERROR(AVERAGEIFS(data_brute!M:M,data_brute!J:J,"&lt;="&amp;V314,data_brute!J:J,"&gt;="&amp;U314),NA())</f>
        <v>#N/A</v>
      </c>
      <c r="X314" s="46" t="e">
        <f t="shared" si="73"/>
        <v>#N/A</v>
      </c>
      <c r="Y314" s="2" t="b">
        <f t="shared" si="74"/>
        <v>0</v>
      </c>
      <c r="Z314" s="2" t="b">
        <f t="shared" si="75"/>
        <v>0</v>
      </c>
      <c r="AE314" s="46">
        <f t="shared" si="68"/>
        <v>3072</v>
      </c>
      <c r="AF314" s="46">
        <f t="shared" si="69"/>
        <v>3081</v>
      </c>
      <c r="AG314" s="33" t="e">
        <f>IFERROR(AVERAGEIFS(data_brute!M:M,data_brute!J:J,"&gt;="&amp;AE314,data_brute!J:J,"&lt;="&amp;AF314),NA())</f>
        <v>#N/A</v>
      </c>
      <c r="AH314" s="46" t="e">
        <f t="shared" si="70"/>
        <v>#N/A</v>
      </c>
      <c r="AJ314" s="46">
        <f t="shared" si="76"/>
        <v>3072</v>
      </c>
      <c r="AK314" s="46">
        <f t="shared" si="77"/>
        <v>3081</v>
      </c>
      <c r="AL314" s="33">
        <f ca="1">IFERROR(AVERAGEIFS(data_brute!M:M,data_brute!J:J,"&lt;="&amp;AK314),NA())</f>
        <v>25.353524229074896</v>
      </c>
      <c r="AM314" s="46">
        <f t="shared" ca="1" si="78"/>
        <v>3080</v>
      </c>
      <c r="AN314" s="46" t="b">
        <f t="shared" si="79"/>
        <v>0</v>
      </c>
      <c r="AO314" s="50" t="b">
        <f t="shared" si="80"/>
        <v>0</v>
      </c>
    </row>
    <row r="315" spans="21:41" x14ac:dyDescent="0.2">
      <c r="U315" s="46">
        <f t="shared" si="71"/>
        <v>3082</v>
      </c>
      <c r="V315" s="46">
        <f t="shared" si="72"/>
        <v>3091</v>
      </c>
      <c r="W315" s="33" t="e">
        <f>IFERROR(AVERAGEIFS(data_brute!M:M,data_brute!J:J,"&lt;="&amp;V315,data_brute!J:J,"&gt;="&amp;U315),NA())</f>
        <v>#N/A</v>
      </c>
      <c r="X315" s="46" t="e">
        <f t="shared" si="73"/>
        <v>#N/A</v>
      </c>
      <c r="Y315" s="2" t="b">
        <f t="shared" si="74"/>
        <v>0</v>
      </c>
      <c r="Z315" s="2" t="b">
        <f t="shared" si="75"/>
        <v>0</v>
      </c>
      <c r="AE315" s="46">
        <f t="shared" si="68"/>
        <v>3082</v>
      </c>
      <c r="AF315" s="46">
        <f t="shared" si="69"/>
        <v>3091</v>
      </c>
      <c r="AG315" s="33" t="e">
        <f>IFERROR(AVERAGEIFS(data_brute!M:M,data_brute!J:J,"&gt;="&amp;AE315,data_brute!J:J,"&lt;="&amp;AF315),NA())</f>
        <v>#N/A</v>
      </c>
      <c r="AH315" s="46" t="e">
        <f t="shared" si="70"/>
        <v>#N/A</v>
      </c>
      <c r="AJ315" s="46">
        <f t="shared" si="76"/>
        <v>3082</v>
      </c>
      <c r="AK315" s="46">
        <f t="shared" si="77"/>
        <v>3091</v>
      </c>
      <c r="AL315" s="33">
        <f ca="1">IFERROR(AVERAGEIFS(data_brute!M:M,data_brute!J:J,"&lt;="&amp;AK315),NA())</f>
        <v>25.353524229074896</v>
      </c>
      <c r="AM315" s="46">
        <f t="shared" ca="1" si="78"/>
        <v>3090</v>
      </c>
      <c r="AN315" s="46" t="b">
        <f t="shared" si="79"/>
        <v>0</v>
      </c>
      <c r="AO315" s="50" t="b">
        <f t="shared" si="80"/>
        <v>0</v>
      </c>
    </row>
    <row r="316" spans="21:41" x14ac:dyDescent="0.2">
      <c r="U316" s="46">
        <f t="shared" si="71"/>
        <v>3092</v>
      </c>
      <c r="V316" s="46">
        <f t="shared" si="72"/>
        <v>3101</v>
      </c>
      <c r="W316" s="33" t="e">
        <f>IFERROR(AVERAGEIFS(data_brute!M:M,data_brute!J:J,"&lt;="&amp;V316,data_brute!J:J,"&gt;="&amp;U316),NA())</f>
        <v>#N/A</v>
      </c>
      <c r="X316" s="46" t="e">
        <f t="shared" si="73"/>
        <v>#N/A</v>
      </c>
      <c r="Y316" s="2" t="b">
        <f t="shared" si="74"/>
        <v>0</v>
      </c>
      <c r="Z316" s="2" t="b">
        <f t="shared" si="75"/>
        <v>0</v>
      </c>
      <c r="AE316" s="46">
        <f t="shared" si="68"/>
        <v>3092</v>
      </c>
      <c r="AF316" s="46">
        <f t="shared" si="69"/>
        <v>3101</v>
      </c>
      <c r="AG316" s="33" t="e">
        <f>IFERROR(AVERAGEIFS(data_brute!M:M,data_brute!J:J,"&gt;="&amp;AE316,data_brute!J:J,"&lt;="&amp;AF316),NA())</f>
        <v>#N/A</v>
      </c>
      <c r="AH316" s="46" t="e">
        <f t="shared" si="70"/>
        <v>#N/A</v>
      </c>
      <c r="AJ316" s="46">
        <f t="shared" si="76"/>
        <v>3092</v>
      </c>
      <c r="AK316" s="46">
        <f t="shared" si="77"/>
        <v>3101</v>
      </c>
      <c r="AL316" s="33">
        <f ca="1">IFERROR(AVERAGEIFS(data_brute!M:M,data_brute!J:J,"&lt;="&amp;AK316),NA())</f>
        <v>25.353524229074896</v>
      </c>
      <c r="AM316" s="46">
        <f t="shared" ca="1" si="78"/>
        <v>3100</v>
      </c>
      <c r="AN316" s="46" t="b">
        <f t="shared" si="79"/>
        <v>0</v>
      </c>
      <c r="AO316" s="50" t="b">
        <f t="shared" si="80"/>
        <v>0</v>
      </c>
    </row>
    <row r="317" spans="21:41" x14ac:dyDescent="0.2">
      <c r="U317" s="46">
        <f t="shared" si="71"/>
        <v>3102</v>
      </c>
      <c r="V317" s="46">
        <f t="shared" si="72"/>
        <v>3111</v>
      </c>
      <c r="W317" s="33" t="e">
        <f>IFERROR(AVERAGEIFS(data_brute!M:M,data_brute!J:J,"&lt;="&amp;V317,data_brute!J:J,"&gt;="&amp;U317),NA())</f>
        <v>#N/A</v>
      </c>
      <c r="X317" s="46" t="e">
        <f t="shared" si="73"/>
        <v>#N/A</v>
      </c>
      <c r="Y317" s="2" t="b">
        <f t="shared" si="74"/>
        <v>0</v>
      </c>
      <c r="Z317" s="2" t="b">
        <f t="shared" si="75"/>
        <v>0</v>
      </c>
      <c r="AE317" s="46">
        <f t="shared" si="68"/>
        <v>3102</v>
      </c>
      <c r="AF317" s="46">
        <f t="shared" si="69"/>
        <v>3111</v>
      </c>
      <c r="AG317" s="33" t="e">
        <f>IFERROR(AVERAGEIFS(data_brute!M:M,data_brute!J:J,"&gt;="&amp;AE317,data_brute!J:J,"&lt;="&amp;AF317),NA())</f>
        <v>#N/A</v>
      </c>
      <c r="AH317" s="46" t="e">
        <f t="shared" si="70"/>
        <v>#N/A</v>
      </c>
      <c r="AJ317" s="46">
        <f t="shared" si="76"/>
        <v>3102</v>
      </c>
      <c r="AK317" s="46">
        <f t="shared" si="77"/>
        <v>3111</v>
      </c>
      <c r="AL317" s="33">
        <f ca="1">IFERROR(AVERAGEIFS(data_brute!M:M,data_brute!J:J,"&lt;="&amp;AK317),NA())</f>
        <v>25.353524229074896</v>
      </c>
      <c r="AM317" s="46">
        <f t="shared" ca="1" si="78"/>
        <v>3110</v>
      </c>
      <c r="AN317" s="46" t="b">
        <f t="shared" si="79"/>
        <v>0</v>
      </c>
      <c r="AO317" s="50" t="b">
        <f t="shared" si="80"/>
        <v>0</v>
      </c>
    </row>
    <row r="318" spans="21:41" x14ac:dyDescent="0.2">
      <c r="U318" s="46">
        <f t="shared" si="71"/>
        <v>3112</v>
      </c>
      <c r="V318" s="46">
        <f t="shared" si="72"/>
        <v>3121</v>
      </c>
      <c r="W318" s="33" t="e">
        <f>IFERROR(AVERAGEIFS(data_brute!M:M,data_brute!J:J,"&lt;="&amp;V318,data_brute!J:J,"&gt;="&amp;U318),NA())</f>
        <v>#N/A</v>
      </c>
      <c r="X318" s="46" t="e">
        <f t="shared" si="73"/>
        <v>#N/A</v>
      </c>
      <c r="Y318" s="2" t="b">
        <f t="shared" si="74"/>
        <v>0</v>
      </c>
      <c r="Z318" s="2" t="b">
        <f t="shared" si="75"/>
        <v>0</v>
      </c>
      <c r="AE318" s="46">
        <f t="shared" si="68"/>
        <v>3112</v>
      </c>
      <c r="AF318" s="46">
        <f t="shared" si="69"/>
        <v>3121</v>
      </c>
      <c r="AG318" s="33" t="e">
        <f>IFERROR(AVERAGEIFS(data_brute!M:M,data_brute!J:J,"&gt;="&amp;AE318,data_brute!J:J,"&lt;="&amp;AF318),NA())</f>
        <v>#N/A</v>
      </c>
      <c r="AH318" s="46" t="e">
        <f t="shared" si="70"/>
        <v>#N/A</v>
      </c>
      <c r="AJ318" s="46">
        <f t="shared" si="76"/>
        <v>3112</v>
      </c>
      <c r="AK318" s="46">
        <f t="shared" si="77"/>
        <v>3121</v>
      </c>
      <c r="AL318" s="33">
        <f ca="1">IFERROR(AVERAGEIFS(data_brute!M:M,data_brute!J:J,"&lt;="&amp;AK318),NA())</f>
        <v>25.353524229074896</v>
      </c>
      <c r="AM318" s="46">
        <f t="shared" ca="1" si="78"/>
        <v>3120</v>
      </c>
      <c r="AN318" s="46" t="b">
        <f t="shared" si="79"/>
        <v>0</v>
      </c>
      <c r="AO318" s="50" t="b">
        <f t="shared" si="80"/>
        <v>0</v>
      </c>
    </row>
    <row r="319" spans="21:41" x14ac:dyDescent="0.2">
      <c r="U319" s="46">
        <f t="shared" si="71"/>
        <v>3122</v>
      </c>
      <c r="V319" s="46">
        <f t="shared" si="72"/>
        <v>3131</v>
      </c>
      <c r="W319" s="33" t="e">
        <f>IFERROR(AVERAGEIFS(data_brute!M:M,data_brute!J:J,"&lt;="&amp;V319,data_brute!J:J,"&gt;="&amp;U319),NA())</f>
        <v>#N/A</v>
      </c>
      <c r="X319" s="46" t="e">
        <f t="shared" si="73"/>
        <v>#N/A</v>
      </c>
      <c r="Y319" s="2" t="b">
        <f t="shared" si="74"/>
        <v>0</v>
      </c>
      <c r="Z319" s="2" t="b">
        <f t="shared" si="75"/>
        <v>0</v>
      </c>
      <c r="AE319" s="46">
        <f t="shared" si="68"/>
        <v>3122</v>
      </c>
      <c r="AF319" s="46">
        <f t="shared" si="69"/>
        <v>3131</v>
      </c>
      <c r="AG319" s="33" t="e">
        <f>IFERROR(AVERAGEIFS(data_brute!M:M,data_brute!J:J,"&gt;="&amp;AE319,data_brute!J:J,"&lt;="&amp;AF319),NA())</f>
        <v>#N/A</v>
      </c>
      <c r="AH319" s="46" t="e">
        <f t="shared" si="70"/>
        <v>#N/A</v>
      </c>
      <c r="AJ319" s="46">
        <f t="shared" si="76"/>
        <v>3122</v>
      </c>
      <c r="AK319" s="46">
        <f t="shared" si="77"/>
        <v>3131</v>
      </c>
      <c r="AL319" s="33">
        <f ca="1">IFERROR(AVERAGEIFS(data_brute!M:M,data_brute!J:J,"&lt;="&amp;AK319),NA())</f>
        <v>25.353524229074896</v>
      </c>
      <c r="AM319" s="46">
        <f t="shared" ca="1" si="78"/>
        <v>3130</v>
      </c>
      <c r="AN319" s="46" t="b">
        <f t="shared" si="79"/>
        <v>0</v>
      </c>
      <c r="AO319" s="50" t="b">
        <f t="shared" si="80"/>
        <v>0</v>
      </c>
    </row>
    <row r="320" spans="21:41" x14ac:dyDescent="0.2">
      <c r="U320" s="46">
        <f t="shared" si="71"/>
        <v>3132</v>
      </c>
      <c r="V320" s="46">
        <f t="shared" si="72"/>
        <v>3141</v>
      </c>
      <c r="W320" s="33" t="e">
        <f>IFERROR(AVERAGEIFS(data_brute!M:M,data_brute!J:J,"&lt;="&amp;V320,data_brute!J:J,"&gt;="&amp;U320),NA())</f>
        <v>#N/A</v>
      </c>
      <c r="X320" s="46" t="e">
        <f t="shared" si="73"/>
        <v>#N/A</v>
      </c>
      <c r="Y320" s="2" t="b">
        <f t="shared" si="74"/>
        <v>0</v>
      </c>
      <c r="Z320" s="2" t="b">
        <f t="shared" si="75"/>
        <v>0</v>
      </c>
      <c r="AE320" s="46">
        <f t="shared" si="68"/>
        <v>3132</v>
      </c>
      <c r="AF320" s="46">
        <f t="shared" si="69"/>
        <v>3141</v>
      </c>
      <c r="AG320" s="33" t="e">
        <f>IFERROR(AVERAGEIFS(data_brute!M:M,data_brute!J:J,"&gt;="&amp;AE320,data_brute!J:J,"&lt;="&amp;AF320),NA())</f>
        <v>#N/A</v>
      </c>
      <c r="AH320" s="46" t="e">
        <f t="shared" si="70"/>
        <v>#N/A</v>
      </c>
      <c r="AJ320" s="46">
        <f t="shared" si="76"/>
        <v>3132</v>
      </c>
      <c r="AK320" s="46">
        <f t="shared" si="77"/>
        <v>3141</v>
      </c>
      <c r="AL320" s="33">
        <f ca="1">IFERROR(AVERAGEIFS(data_brute!M:M,data_brute!J:J,"&lt;="&amp;AK320),NA())</f>
        <v>25.353524229074896</v>
      </c>
      <c r="AM320" s="46">
        <f t="shared" ca="1" si="78"/>
        <v>3140</v>
      </c>
      <c r="AN320" s="46" t="b">
        <f t="shared" si="79"/>
        <v>0</v>
      </c>
      <c r="AO320" s="50" t="b">
        <f t="shared" si="80"/>
        <v>0</v>
      </c>
    </row>
    <row r="321" spans="21:41" x14ac:dyDescent="0.2">
      <c r="U321" s="46">
        <f t="shared" si="71"/>
        <v>3142</v>
      </c>
      <c r="V321" s="46">
        <f t="shared" si="72"/>
        <v>3151</v>
      </c>
      <c r="W321" s="33" t="e">
        <f>IFERROR(AVERAGEIFS(data_brute!M:M,data_brute!J:J,"&lt;="&amp;V321,data_brute!J:J,"&gt;="&amp;U321),NA())</f>
        <v>#N/A</v>
      </c>
      <c r="X321" s="46" t="e">
        <f t="shared" si="73"/>
        <v>#N/A</v>
      </c>
      <c r="Y321" s="2" t="b">
        <f t="shared" si="74"/>
        <v>0</v>
      </c>
      <c r="Z321" s="2" t="b">
        <f t="shared" si="75"/>
        <v>0</v>
      </c>
      <c r="AE321" s="46">
        <f t="shared" si="68"/>
        <v>3142</v>
      </c>
      <c r="AF321" s="46">
        <f t="shared" si="69"/>
        <v>3151</v>
      </c>
      <c r="AG321" s="33" t="e">
        <f>IFERROR(AVERAGEIFS(data_brute!M:M,data_brute!J:J,"&gt;="&amp;AE321,data_brute!J:J,"&lt;="&amp;AF321),NA())</f>
        <v>#N/A</v>
      </c>
      <c r="AH321" s="46" t="e">
        <f t="shared" si="70"/>
        <v>#N/A</v>
      </c>
      <c r="AJ321" s="46">
        <f t="shared" si="76"/>
        <v>3142</v>
      </c>
      <c r="AK321" s="46">
        <f t="shared" si="77"/>
        <v>3151</v>
      </c>
      <c r="AL321" s="33">
        <f ca="1">IFERROR(AVERAGEIFS(data_brute!M:M,data_brute!J:J,"&lt;="&amp;AK321),NA())</f>
        <v>25.353524229074896</v>
      </c>
      <c r="AM321" s="46">
        <f t="shared" ca="1" si="78"/>
        <v>3150</v>
      </c>
      <c r="AN321" s="46" t="b">
        <f t="shared" si="79"/>
        <v>0</v>
      </c>
      <c r="AO321" s="50" t="b">
        <f t="shared" si="80"/>
        <v>0</v>
      </c>
    </row>
    <row r="322" spans="21:41" x14ac:dyDescent="0.2">
      <c r="U322" s="46">
        <f t="shared" si="71"/>
        <v>3152</v>
      </c>
      <c r="V322" s="46">
        <f t="shared" si="72"/>
        <v>3161</v>
      </c>
      <c r="W322" s="33" t="e">
        <f>IFERROR(AVERAGEIFS(data_brute!M:M,data_brute!J:J,"&lt;="&amp;V322,data_brute!J:J,"&gt;="&amp;U322),NA())</f>
        <v>#N/A</v>
      </c>
      <c r="X322" s="46" t="e">
        <f t="shared" si="73"/>
        <v>#N/A</v>
      </c>
      <c r="Y322" s="2" t="b">
        <f t="shared" si="74"/>
        <v>0</v>
      </c>
      <c r="Z322" s="2" t="b">
        <f t="shared" si="75"/>
        <v>0</v>
      </c>
      <c r="AE322" s="46">
        <f t="shared" si="68"/>
        <v>3152</v>
      </c>
      <c r="AF322" s="46">
        <f t="shared" si="69"/>
        <v>3161</v>
      </c>
      <c r="AG322" s="33" t="e">
        <f>IFERROR(AVERAGEIFS(data_brute!M:M,data_brute!J:J,"&gt;="&amp;AE322,data_brute!J:J,"&lt;="&amp;AF322),NA())</f>
        <v>#N/A</v>
      </c>
      <c r="AH322" s="46" t="e">
        <f t="shared" si="70"/>
        <v>#N/A</v>
      </c>
      <c r="AJ322" s="46">
        <f t="shared" si="76"/>
        <v>3152</v>
      </c>
      <c r="AK322" s="46">
        <f t="shared" si="77"/>
        <v>3161</v>
      </c>
      <c r="AL322" s="33">
        <f ca="1">IFERROR(AVERAGEIFS(data_brute!M:M,data_brute!J:J,"&lt;="&amp;AK322),NA())</f>
        <v>25.353524229074896</v>
      </c>
      <c r="AM322" s="46">
        <f t="shared" ca="1" si="78"/>
        <v>3160</v>
      </c>
      <c r="AN322" s="46" t="b">
        <f t="shared" si="79"/>
        <v>0</v>
      </c>
      <c r="AO322" s="50" t="b">
        <f t="shared" si="80"/>
        <v>0</v>
      </c>
    </row>
    <row r="323" spans="21:41" x14ac:dyDescent="0.2">
      <c r="U323" s="46">
        <f t="shared" si="71"/>
        <v>3162</v>
      </c>
      <c r="V323" s="46">
        <f t="shared" si="72"/>
        <v>3171</v>
      </c>
      <c r="W323" s="33" t="e">
        <f>IFERROR(AVERAGEIFS(data_brute!M:M,data_brute!J:J,"&lt;="&amp;V323,data_brute!J:J,"&gt;="&amp;U323),NA())</f>
        <v>#N/A</v>
      </c>
      <c r="X323" s="46" t="e">
        <f t="shared" si="73"/>
        <v>#N/A</v>
      </c>
      <c r="Y323" s="2" t="b">
        <f t="shared" si="74"/>
        <v>0</v>
      </c>
      <c r="Z323" s="2" t="b">
        <f t="shared" si="75"/>
        <v>0</v>
      </c>
      <c r="AE323" s="46">
        <f t="shared" si="68"/>
        <v>3162</v>
      </c>
      <c r="AF323" s="46">
        <f t="shared" si="69"/>
        <v>3171</v>
      </c>
      <c r="AG323" s="33" t="e">
        <f>IFERROR(AVERAGEIFS(data_brute!M:M,data_brute!J:J,"&gt;="&amp;AE323,data_brute!J:J,"&lt;="&amp;AF323),NA())</f>
        <v>#N/A</v>
      </c>
      <c r="AH323" s="46" t="e">
        <f t="shared" si="70"/>
        <v>#N/A</v>
      </c>
      <c r="AJ323" s="46">
        <f t="shared" si="76"/>
        <v>3162</v>
      </c>
      <c r="AK323" s="46">
        <f t="shared" si="77"/>
        <v>3171</v>
      </c>
      <c r="AL323" s="33">
        <f ca="1">IFERROR(AVERAGEIFS(data_brute!M:M,data_brute!J:J,"&lt;="&amp;AK323),NA())</f>
        <v>25.353524229074896</v>
      </c>
      <c r="AM323" s="46">
        <f t="shared" ca="1" si="78"/>
        <v>3170</v>
      </c>
      <c r="AN323" s="46" t="b">
        <f t="shared" si="79"/>
        <v>0</v>
      </c>
      <c r="AO323" s="50" t="b">
        <f t="shared" si="80"/>
        <v>0</v>
      </c>
    </row>
    <row r="324" spans="21:41" x14ac:dyDescent="0.2">
      <c r="U324" s="46">
        <f t="shared" si="71"/>
        <v>3172</v>
      </c>
      <c r="V324" s="46">
        <f t="shared" si="72"/>
        <v>3181</v>
      </c>
      <c r="W324" s="33" t="e">
        <f>IFERROR(AVERAGEIFS(data_brute!M:M,data_brute!J:J,"&lt;="&amp;V324,data_brute!J:J,"&gt;="&amp;U324),NA())</f>
        <v>#N/A</v>
      </c>
      <c r="X324" s="46" t="e">
        <f t="shared" si="73"/>
        <v>#N/A</v>
      </c>
      <c r="Y324" s="2" t="b">
        <f t="shared" si="74"/>
        <v>0</v>
      </c>
      <c r="Z324" s="2" t="b">
        <f t="shared" si="75"/>
        <v>0</v>
      </c>
      <c r="AE324" s="46">
        <f t="shared" si="68"/>
        <v>3172</v>
      </c>
      <c r="AF324" s="46">
        <f t="shared" si="69"/>
        <v>3181</v>
      </c>
      <c r="AG324" s="33" t="e">
        <f>IFERROR(AVERAGEIFS(data_brute!M:M,data_brute!J:J,"&gt;="&amp;AE324,data_brute!J:J,"&lt;="&amp;AF324),NA())</f>
        <v>#N/A</v>
      </c>
      <c r="AH324" s="46" t="e">
        <f t="shared" si="70"/>
        <v>#N/A</v>
      </c>
      <c r="AJ324" s="46">
        <f t="shared" si="76"/>
        <v>3172</v>
      </c>
      <c r="AK324" s="46">
        <f t="shared" si="77"/>
        <v>3181</v>
      </c>
      <c r="AL324" s="33">
        <f ca="1">IFERROR(AVERAGEIFS(data_brute!M:M,data_brute!J:J,"&lt;="&amp;AK324),NA())</f>
        <v>25.353524229074896</v>
      </c>
      <c r="AM324" s="46">
        <f t="shared" ca="1" si="78"/>
        <v>3180</v>
      </c>
      <c r="AN324" s="46" t="b">
        <f t="shared" si="79"/>
        <v>0</v>
      </c>
      <c r="AO324" s="50" t="b">
        <f t="shared" si="80"/>
        <v>0</v>
      </c>
    </row>
    <row r="325" spans="21:41" x14ac:dyDescent="0.2">
      <c r="U325" s="46">
        <f t="shared" si="71"/>
        <v>3182</v>
      </c>
      <c r="V325" s="46">
        <f t="shared" si="72"/>
        <v>3191</v>
      </c>
      <c r="W325" s="33" t="e">
        <f>IFERROR(AVERAGEIFS(data_brute!M:M,data_brute!J:J,"&lt;="&amp;V325,data_brute!J:J,"&gt;="&amp;U325),NA())</f>
        <v>#N/A</v>
      </c>
      <c r="X325" s="46" t="e">
        <f t="shared" si="73"/>
        <v>#N/A</v>
      </c>
      <c r="Y325" s="2" t="b">
        <f t="shared" si="74"/>
        <v>0</v>
      </c>
      <c r="Z325" s="2" t="b">
        <f t="shared" si="75"/>
        <v>0</v>
      </c>
      <c r="AE325" s="46">
        <f t="shared" si="68"/>
        <v>3182</v>
      </c>
      <c r="AF325" s="46">
        <f t="shared" si="69"/>
        <v>3191</v>
      </c>
      <c r="AG325" s="33" t="e">
        <f>IFERROR(AVERAGEIFS(data_brute!M:M,data_brute!J:J,"&gt;="&amp;AE325,data_brute!J:J,"&lt;="&amp;AF325),NA())</f>
        <v>#N/A</v>
      </c>
      <c r="AH325" s="46" t="e">
        <f t="shared" si="70"/>
        <v>#N/A</v>
      </c>
      <c r="AJ325" s="46">
        <f t="shared" si="76"/>
        <v>3182</v>
      </c>
      <c r="AK325" s="46">
        <f t="shared" si="77"/>
        <v>3191</v>
      </c>
      <c r="AL325" s="33">
        <f ca="1">IFERROR(AVERAGEIFS(data_brute!M:M,data_brute!J:J,"&lt;="&amp;AK325),NA())</f>
        <v>25.353524229074896</v>
      </c>
      <c r="AM325" s="46">
        <f t="shared" ca="1" si="78"/>
        <v>3190</v>
      </c>
      <c r="AN325" s="46" t="b">
        <f t="shared" si="79"/>
        <v>0</v>
      </c>
      <c r="AO325" s="50" t="b">
        <f t="shared" si="80"/>
        <v>0</v>
      </c>
    </row>
    <row r="326" spans="21:41" x14ac:dyDescent="0.2">
      <c r="U326" s="46">
        <f t="shared" si="71"/>
        <v>3192</v>
      </c>
      <c r="V326" s="46">
        <f t="shared" si="72"/>
        <v>3201</v>
      </c>
      <c r="W326" s="33" t="e">
        <f>IFERROR(AVERAGEIFS(data_brute!M:M,data_brute!J:J,"&lt;="&amp;V326,data_brute!J:J,"&gt;="&amp;U326),NA())</f>
        <v>#N/A</v>
      </c>
      <c r="X326" s="46" t="e">
        <f t="shared" si="73"/>
        <v>#N/A</v>
      </c>
      <c r="Y326" s="2" t="b">
        <f t="shared" si="74"/>
        <v>0</v>
      </c>
      <c r="Z326" s="2" t="b">
        <f t="shared" si="75"/>
        <v>0</v>
      </c>
      <c r="AE326" s="46">
        <f t="shared" si="68"/>
        <v>3192</v>
      </c>
      <c r="AF326" s="46">
        <f t="shared" si="69"/>
        <v>3201</v>
      </c>
      <c r="AG326" s="33" t="e">
        <f>IFERROR(AVERAGEIFS(data_brute!M:M,data_brute!J:J,"&gt;="&amp;AE326,data_brute!J:J,"&lt;="&amp;AF326),NA())</f>
        <v>#N/A</v>
      </c>
      <c r="AH326" s="46" t="e">
        <f t="shared" si="70"/>
        <v>#N/A</v>
      </c>
      <c r="AJ326" s="46">
        <f t="shared" si="76"/>
        <v>3192</v>
      </c>
      <c r="AK326" s="46">
        <f t="shared" si="77"/>
        <v>3201</v>
      </c>
      <c r="AL326" s="33">
        <f ca="1">IFERROR(AVERAGEIFS(data_brute!M:M,data_brute!J:J,"&lt;="&amp;AK326),NA())</f>
        <v>25.353524229074896</v>
      </c>
      <c r="AM326" s="46">
        <f t="shared" ca="1" si="78"/>
        <v>3200</v>
      </c>
      <c r="AN326" s="46" t="b">
        <f t="shared" si="79"/>
        <v>0</v>
      </c>
      <c r="AO326" s="50" t="b">
        <f t="shared" si="80"/>
        <v>0</v>
      </c>
    </row>
    <row r="327" spans="21:41" x14ac:dyDescent="0.2">
      <c r="U327" s="46">
        <f t="shared" si="71"/>
        <v>3202</v>
      </c>
      <c r="V327" s="46">
        <f t="shared" si="72"/>
        <v>3211</v>
      </c>
      <c r="W327" s="33" t="e">
        <f>IFERROR(AVERAGEIFS(data_brute!M:M,data_brute!J:J,"&lt;="&amp;V327,data_brute!J:J,"&gt;="&amp;U327),NA())</f>
        <v>#N/A</v>
      </c>
      <c r="X327" s="46" t="e">
        <f t="shared" si="73"/>
        <v>#N/A</v>
      </c>
      <c r="Y327" s="2" t="b">
        <f t="shared" si="74"/>
        <v>0</v>
      </c>
      <c r="Z327" s="2" t="b">
        <f t="shared" si="75"/>
        <v>0</v>
      </c>
      <c r="AE327" s="46">
        <f t="shared" si="68"/>
        <v>3202</v>
      </c>
      <c r="AF327" s="46">
        <f t="shared" si="69"/>
        <v>3211</v>
      </c>
      <c r="AG327" s="33" t="e">
        <f>IFERROR(AVERAGEIFS(data_brute!M:M,data_brute!J:J,"&gt;="&amp;AE327,data_brute!J:J,"&lt;="&amp;AF327),NA())</f>
        <v>#N/A</v>
      </c>
      <c r="AH327" s="46" t="e">
        <f t="shared" si="70"/>
        <v>#N/A</v>
      </c>
      <c r="AJ327" s="46">
        <f t="shared" si="76"/>
        <v>3202</v>
      </c>
      <c r="AK327" s="46">
        <f t="shared" si="77"/>
        <v>3211</v>
      </c>
      <c r="AL327" s="33">
        <f ca="1">IFERROR(AVERAGEIFS(data_brute!M:M,data_brute!J:J,"&lt;="&amp;AK327),NA())</f>
        <v>25.353524229074896</v>
      </c>
      <c r="AM327" s="46">
        <f t="shared" ca="1" si="78"/>
        <v>3210</v>
      </c>
      <c r="AN327" s="46" t="b">
        <f t="shared" si="79"/>
        <v>0</v>
      </c>
      <c r="AO327" s="50" t="b">
        <f t="shared" si="80"/>
        <v>0</v>
      </c>
    </row>
    <row r="328" spans="21:41" x14ac:dyDescent="0.2">
      <c r="U328" s="46">
        <f t="shared" si="71"/>
        <v>3212</v>
      </c>
      <c r="V328" s="46">
        <f t="shared" si="72"/>
        <v>3221</v>
      </c>
      <c r="W328" s="33" t="e">
        <f>IFERROR(AVERAGEIFS(data_brute!M:M,data_brute!J:J,"&lt;="&amp;V328,data_brute!J:J,"&gt;="&amp;U328),NA())</f>
        <v>#N/A</v>
      </c>
      <c r="X328" s="46" t="e">
        <f t="shared" si="73"/>
        <v>#N/A</v>
      </c>
      <c r="Y328" s="2" t="b">
        <f t="shared" si="74"/>
        <v>0</v>
      </c>
      <c r="Z328" s="2" t="b">
        <f t="shared" si="75"/>
        <v>0</v>
      </c>
      <c r="AE328" s="46">
        <f t="shared" si="68"/>
        <v>3212</v>
      </c>
      <c r="AF328" s="46">
        <f t="shared" si="69"/>
        <v>3221</v>
      </c>
      <c r="AG328" s="33" t="e">
        <f>IFERROR(AVERAGEIFS(data_brute!M:M,data_brute!J:J,"&gt;="&amp;AE328,data_brute!J:J,"&lt;="&amp;AF328),NA())</f>
        <v>#N/A</v>
      </c>
      <c r="AH328" s="46" t="e">
        <f t="shared" si="70"/>
        <v>#N/A</v>
      </c>
      <c r="AJ328" s="46">
        <f t="shared" si="76"/>
        <v>3212</v>
      </c>
      <c r="AK328" s="46">
        <f t="shared" si="77"/>
        <v>3221</v>
      </c>
      <c r="AL328" s="33">
        <f ca="1">IFERROR(AVERAGEIFS(data_brute!M:M,data_brute!J:J,"&lt;="&amp;AK328),NA())</f>
        <v>25.353524229074896</v>
      </c>
      <c r="AM328" s="46">
        <f t="shared" ca="1" si="78"/>
        <v>3220</v>
      </c>
      <c r="AN328" s="46" t="b">
        <f t="shared" si="79"/>
        <v>0</v>
      </c>
      <c r="AO328" s="50" t="b">
        <f t="shared" si="80"/>
        <v>0</v>
      </c>
    </row>
    <row r="329" spans="21:41" x14ac:dyDescent="0.2">
      <c r="U329" s="46">
        <f t="shared" si="71"/>
        <v>3222</v>
      </c>
      <c r="V329" s="46">
        <f t="shared" si="72"/>
        <v>3231</v>
      </c>
      <c r="W329" s="33" t="e">
        <f>IFERROR(AVERAGEIFS(data_brute!M:M,data_brute!J:J,"&lt;="&amp;V329,data_brute!J:J,"&gt;="&amp;U329),NA())</f>
        <v>#N/A</v>
      </c>
      <c r="X329" s="46" t="e">
        <f t="shared" si="73"/>
        <v>#N/A</v>
      </c>
      <c r="Y329" s="2" t="b">
        <f t="shared" si="74"/>
        <v>0</v>
      </c>
      <c r="Z329" s="2" t="b">
        <f t="shared" si="75"/>
        <v>0</v>
      </c>
      <c r="AE329" s="46">
        <f t="shared" si="68"/>
        <v>3222</v>
      </c>
      <c r="AF329" s="46">
        <f t="shared" si="69"/>
        <v>3231</v>
      </c>
      <c r="AG329" s="33" t="e">
        <f>IFERROR(AVERAGEIFS(data_brute!M:M,data_brute!J:J,"&gt;="&amp;AE329,data_brute!J:J,"&lt;="&amp;AF329),NA())</f>
        <v>#N/A</v>
      </c>
      <c r="AH329" s="46" t="e">
        <f t="shared" si="70"/>
        <v>#N/A</v>
      </c>
      <c r="AJ329" s="46">
        <f t="shared" si="76"/>
        <v>3222</v>
      </c>
      <c r="AK329" s="46">
        <f t="shared" si="77"/>
        <v>3231</v>
      </c>
      <c r="AL329" s="33">
        <f ca="1">IFERROR(AVERAGEIFS(data_brute!M:M,data_brute!J:J,"&lt;="&amp;AK329),NA())</f>
        <v>25.353524229074896</v>
      </c>
      <c r="AM329" s="46">
        <f t="shared" ca="1" si="78"/>
        <v>3230</v>
      </c>
      <c r="AN329" s="46" t="b">
        <f t="shared" si="79"/>
        <v>0</v>
      </c>
      <c r="AO329" s="50" t="b">
        <f t="shared" si="80"/>
        <v>0</v>
      </c>
    </row>
    <row r="330" spans="21:41" x14ac:dyDescent="0.2">
      <c r="U330" s="46">
        <f t="shared" si="71"/>
        <v>3232</v>
      </c>
      <c r="V330" s="46">
        <f t="shared" si="72"/>
        <v>3241</v>
      </c>
      <c r="W330" s="33" t="e">
        <f>IFERROR(AVERAGEIFS(data_brute!M:M,data_brute!J:J,"&lt;="&amp;V330,data_brute!J:J,"&gt;="&amp;U330),NA())</f>
        <v>#N/A</v>
      </c>
      <c r="X330" s="46" t="e">
        <f t="shared" si="73"/>
        <v>#N/A</v>
      </c>
      <c r="Y330" s="2" t="b">
        <f t="shared" si="74"/>
        <v>0</v>
      </c>
      <c r="Z330" s="2" t="b">
        <f t="shared" si="75"/>
        <v>0</v>
      </c>
      <c r="AE330" s="46">
        <f t="shared" si="68"/>
        <v>3232</v>
      </c>
      <c r="AF330" s="46">
        <f t="shared" si="69"/>
        <v>3241</v>
      </c>
      <c r="AG330" s="33" t="e">
        <f>IFERROR(AVERAGEIFS(data_brute!M:M,data_brute!J:J,"&gt;="&amp;AE330,data_brute!J:J,"&lt;="&amp;AF330),NA())</f>
        <v>#N/A</v>
      </c>
      <c r="AH330" s="46" t="e">
        <f t="shared" si="70"/>
        <v>#N/A</v>
      </c>
      <c r="AJ330" s="46">
        <f t="shared" si="76"/>
        <v>3232</v>
      </c>
      <c r="AK330" s="46">
        <f t="shared" si="77"/>
        <v>3241</v>
      </c>
      <c r="AL330" s="33">
        <f ca="1">IFERROR(AVERAGEIFS(data_brute!M:M,data_brute!J:J,"&lt;="&amp;AK330),NA())</f>
        <v>25.353524229074896</v>
      </c>
      <c r="AM330" s="46">
        <f t="shared" ca="1" si="78"/>
        <v>3240</v>
      </c>
      <c r="AN330" s="46" t="b">
        <f t="shared" si="79"/>
        <v>0</v>
      </c>
      <c r="AO330" s="50" t="b">
        <f t="shared" si="80"/>
        <v>0</v>
      </c>
    </row>
    <row r="331" spans="21:41" x14ac:dyDescent="0.2">
      <c r="U331" s="46">
        <f t="shared" si="71"/>
        <v>3242</v>
      </c>
      <c r="V331" s="46">
        <f t="shared" si="72"/>
        <v>3251</v>
      </c>
      <c r="W331" s="33" t="e">
        <f>IFERROR(AVERAGEIFS(data_brute!M:M,data_brute!J:J,"&lt;="&amp;V331,data_brute!J:J,"&gt;="&amp;U331),NA())</f>
        <v>#N/A</v>
      </c>
      <c r="X331" s="46" t="e">
        <f t="shared" si="73"/>
        <v>#N/A</v>
      </c>
      <c r="Y331" s="2" t="b">
        <f t="shared" si="74"/>
        <v>0</v>
      </c>
      <c r="Z331" s="2" t="b">
        <f t="shared" si="75"/>
        <v>0</v>
      </c>
      <c r="AE331" s="46">
        <f t="shared" si="68"/>
        <v>3242</v>
      </c>
      <c r="AF331" s="46">
        <f t="shared" si="69"/>
        <v>3251</v>
      </c>
      <c r="AG331" s="33" t="e">
        <f>IFERROR(AVERAGEIFS(data_brute!M:M,data_brute!J:J,"&gt;="&amp;AE331,data_brute!J:J,"&lt;="&amp;AF331),NA())</f>
        <v>#N/A</v>
      </c>
      <c r="AH331" s="46" t="e">
        <f t="shared" si="70"/>
        <v>#N/A</v>
      </c>
      <c r="AJ331" s="46">
        <f t="shared" si="76"/>
        <v>3242</v>
      </c>
      <c r="AK331" s="46">
        <f t="shared" si="77"/>
        <v>3251</v>
      </c>
      <c r="AL331" s="33">
        <f ca="1">IFERROR(AVERAGEIFS(data_brute!M:M,data_brute!J:J,"&lt;="&amp;AK331),NA())</f>
        <v>25.353524229074896</v>
      </c>
      <c r="AM331" s="46">
        <f t="shared" ca="1" si="78"/>
        <v>3250</v>
      </c>
      <c r="AN331" s="46" t="b">
        <f t="shared" si="79"/>
        <v>0</v>
      </c>
      <c r="AO331" s="50" t="b">
        <f t="shared" si="80"/>
        <v>0</v>
      </c>
    </row>
    <row r="332" spans="21:41" x14ac:dyDescent="0.2">
      <c r="U332" s="46">
        <f t="shared" si="71"/>
        <v>3252</v>
      </c>
      <c r="V332" s="46">
        <f t="shared" si="72"/>
        <v>3261</v>
      </c>
      <c r="W332" s="33" t="e">
        <f>IFERROR(AVERAGEIFS(data_brute!M:M,data_brute!J:J,"&lt;="&amp;V332,data_brute!J:J,"&gt;="&amp;U332),NA())</f>
        <v>#N/A</v>
      </c>
      <c r="X332" s="46" t="e">
        <f t="shared" si="73"/>
        <v>#N/A</v>
      </c>
      <c r="Y332" s="2" t="b">
        <f t="shared" si="74"/>
        <v>0</v>
      </c>
      <c r="Z332" s="2" t="b">
        <f t="shared" si="75"/>
        <v>0</v>
      </c>
      <c r="AE332" s="46">
        <f t="shared" si="68"/>
        <v>3252</v>
      </c>
      <c r="AF332" s="46">
        <f t="shared" si="69"/>
        <v>3261</v>
      </c>
      <c r="AG332" s="33" t="e">
        <f>IFERROR(AVERAGEIFS(data_brute!M:M,data_brute!J:J,"&gt;="&amp;AE332,data_brute!J:J,"&lt;="&amp;AF332),NA())</f>
        <v>#N/A</v>
      </c>
      <c r="AH332" s="46" t="e">
        <f t="shared" si="70"/>
        <v>#N/A</v>
      </c>
      <c r="AJ332" s="46">
        <f t="shared" si="76"/>
        <v>3252</v>
      </c>
      <c r="AK332" s="46">
        <f t="shared" si="77"/>
        <v>3261</v>
      </c>
      <c r="AL332" s="33">
        <f ca="1">IFERROR(AVERAGEIFS(data_brute!M:M,data_brute!J:J,"&lt;="&amp;AK332),NA())</f>
        <v>25.353524229074896</v>
      </c>
      <c r="AM332" s="46">
        <f t="shared" ca="1" si="78"/>
        <v>3260</v>
      </c>
      <c r="AN332" s="46" t="b">
        <f t="shared" si="79"/>
        <v>0</v>
      </c>
      <c r="AO332" s="50" t="b">
        <f t="shared" si="80"/>
        <v>0</v>
      </c>
    </row>
    <row r="333" spans="21:41" x14ac:dyDescent="0.2">
      <c r="U333" s="46">
        <f t="shared" si="71"/>
        <v>3262</v>
      </c>
      <c r="V333" s="46">
        <f t="shared" si="72"/>
        <v>3271</v>
      </c>
      <c r="W333" s="33" t="e">
        <f>IFERROR(AVERAGEIFS(data_brute!M:M,data_brute!J:J,"&lt;="&amp;V333,data_brute!J:J,"&gt;="&amp;U333),NA())</f>
        <v>#N/A</v>
      </c>
      <c r="X333" s="46" t="e">
        <f t="shared" si="73"/>
        <v>#N/A</v>
      </c>
      <c r="Y333" s="2" t="b">
        <f t="shared" si="74"/>
        <v>0</v>
      </c>
      <c r="Z333" s="2" t="b">
        <f t="shared" si="75"/>
        <v>0</v>
      </c>
      <c r="AE333" s="46">
        <f t="shared" si="68"/>
        <v>3262</v>
      </c>
      <c r="AF333" s="46">
        <f t="shared" si="69"/>
        <v>3271</v>
      </c>
      <c r="AG333" s="33" t="e">
        <f>IFERROR(AVERAGEIFS(data_brute!M:M,data_brute!J:J,"&gt;="&amp;AE333,data_brute!J:J,"&lt;="&amp;AF333),NA())</f>
        <v>#N/A</v>
      </c>
      <c r="AH333" s="46" t="e">
        <f t="shared" si="70"/>
        <v>#N/A</v>
      </c>
      <c r="AJ333" s="46">
        <f t="shared" si="76"/>
        <v>3262</v>
      </c>
      <c r="AK333" s="46">
        <f t="shared" si="77"/>
        <v>3271</v>
      </c>
      <c r="AL333" s="33">
        <f ca="1">IFERROR(AVERAGEIFS(data_brute!M:M,data_brute!J:J,"&lt;="&amp;AK333),NA())</f>
        <v>25.353524229074896</v>
      </c>
      <c r="AM333" s="46">
        <f t="shared" ca="1" si="78"/>
        <v>3270</v>
      </c>
      <c r="AN333" s="46" t="b">
        <f t="shared" si="79"/>
        <v>0</v>
      </c>
      <c r="AO333" s="50" t="b">
        <f t="shared" si="80"/>
        <v>0</v>
      </c>
    </row>
    <row r="334" spans="21:41" x14ac:dyDescent="0.2">
      <c r="U334" s="46">
        <f t="shared" si="71"/>
        <v>3272</v>
      </c>
      <c r="V334" s="46">
        <f t="shared" si="72"/>
        <v>3281</v>
      </c>
      <c r="W334" s="33" t="e">
        <f>IFERROR(AVERAGEIFS(data_brute!M:M,data_brute!J:J,"&lt;="&amp;V334,data_brute!J:J,"&gt;="&amp;U334),NA())</f>
        <v>#N/A</v>
      </c>
      <c r="X334" s="46" t="e">
        <f t="shared" si="73"/>
        <v>#N/A</v>
      </c>
      <c r="Y334" s="2" t="b">
        <f t="shared" si="74"/>
        <v>0</v>
      </c>
      <c r="Z334" s="2" t="b">
        <f t="shared" si="75"/>
        <v>0</v>
      </c>
      <c r="AE334" s="46">
        <f t="shared" si="68"/>
        <v>3272</v>
      </c>
      <c r="AF334" s="46">
        <f t="shared" si="69"/>
        <v>3281</v>
      </c>
      <c r="AG334" s="33" t="e">
        <f>IFERROR(AVERAGEIFS(data_brute!M:M,data_brute!J:J,"&gt;="&amp;AE334,data_brute!J:J,"&lt;="&amp;AF334),NA())</f>
        <v>#N/A</v>
      </c>
      <c r="AH334" s="46" t="e">
        <f t="shared" si="70"/>
        <v>#N/A</v>
      </c>
      <c r="AJ334" s="46">
        <f t="shared" si="76"/>
        <v>3272</v>
      </c>
      <c r="AK334" s="46">
        <f t="shared" si="77"/>
        <v>3281</v>
      </c>
      <c r="AL334" s="33">
        <f ca="1">IFERROR(AVERAGEIFS(data_brute!M:M,data_brute!J:J,"&lt;="&amp;AK334),NA())</f>
        <v>25.353524229074896</v>
      </c>
      <c r="AM334" s="46">
        <f t="shared" ca="1" si="78"/>
        <v>3280</v>
      </c>
      <c r="AN334" s="46" t="b">
        <f t="shared" si="79"/>
        <v>0</v>
      </c>
      <c r="AO334" s="50" t="b">
        <f t="shared" si="80"/>
        <v>0</v>
      </c>
    </row>
    <row r="335" spans="21:41" x14ac:dyDescent="0.2">
      <c r="U335" s="46">
        <f t="shared" si="71"/>
        <v>3282</v>
      </c>
      <c r="V335" s="46">
        <f t="shared" si="72"/>
        <v>3291</v>
      </c>
      <c r="W335" s="33" t="e">
        <f>IFERROR(AVERAGEIFS(data_brute!M:M,data_brute!J:J,"&lt;="&amp;V335,data_brute!J:J,"&gt;="&amp;U335),NA())</f>
        <v>#N/A</v>
      </c>
      <c r="X335" s="46" t="e">
        <f t="shared" si="73"/>
        <v>#N/A</v>
      </c>
      <c r="Y335" s="2" t="b">
        <f t="shared" si="74"/>
        <v>0</v>
      </c>
      <c r="Z335" s="2" t="b">
        <f t="shared" si="75"/>
        <v>0</v>
      </c>
      <c r="AE335" s="46">
        <f t="shared" si="68"/>
        <v>3282</v>
      </c>
      <c r="AF335" s="46">
        <f t="shared" si="69"/>
        <v>3291</v>
      </c>
      <c r="AG335" s="33" t="e">
        <f>IFERROR(AVERAGEIFS(data_brute!M:M,data_brute!J:J,"&gt;="&amp;AE335,data_brute!J:J,"&lt;="&amp;AF335),NA())</f>
        <v>#N/A</v>
      </c>
      <c r="AH335" s="46" t="e">
        <f t="shared" si="70"/>
        <v>#N/A</v>
      </c>
      <c r="AJ335" s="46">
        <f t="shared" si="76"/>
        <v>3282</v>
      </c>
      <c r="AK335" s="46">
        <f t="shared" si="77"/>
        <v>3291</v>
      </c>
      <c r="AL335" s="33">
        <f ca="1">IFERROR(AVERAGEIFS(data_brute!M:M,data_brute!J:J,"&lt;="&amp;AK335),NA())</f>
        <v>25.353524229074896</v>
      </c>
      <c r="AM335" s="46">
        <f t="shared" ca="1" si="78"/>
        <v>3290</v>
      </c>
      <c r="AN335" s="46" t="b">
        <f t="shared" si="79"/>
        <v>0</v>
      </c>
      <c r="AO335" s="50" t="b">
        <f t="shared" si="80"/>
        <v>0</v>
      </c>
    </row>
    <row r="336" spans="21:41" x14ac:dyDescent="0.2">
      <c r="U336" s="46">
        <f t="shared" si="71"/>
        <v>3292</v>
      </c>
      <c r="V336" s="46">
        <f t="shared" si="72"/>
        <v>3301</v>
      </c>
      <c r="W336" s="33" t="e">
        <f>IFERROR(AVERAGEIFS(data_brute!M:M,data_brute!J:J,"&lt;="&amp;V336,data_brute!J:J,"&gt;="&amp;U336),NA())</f>
        <v>#N/A</v>
      </c>
      <c r="X336" s="46" t="e">
        <f t="shared" si="73"/>
        <v>#N/A</v>
      </c>
      <c r="Y336" s="2" t="b">
        <f t="shared" si="74"/>
        <v>0</v>
      </c>
      <c r="Z336" s="2" t="b">
        <f t="shared" si="75"/>
        <v>0</v>
      </c>
      <c r="AE336" s="46">
        <f t="shared" si="68"/>
        <v>3292</v>
      </c>
      <c r="AF336" s="46">
        <f t="shared" si="69"/>
        <v>3301</v>
      </c>
      <c r="AG336" s="33" t="e">
        <f>IFERROR(AVERAGEIFS(data_brute!M:M,data_brute!J:J,"&gt;="&amp;AE336,data_brute!J:J,"&lt;="&amp;AF336),NA())</f>
        <v>#N/A</v>
      </c>
      <c r="AH336" s="46" t="e">
        <f t="shared" si="70"/>
        <v>#N/A</v>
      </c>
      <c r="AJ336" s="46">
        <f t="shared" si="76"/>
        <v>3292</v>
      </c>
      <c r="AK336" s="46">
        <f t="shared" si="77"/>
        <v>3301</v>
      </c>
      <c r="AL336" s="33">
        <f ca="1">IFERROR(AVERAGEIFS(data_brute!M:M,data_brute!J:J,"&lt;="&amp;AK336),NA())</f>
        <v>25.353524229074896</v>
      </c>
      <c r="AM336" s="46">
        <f t="shared" ca="1" si="78"/>
        <v>3300</v>
      </c>
      <c r="AN336" s="46" t="b">
        <f t="shared" si="79"/>
        <v>0</v>
      </c>
      <c r="AO336" s="50" t="b">
        <f t="shared" si="80"/>
        <v>0</v>
      </c>
    </row>
    <row r="337" spans="21:41" x14ac:dyDescent="0.2">
      <c r="U337" s="46">
        <f t="shared" si="71"/>
        <v>3302</v>
      </c>
      <c r="V337" s="46">
        <f t="shared" si="72"/>
        <v>3311</v>
      </c>
      <c r="W337" s="33" t="e">
        <f>IFERROR(AVERAGEIFS(data_brute!M:M,data_brute!J:J,"&lt;="&amp;V337,data_brute!J:J,"&gt;="&amp;U337),NA())</f>
        <v>#N/A</v>
      </c>
      <c r="X337" s="46" t="e">
        <f t="shared" si="73"/>
        <v>#N/A</v>
      </c>
      <c r="Y337" s="2" t="b">
        <f t="shared" si="74"/>
        <v>0</v>
      </c>
      <c r="Z337" s="2" t="b">
        <f t="shared" si="75"/>
        <v>0</v>
      </c>
      <c r="AE337" s="46">
        <f t="shared" si="68"/>
        <v>3302</v>
      </c>
      <c r="AF337" s="46">
        <f t="shared" si="69"/>
        <v>3311</v>
      </c>
      <c r="AG337" s="33" t="e">
        <f>IFERROR(AVERAGEIFS(data_brute!M:M,data_brute!J:J,"&gt;="&amp;AE337,data_brute!J:J,"&lt;="&amp;AF337),NA())</f>
        <v>#N/A</v>
      </c>
      <c r="AH337" s="46" t="e">
        <f t="shared" si="70"/>
        <v>#N/A</v>
      </c>
      <c r="AJ337" s="46">
        <f t="shared" si="76"/>
        <v>3302</v>
      </c>
      <c r="AK337" s="46">
        <f t="shared" si="77"/>
        <v>3311</v>
      </c>
      <c r="AL337" s="33">
        <f ca="1">IFERROR(AVERAGEIFS(data_brute!M:M,data_brute!J:J,"&lt;="&amp;AK337),NA())</f>
        <v>25.353524229074896</v>
      </c>
      <c r="AM337" s="46">
        <f t="shared" ca="1" si="78"/>
        <v>3310</v>
      </c>
      <c r="AN337" s="46" t="b">
        <f t="shared" si="79"/>
        <v>0</v>
      </c>
      <c r="AO337" s="50" t="b">
        <f t="shared" si="80"/>
        <v>0</v>
      </c>
    </row>
    <row r="338" spans="21:41" x14ac:dyDescent="0.2">
      <c r="U338" s="46">
        <f t="shared" si="71"/>
        <v>3312</v>
      </c>
      <c r="V338" s="46">
        <f t="shared" si="72"/>
        <v>3321</v>
      </c>
      <c r="W338" s="33" t="e">
        <f>IFERROR(AVERAGEIFS(data_brute!M:M,data_brute!J:J,"&lt;="&amp;V338,data_brute!J:J,"&gt;="&amp;U338),NA())</f>
        <v>#N/A</v>
      </c>
      <c r="X338" s="46" t="e">
        <f t="shared" si="73"/>
        <v>#N/A</v>
      </c>
      <c r="Y338" s="2" t="b">
        <f t="shared" si="74"/>
        <v>0</v>
      </c>
      <c r="Z338" s="2" t="b">
        <f t="shared" si="75"/>
        <v>0</v>
      </c>
      <c r="AE338" s="46">
        <f t="shared" si="68"/>
        <v>3312</v>
      </c>
      <c r="AF338" s="46">
        <f t="shared" si="69"/>
        <v>3321</v>
      </c>
      <c r="AG338" s="33" t="e">
        <f>IFERROR(AVERAGEIFS(data_brute!M:M,data_brute!J:J,"&gt;="&amp;AE338,data_brute!J:J,"&lt;="&amp;AF338),NA())</f>
        <v>#N/A</v>
      </c>
      <c r="AH338" s="46" t="e">
        <f t="shared" si="70"/>
        <v>#N/A</v>
      </c>
      <c r="AJ338" s="46">
        <f t="shared" si="76"/>
        <v>3312</v>
      </c>
      <c r="AK338" s="46">
        <f t="shared" si="77"/>
        <v>3321</v>
      </c>
      <c r="AL338" s="33">
        <f ca="1">IFERROR(AVERAGEIFS(data_brute!M:M,data_brute!J:J,"&lt;="&amp;AK338),NA())</f>
        <v>25.353524229074896</v>
      </c>
      <c r="AM338" s="46">
        <f t="shared" ca="1" si="78"/>
        <v>3320</v>
      </c>
      <c r="AN338" s="46" t="b">
        <f t="shared" si="79"/>
        <v>0</v>
      </c>
      <c r="AO338" s="50" t="b">
        <f t="shared" si="80"/>
        <v>0</v>
      </c>
    </row>
    <row r="339" spans="21:41" x14ac:dyDescent="0.2">
      <c r="U339" s="46">
        <f t="shared" si="71"/>
        <v>3322</v>
      </c>
      <c r="V339" s="46">
        <f t="shared" si="72"/>
        <v>3331</v>
      </c>
      <c r="W339" s="33" t="e">
        <f>IFERROR(AVERAGEIFS(data_brute!M:M,data_brute!J:J,"&lt;="&amp;V339,data_brute!J:J,"&gt;="&amp;U339),NA())</f>
        <v>#N/A</v>
      </c>
      <c r="X339" s="46" t="e">
        <f t="shared" si="73"/>
        <v>#N/A</v>
      </c>
      <c r="Y339" s="2" t="b">
        <f t="shared" si="74"/>
        <v>0</v>
      </c>
      <c r="Z339" s="2" t="b">
        <f t="shared" si="75"/>
        <v>0</v>
      </c>
      <c r="AE339" s="46">
        <f t="shared" si="68"/>
        <v>3322</v>
      </c>
      <c r="AF339" s="46">
        <f t="shared" si="69"/>
        <v>3331</v>
      </c>
      <c r="AG339" s="33" t="e">
        <f>IFERROR(AVERAGEIFS(data_brute!M:M,data_brute!J:J,"&gt;="&amp;AE339,data_brute!J:J,"&lt;="&amp;AF339),NA())</f>
        <v>#N/A</v>
      </c>
      <c r="AH339" s="46" t="e">
        <f t="shared" si="70"/>
        <v>#N/A</v>
      </c>
      <c r="AJ339" s="46">
        <f t="shared" si="76"/>
        <v>3322</v>
      </c>
      <c r="AK339" s="46">
        <f t="shared" si="77"/>
        <v>3331</v>
      </c>
      <c r="AL339" s="33">
        <f ca="1">IFERROR(AVERAGEIFS(data_brute!M:M,data_brute!J:J,"&lt;="&amp;AK339),NA())</f>
        <v>25.353524229074896</v>
      </c>
      <c r="AM339" s="46">
        <f t="shared" ca="1" si="78"/>
        <v>3330</v>
      </c>
      <c r="AN339" s="46" t="b">
        <f t="shared" si="79"/>
        <v>0</v>
      </c>
      <c r="AO339" s="50" t="b">
        <f t="shared" si="80"/>
        <v>0</v>
      </c>
    </row>
    <row r="340" spans="21:41" x14ac:dyDescent="0.2">
      <c r="U340" s="46">
        <f t="shared" si="71"/>
        <v>3332</v>
      </c>
      <c r="V340" s="46">
        <f t="shared" si="72"/>
        <v>3341</v>
      </c>
      <c r="W340" s="33" t="e">
        <f>IFERROR(AVERAGEIFS(data_brute!M:M,data_brute!J:J,"&lt;="&amp;V340,data_brute!J:J,"&gt;="&amp;U340),NA())</f>
        <v>#N/A</v>
      </c>
      <c r="X340" s="46" t="e">
        <f t="shared" si="73"/>
        <v>#N/A</v>
      </c>
      <c r="Y340" s="2" t="b">
        <f t="shared" si="74"/>
        <v>0</v>
      </c>
      <c r="Z340" s="2" t="b">
        <f t="shared" si="75"/>
        <v>0</v>
      </c>
      <c r="AE340" s="46">
        <f t="shared" si="68"/>
        <v>3332</v>
      </c>
      <c r="AF340" s="46">
        <f t="shared" si="69"/>
        <v>3341</v>
      </c>
      <c r="AG340" s="33" t="e">
        <f>IFERROR(AVERAGEIFS(data_brute!M:M,data_brute!J:J,"&gt;="&amp;AE340,data_brute!J:J,"&lt;="&amp;AF340),NA())</f>
        <v>#N/A</v>
      </c>
      <c r="AH340" s="46" t="e">
        <f t="shared" si="70"/>
        <v>#N/A</v>
      </c>
      <c r="AJ340" s="46">
        <f t="shared" si="76"/>
        <v>3332</v>
      </c>
      <c r="AK340" s="46">
        <f t="shared" si="77"/>
        <v>3341</v>
      </c>
      <c r="AL340" s="33">
        <f ca="1">IFERROR(AVERAGEIFS(data_brute!M:M,data_brute!J:J,"&lt;="&amp;AK340),NA())</f>
        <v>25.353524229074896</v>
      </c>
      <c r="AM340" s="46">
        <f t="shared" ca="1" si="78"/>
        <v>3340</v>
      </c>
      <c r="AN340" s="46" t="b">
        <f t="shared" si="79"/>
        <v>0</v>
      </c>
      <c r="AO340" s="50" t="b">
        <f t="shared" si="80"/>
        <v>0</v>
      </c>
    </row>
    <row r="341" spans="21:41" x14ac:dyDescent="0.2">
      <c r="U341" s="46">
        <f t="shared" si="71"/>
        <v>3342</v>
      </c>
      <c r="V341" s="46">
        <f t="shared" si="72"/>
        <v>3351</v>
      </c>
      <c r="W341" s="33" t="e">
        <f>IFERROR(AVERAGEIFS(data_brute!M:M,data_brute!J:J,"&lt;="&amp;V341,data_brute!J:J,"&gt;="&amp;U341),NA())</f>
        <v>#N/A</v>
      </c>
      <c r="X341" s="46" t="e">
        <f t="shared" si="73"/>
        <v>#N/A</v>
      </c>
      <c r="Y341" s="2" t="b">
        <f t="shared" si="74"/>
        <v>0</v>
      </c>
      <c r="Z341" s="2" t="b">
        <f t="shared" si="75"/>
        <v>0</v>
      </c>
      <c r="AE341" s="46">
        <f t="shared" si="68"/>
        <v>3342</v>
      </c>
      <c r="AF341" s="46">
        <f t="shared" si="69"/>
        <v>3351</v>
      </c>
      <c r="AG341" s="33" t="e">
        <f>IFERROR(AVERAGEIFS(data_brute!M:M,data_brute!J:J,"&gt;="&amp;AE341,data_brute!J:J,"&lt;="&amp;AF341),NA())</f>
        <v>#N/A</v>
      </c>
      <c r="AH341" s="46" t="e">
        <f t="shared" si="70"/>
        <v>#N/A</v>
      </c>
      <c r="AJ341" s="46">
        <f t="shared" si="76"/>
        <v>3342</v>
      </c>
      <c r="AK341" s="46">
        <f t="shared" si="77"/>
        <v>3351</v>
      </c>
      <c r="AL341" s="33">
        <f ca="1">IFERROR(AVERAGEIFS(data_brute!M:M,data_brute!J:J,"&lt;="&amp;AK341),NA())</f>
        <v>25.353524229074896</v>
      </c>
      <c r="AM341" s="46">
        <f t="shared" ca="1" si="78"/>
        <v>3350</v>
      </c>
      <c r="AN341" s="46" t="b">
        <f t="shared" si="79"/>
        <v>0</v>
      </c>
      <c r="AO341" s="50" t="b">
        <f t="shared" si="80"/>
        <v>0</v>
      </c>
    </row>
    <row r="342" spans="21:41" x14ac:dyDescent="0.2">
      <c r="U342" s="46">
        <f t="shared" si="71"/>
        <v>3352</v>
      </c>
      <c r="V342" s="46">
        <f t="shared" si="72"/>
        <v>3361</v>
      </c>
      <c r="W342" s="33" t="e">
        <f>IFERROR(AVERAGEIFS(data_brute!M:M,data_brute!J:J,"&lt;="&amp;V342,data_brute!J:J,"&gt;="&amp;U342),NA())</f>
        <v>#N/A</v>
      </c>
      <c r="X342" s="46" t="e">
        <f t="shared" si="73"/>
        <v>#N/A</v>
      </c>
      <c r="Y342" s="2" t="b">
        <f t="shared" si="74"/>
        <v>0</v>
      </c>
      <c r="Z342" s="2" t="b">
        <f t="shared" si="75"/>
        <v>0</v>
      </c>
      <c r="AE342" s="46">
        <f t="shared" si="68"/>
        <v>3352</v>
      </c>
      <c r="AF342" s="46">
        <f t="shared" si="69"/>
        <v>3361</v>
      </c>
      <c r="AG342" s="33" t="e">
        <f>IFERROR(AVERAGEIFS(data_brute!M:M,data_brute!J:J,"&gt;="&amp;AE342,data_brute!J:J,"&lt;="&amp;AF342),NA())</f>
        <v>#N/A</v>
      </c>
      <c r="AH342" s="46" t="e">
        <f t="shared" si="70"/>
        <v>#N/A</v>
      </c>
      <c r="AJ342" s="46">
        <f t="shared" si="76"/>
        <v>3352</v>
      </c>
      <c r="AK342" s="46">
        <f t="shared" si="77"/>
        <v>3361</v>
      </c>
      <c r="AL342" s="33">
        <f ca="1">IFERROR(AVERAGEIFS(data_brute!M:M,data_brute!J:J,"&lt;="&amp;AK342),NA())</f>
        <v>25.353524229074896</v>
      </c>
      <c r="AM342" s="46">
        <f t="shared" ca="1" si="78"/>
        <v>3360</v>
      </c>
      <c r="AN342" s="46" t="b">
        <f t="shared" si="79"/>
        <v>0</v>
      </c>
      <c r="AO342" s="50" t="b">
        <f t="shared" si="80"/>
        <v>0</v>
      </c>
    </row>
    <row r="343" spans="21:41" x14ac:dyDescent="0.2">
      <c r="U343" s="46">
        <f t="shared" si="71"/>
        <v>3362</v>
      </c>
      <c r="V343" s="46">
        <f t="shared" si="72"/>
        <v>3371</v>
      </c>
      <c r="W343" s="33" t="e">
        <f>IFERROR(AVERAGEIFS(data_brute!M:M,data_brute!J:J,"&lt;="&amp;V343,data_brute!J:J,"&gt;="&amp;U343),NA())</f>
        <v>#N/A</v>
      </c>
      <c r="X343" s="46" t="e">
        <f t="shared" si="73"/>
        <v>#N/A</v>
      </c>
      <c r="Y343" s="2" t="b">
        <f t="shared" si="74"/>
        <v>0</v>
      </c>
      <c r="Z343" s="2" t="b">
        <f t="shared" si="75"/>
        <v>0</v>
      </c>
      <c r="AE343" s="46">
        <f t="shared" si="68"/>
        <v>3362</v>
      </c>
      <c r="AF343" s="46">
        <f t="shared" si="69"/>
        <v>3371</v>
      </c>
      <c r="AG343" s="33" t="e">
        <f>IFERROR(AVERAGEIFS(data_brute!M:M,data_brute!J:J,"&gt;="&amp;AE343,data_brute!J:J,"&lt;="&amp;AF343),NA())</f>
        <v>#N/A</v>
      </c>
      <c r="AH343" s="46" t="e">
        <f t="shared" si="70"/>
        <v>#N/A</v>
      </c>
      <c r="AJ343" s="46">
        <f t="shared" si="76"/>
        <v>3362</v>
      </c>
      <c r="AK343" s="46">
        <f t="shared" si="77"/>
        <v>3371</v>
      </c>
      <c r="AL343" s="33">
        <f ca="1">IFERROR(AVERAGEIFS(data_brute!M:M,data_brute!J:J,"&lt;="&amp;AK343),NA())</f>
        <v>25.353524229074896</v>
      </c>
      <c r="AM343" s="46">
        <f t="shared" ca="1" si="78"/>
        <v>3370</v>
      </c>
      <c r="AN343" s="46" t="b">
        <f t="shared" si="79"/>
        <v>0</v>
      </c>
      <c r="AO343" s="50" t="b">
        <f t="shared" si="80"/>
        <v>0</v>
      </c>
    </row>
    <row r="344" spans="21:41" x14ac:dyDescent="0.2">
      <c r="U344" s="46">
        <f t="shared" si="71"/>
        <v>3372</v>
      </c>
      <c r="V344" s="46">
        <f t="shared" si="72"/>
        <v>3381</v>
      </c>
      <c r="W344" s="33" t="e">
        <f>IFERROR(AVERAGEIFS(data_brute!M:M,data_brute!J:J,"&lt;="&amp;V344,data_brute!J:J,"&gt;="&amp;U344),NA())</f>
        <v>#N/A</v>
      </c>
      <c r="X344" s="46" t="e">
        <f t="shared" si="73"/>
        <v>#N/A</v>
      </c>
      <c r="Y344" s="2" t="b">
        <f t="shared" si="74"/>
        <v>0</v>
      </c>
      <c r="Z344" s="2" t="b">
        <f t="shared" si="75"/>
        <v>0</v>
      </c>
      <c r="AE344" s="46">
        <f t="shared" ref="AE344:AE407" si="81">AF343+1</f>
        <v>3372</v>
      </c>
      <c r="AF344" s="46">
        <f t="shared" ref="AF344:AF407" si="82">AE344+$AG$2-1</f>
        <v>3381</v>
      </c>
      <c r="AG344" s="33" t="e">
        <f>IFERROR(AVERAGEIFS(data_brute!M:M,data_brute!J:J,"&gt;="&amp;AE344,data_brute!J:J,"&lt;="&amp;AF344),NA())</f>
        <v>#N/A</v>
      </c>
      <c r="AH344" s="46" t="e">
        <f t="shared" ref="AH344:AH407" si="83">IF(AG344&lt;&gt;"",$AG$2*(ROW()-ROW($AH$6)),NA())</f>
        <v>#N/A</v>
      </c>
      <c r="AJ344" s="46">
        <f t="shared" si="76"/>
        <v>3372</v>
      </c>
      <c r="AK344" s="46">
        <f t="shared" si="77"/>
        <v>3381</v>
      </c>
      <c r="AL344" s="33">
        <f ca="1">IFERROR(AVERAGEIFS(data_brute!M:M,data_brute!J:J,"&lt;="&amp;AK344),NA())</f>
        <v>25.353524229074896</v>
      </c>
      <c r="AM344" s="46">
        <f t="shared" ca="1" si="78"/>
        <v>3380</v>
      </c>
      <c r="AN344" s="46" t="b">
        <f t="shared" si="79"/>
        <v>0</v>
      </c>
      <c r="AO344" s="50" t="b">
        <f t="shared" si="80"/>
        <v>0</v>
      </c>
    </row>
    <row r="345" spans="21:41" x14ac:dyDescent="0.2">
      <c r="U345" s="46">
        <f t="shared" si="71"/>
        <v>3382</v>
      </c>
      <c r="V345" s="46">
        <f t="shared" si="72"/>
        <v>3391</v>
      </c>
      <c r="W345" s="33" t="e">
        <f>IFERROR(AVERAGEIFS(data_brute!M:M,data_brute!J:J,"&lt;="&amp;V345,data_brute!J:J,"&gt;="&amp;U345),NA())</f>
        <v>#N/A</v>
      </c>
      <c r="X345" s="46" t="e">
        <f t="shared" si="73"/>
        <v>#N/A</v>
      </c>
      <c r="Y345" s="2" t="b">
        <f t="shared" si="74"/>
        <v>0</v>
      </c>
      <c r="Z345" s="2" t="b">
        <f t="shared" si="75"/>
        <v>0</v>
      </c>
      <c r="AE345" s="46">
        <f t="shared" si="81"/>
        <v>3382</v>
      </c>
      <c r="AF345" s="46">
        <f t="shared" si="82"/>
        <v>3391</v>
      </c>
      <c r="AG345" s="33" t="e">
        <f>IFERROR(AVERAGEIFS(data_brute!M:M,data_brute!J:J,"&gt;="&amp;AE345,data_brute!J:J,"&lt;="&amp;AF345),NA())</f>
        <v>#N/A</v>
      </c>
      <c r="AH345" s="46" t="e">
        <f t="shared" si="83"/>
        <v>#N/A</v>
      </c>
      <c r="AJ345" s="46">
        <f t="shared" si="76"/>
        <v>3382</v>
      </c>
      <c r="AK345" s="46">
        <f t="shared" si="77"/>
        <v>3391</v>
      </c>
      <c r="AL345" s="33">
        <f ca="1">IFERROR(AVERAGEIFS(data_brute!M:M,data_brute!J:J,"&lt;="&amp;AK345),NA())</f>
        <v>25.353524229074896</v>
      </c>
      <c r="AM345" s="46">
        <f t="shared" ca="1" si="78"/>
        <v>3390</v>
      </c>
      <c r="AN345" s="46" t="b">
        <f t="shared" si="79"/>
        <v>0</v>
      </c>
      <c r="AO345" s="50" t="b">
        <f t="shared" si="80"/>
        <v>0</v>
      </c>
    </row>
    <row r="346" spans="21:41" x14ac:dyDescent="0.2">
      <c r="U346" s="46">
        <f t="shared" si="71"/>
        <v>3392</v>
      </c>
      <c r="V346" s="46">
        <f t="shared" si="72"/>
        <v>3401</v>
      </c>
      <c r="W346" s="33" t="e">
        <f>IFERROR(AVERAGEIFS(data_brute!M:M,data_brute!J:J,"&lt;="&amp;V346,data_brute!J:J,"&gt;="&amp;U346),NA())</f>
        <v>#N/A</v>
      </c>
      <c r="X346" s="46" t="e">
        <f t="shared" si="73"/>
        <v>#N/A</v>
      </c>
      <c r="Y346" s="2" t="b">
        <f t="shared" si="74"/>
        <v>0</v>
      </c>
      <c r="Z346" s="2" t="b">
        <f t="shared" si="75"/>
        <v>0</v>
      </c>
      <c r="AE346" s="46">
        <f t="shared" si="81"/>
        <v>3392</v>
      </c>
      <c r="AF346" s="46">
        <f t="shared" si="82"/>
        <v>3401</v>
      </c>
      <c r="AG346" s="33" t="e">
        <f>IFERROR(AVERAGEIFS(data_brute!M:M,data_brute!J:J,"&gt;="&amp;AE346,data_brute!J:J,"&lt;="&amp;AF346),NA())</f>
        <v>#N/A</v>
      </c>
      <c r="AH346" s="46" t="e">
        <f t="shared" si="83"/>
        <v>#N/A</v>
      </c>
      <c r="AJ346" s="46">
        <f t="shared" si="76"/>
        <v>3392</v>
      </c>
      <c r="AK346" s="46">
        <f t="shared" si="77"/>
        <v>3401</v>
      </c>
      <c r="AL346" s="33">
        <f ca="1">IFERROR(AVERAGEIFS(data_brute!M:M,data_brute!J:J,"&lt;="&amp;AK346),NA())</f>
        <v>25.353524229074896</v>
      </c>
      <c r="AM346" s="46">
        <f t="shared" ca="1" si="78"/>
        <v>3400</v>
      </c>
      <c r="AN346" s="46" t="b">
        <f t="shared" si="79"/>
        <v>0</v>
      </c>
      <c r="AO346" s="50" t="b">
        <f t="shared" si="80"/>
        <v>0</v>
      </c>
    </row>
    <row r="347" spans="21:41" x14ac:dyDescent="0.2">
      <c r="U347" s="46">
        <f t="shared" si="71"/>
        <v>3402</v>
      </c>
      <c r="V347" s="46">
        <f t="shared" si="72"/>
        <v>3411</v>
      </c>
      <c r="W347" s="33" t="e">
        <f>IFERROR(AVERAGEIFS(data_brute!M:M,data_brute!J:J,"&lt;="&amp;V347,data_brute!J:J,"&gt;="&amp;U347),NA())</f>
        <v>#N/A</v>
      </c>
      <c r="X347" s="46" t="e">
        <f t="shared" si="73"/>
        <v>#N/A</v>
      </c>
      <c r="Y347" s="2" t="b">
        <f t="shared" si="74"/>
        <v>0</v>
      </c>
      <c r="Z347" s="2" t="b">
        <f t="shared" si="75"/>
        <v>0</v>
      </c>
      <c r="AE347" s="46">
        <f t="shared" si="81"/>
        <v>3402</v>
      </c>
      <c r="AF347" s="46">
        <f t="shared" si="82"/>
        <v>3411</v>
      </c>
      <c r="AG347" s="33" t="e">
        <f>IFERROR(AVERAGEIFS(data_brute!M:M,data_brute!J:J,"&gt;="&amp;AE347,data_brute!J:J,"&lt;="&amp;AF347),NA())</f>
        <v>#N/A</v>
      </c>
      <c r="AH347" s="46" t="e">
        <f t="shared" si="83"/>
        <v>#N/A</v>
      </c>
      <c r="AJ347" s="46">
        <f t="shared" si="76"/>
        <v>3402</v>
      </c>
      <c r="AK347" s="46">
        <f t="shared" si="77"/>
        <v>3411</v>
      </c>
      <c r="AL347" s="33">
        <f ca="1">IFERROR(AVERAGEIFS(data_brute!M:M,data_brute!J:J,"&lt;="&amp;AK347),NA())</f>
        <v>25.353524229074896</v>
      </c>
      <c r="AM347" s="46">
        <f t="shared" ca="1" si="78"/>
        <v>3410</v>
      </c>
      <c r="AN347" s="46" t="b">
        <f t="shared" si="79"/>
        <v>0</v>
      </c>
      <c r="AO347" s="50" t="b">
        <f t="shared" si="80"/>
        <v>0</v>
      </c>
    </row>
    <row r="348" spans="21:41" x14ac:dyDescent="0.2">
      <c r="U348" s="46">
        <f t="shared" si="71"/>
        <v>3412</v>
      </c>
      <c r="V348" s="46">
        <f t="shared" si="72"/>
        <v>3421</v>
      </c>
      <c r="W348" s="33" t="e">
        <f>IFERROR(AVERAGEIFS(data_brute!M:M,data_brute!J:J,"&lt;="&amp;V348,data_brute!J:J,"&gt;="&amp;U348),NA())</f>
        <v>#N/A</v>
      </c>
      <c r="X348" s="46" t="e">
        <f t="shared" si="73"/>
        <v>#N/A</v>
      </c>
      <c r="Y348" s="2" t="b">
        <f t="shared" si="74"/>
        <v>0</v>
      </c>
      <c r="Z348" s="2" t="b">
        <f t="shared" si="75"/>
        <v>0</v>
      </c>
      <c r="AE348" s="46">
        <f t="shared" si="81"/>
        <v>3412</v>
      </c>
      <c r="AF348" s="46">
        <f t="shared" si="82"/>
        <v>3421</v>
      </c>
      <c r="AG348" s="33" t="e">
        <f>IFERROR(AVERAGEIFS(data_brute!M:M,data_brute!J:J,"&gt;="&amp;AE348,data_brute!J:J,"&lt;="&amp;AF348),NA())</f>
        <v>#N/A</v>
      </c>
      <c r="AH348" s="46" t="e">
        <f t="shared" si="83"/>
        <v>#N/A</v>
      </c>
      <c r="AJ348" s="46">
        <f t="shared" si="76"/>
        <v>3412</v>
      </c>
      <c r="AK348" s="46">
        <f t="shared" si="77"/>
        <v>3421</v>
      </c>
      <c r="AL348" s="33">
        <f ca="1">IFERROR(AVERAGEIFS(data_brute!M:M,data_brute!J:J,"&lt;="&amp;AK348),NA())</f>
        <v>25.353524229074896</v>
      </c>
      <c r="AM348" s="46">
        <f t="shared" ca="1" si="78"/>
        <v>3420</v>
      </c>
      <c r="AN348" s="46" t="b">
        <f t="shared" si="79"/>
        <v>0</v>
      </c>
      <c r="AO348" s="50" t="b">
        <f t="shared" si="80"/>
        <v>0</v>
      </c>
    </row>
    <row r="349" spans="21:41" x14ac:dyDescent="0.2">
      <c r="U349" s="46">
        <f t="shared" si="71"/>
        <v>3422</v>
      </c>
      <c r="V349" s="46">
        <f t="shared" si="72"/>
        <v>3431</v>
      </c>
      <c r="W349" s="33" t="e">
        <f>IFERROR(AVERAGEIFS(data_brute!M:M,data_brute!J:J,"&lt;="&amp;V349,data_brute!J:J,"&gt;="&amp;U349),NA())</f>
        <v>#N/A</v>
      </c>
      <c r="X349" s="46" t="e">
        <f t="shared" si="73"/>
        <v>#N/A</v>
      </c>
      <c r="Y349" s="2" t="b">
        <f t="shared" si="74"/>
        <v>0</v>
      </c>
      <c r="Z349" s="2" t="b">
        <f t="shared" si="75"/>
        <v>0</v>
      </c>
      <c r="AE349" s="46">
        <f t="shared" si="81"/>
        <v>3422</v>
      </c>
      <c r="AF349" s="46">
        <f t="shared" si="82"/>
        <v>3431</v>
      </c>
      <c r="AG349" s="33" t="e">
        <f>IFERROR(AVERAGEIFS(data_brute!M:M,data_brute!J:J,"&gt;="&amp;AE349,data_brute!J:J,"&lt;="&amp;AF349),NA())</f>
        <v>#N/A</v>
      </c>
      <c r="AH349" s="46" t="e">
        <f t="shared" si="83"/>
        <v>#N/A</v>
      </c>
      <c r="AJ349" s="46">
        <f t="shared" si="76"/>
        <v>3422</v>
      </c>
      <c r="AK349" s="46">
        <f t="shared" si="77"/>
        <v>3431</v>
      </c>
      <c r="AL349" s="33">
        <f ca="1">IFERROR(AVERAGEIFS(data_brute!M:M,data_brute!J:J,"&lt;="&amp;AK349),NA())</f>
        <v>25.353524229074896</v>
      </c>
      <c r="AM349" s="46">
        <f t="shared" ca="1" si="78"/>
        <v>3430</v>
      </c>
      <c r="AN349" s="46" t="b">
        <f t="shared" si="79"/>
        <v>0</v>
      </c>
      <c r="AO349" s="50" t="b">
        <f t="shared" si="80"/>
        <v>0</v>
      </c>
    </row>
    <row r="350" spans="21:41" x14ac:dyDescent="0.2">
      <c r="U350" s="46">
        <f t="shared" si="71"/>
        <v>3432</v>
      </c>
      <c r="V350" s="46">
        <f t="shared" si="72"/>
        <v>3441</v>
      </c>
      <c r="W350" s="33" t="e">
        <f>IFERROR(AVERAGEIFS(data_brute!M:M,data_brute!J:J,"&lt;="&amp;V350,data_brute!J:J,"&gt;="&amp;U350),NA())</f>
        <v>#N/A</v>
      </c>
      <c r="X350" s="46" t="e">
        <f t="shared" si="73"/>
        <v>#N/A</v>
      </c>
      <c r="Y350" s="2" t="b">
        <f t="shared" si="74"/>
        <v>0</v>
      </c>
      <c r="Z350" s="2" t="b">
        <f t="shared" si="75"/>
        <v>0</v>
      </c>
      <c r="AE350" s="46">
        <f t="shared" si="81"/>
        <v>3432</v>
      </c>
      <c r="AF350" s="46">
        <f t="shared" si="82"/>
        <v>3441</v>
      </c>
      <c r="AG350" s="33" t="e">
        <f>IFERROR(AVERAGEIFS(data_brute!M:M,data_brute!J:J,"&gt;="&amp;AE350,data_brute!J:J,"&lt;="&amp;AF350),NA())</f>
        <v>#N/A</v>
      </c>
      <c r="AH350" s="46" t="e">
        <f t="shared" si="83"/>
        <v>#N/A</v>
      </c>
      <c r="AJ350" s="46">
        <f t="shared" si="76"/>
        <v>3432</v>
      </c>
      <c r="AK350" s="46">
        <f t="shared" si="77"/>
        <v>3441</v>
      </c>
      <c r="AL350" s="33">
        <f ca="1">IFERROR(AVERAGEIFS(data_brute!M:M,data_brute!J:J,"&lt;="&amp;AK350),NA())</f>
        <v>25.353524229074896</v>
      </c>
      <c r="AM350" s="46">
        <f t="shared" ca="1" si="78"/>
        <v>3440</v>
      </c>
      <c r="AN350" s="46" t="b">
        <f t="shared" si="79"/>
        <v>0</v>
      </c>
      <c r="AO350" s="50" t="b">
        <f t="shared" si="80"/>
        <v>0</v>
      </c>
    </row>
    <row r="351" spans="21:41" x14ac:dyDescent="0.2">
      <c r="U351" s="46">
        <f t="shared" si="71"/>
        <v>3442</v>
      </c>
      <c r="V351" s="46">
        <f t="shared" si="72"/>
        <v>3451</v>
      </c>
      <c r="W351" s="33" t="e">
        <f>IFERROR(AVERAGEIFS(data_brute!M:M,data_brute!J:J,"&lt;="&amp;V351,data_brute!J:J,"&gt;="&amp;U351),NA())</f>
        <v>#N/A</v>
      </c>
      <c r="X351" s="46" t="e">
        <f t="shared" si="73"/>
        <v>#N/A</v>
      </c>
      <c r="Y351" s="2" t="b">
        <f t="shared" si="74"/>
        <v>0</v>
      </c>
      <c r="Z351" s="2" t="b">
        <f t="shared" si="75"/>
        <v>0</v>
      </c>
      <c r="AE351" s="46">
        <f t="shared" si="81"/>
        <v>3442</v>
      </c>
      <c r="AF351" s="46">
        <f t="shared" si="82"/>
        <v>3451</v>
      </c>
      <c r="AG351" s="33" t="e">
        <f>IFERROR(AVERAGEIFS(data_brute!M:M,data_brute!J:J,"&gt;="&amp;AE351,data_brute!J:J,"&lt;="&amp;AF351),NA())</f>
        <v>#N/A</v>
      </c>
      <c r="AH351" s="46" t="e">
        <f t="shared" si="83"/>
        <v>#N/A</v>
      </c>
      <c r="AJ351" s="46">
        <f t="shared" si="76"/>
        <v>3442</v>
      </c>
      <c r="AK351" s="46">
        <f t="shared" si="77"/>
        <v>3451</v>
      </c>
      <c r="AL351" s="33">
        <f ca="1">IFERROR(AVERAGEIFS(data_brute!M:M,data_brute!J:J,"&lt;="&amp;AK351),NA())</f>
        <v>25.353524229074896</v>
      </c>
      <c r="AM351" s="46">
        <f t="shared" ca="1" si="78"/>
        <v>3450</v>
      </c>
      <c r="AN351" s="46" t="b">
        <f t="shared" si="79"/>
        <v>0</v>
      </c>
      <c r="AO351" s="50" t="b">
        <f t="shared" si="80"/>
        <v>0</v>
      </c>
    </row>
    <row r="352" spans="21:41" x14ac:dyDescent="0.2">
      <c r="U352" s="46">
        <f t="shared" si="71"/>
        <v>3452</v>
      </c>
      <c r="V352" s="46">
        <f t="shared" si="72"/>
        <v>3461</v>
      </c>
      <c r="W352" s="33" t="e">
        <f>IFERROR(AVERAGEIFS(data_brute!M:M,data_brute!J:J,"&lt;="&amp;V352,data_brute!J:J,"&gt;="&amp;U352),NA())</f>
        <v>#N/A</v>
      </c>
      <c r="X352" s="46" t="e">
        <f t="shared" si="73"/>
        <v>#N/A</v>
      </c>
      <c r="Y352" s="2" t="b">
        <f t="shared" si="74"/>
        <v>0</v>
      </c>
      <c r="Z352" s="2" t="b">
        <f t="shared" si="75"/>
        <v>0</v>
      </c>
      <c r="AE352" s="46">
        <f t="shared" si="81"/>
        <v>3452</v>
      </c>
      <c r="AF352" s="46">
        <f t="shared" si="82"/>
        <v>3461</v>
      </c>
      <c r="AG352" s="33" t="e">
        <f>IFERROR(AVERAGEIFS(data_brute!M:M,data_brute!J:J,"&gt;="&amp;AE352,data_brute!J:J,"&lt;="&amp;AF352),NA())</f>
        <v>#N/A</v>
      </c>
      <c r="AH352" s="46" t="e">
        <f t="shared" si="83"/>
        <v>#N/A</v>
      </c>
      <c r="AJ352" s="46">
        <f t="shared" si="76"/>
        <v>3452</v>
      </c>
      <c r="AK352" s="46">
        <f t="shared" si="77"/>
        <v>3461</v>
      </c>
      <c r="AL352" s="33">
        <f ca="1">IFERROR(AVERAGEIFS(data_brute!M:M,data_brute!J:J,"&lt;="&amp;AK352),NA())</f>
        <v>25.353524229074896</v>
      </c>
      <c r="AM352" s="46">
        <f t="shared" ca="1" si="78"/>
        <v>3460</v>
      </c>
      <c r="AN352" s="46" t="b">
        <f t="shared" si="79"/>
        <v>0</v>
      </c>
      <c r="AO352" s="50" t="b">
        <f t="shared" si="80"/>
        <v>0</v>
      </c>
    </row>
    <row r="353" spans="21:41" x14ac:dyDescent="0.2">
      <c r="U353" s="46">
        <f t="shared" si="71"/>
        <v>3462</v>
      </c>
      <c r="V353" s="46">
        <f t="shared" si="72"/>
        <v>3471</v>
      </c>
      <c r="W353" s="33" t="e">
        <f>IFERROR(AVERAGEIFS(data_brute!M:M,data_brute!J:J,"&lt;="&amp;V353,data_brute!J:J,"&gt;="&amp;U353),NA())</f>
        <v>#N/A</v>
      </c>
      <c r="X353" s="46" t="e">
        <f t="shared" si="73"/>
        <v>#N/A</v>
      </c>
      <c r="Y353" s="2" t="b">
        <f t="shared" si="74"/>
        <v>0</v>
      </c>
      <c r="Z353" s="2" t="b">
        <f t="shared" si="75"/>
        <v>0</v>
      </c>
      <c r="AE353" s="46">
        <f t="shared" si="81"/>
        <v>3462</v>
      </c>
      <c r="AF353" s="46">
        <f t="shared" si="82"/>
        <v>3471</v>
      </c>
      <c r="AG353" s="33" t="e">
        <f>IFERROR(AVERAGEIFS(data_brute!M:M,data_brute!J:J,"&gt;="&amp;AE353,data_brute!J:J,"&lt;="&amp;AF353),NA())</f>
        <v>#N/A</v>
      </c>
      <c r="AH353" s="46" t="e">
        <f t="shared" si="83"/>
        <v>#N/A</v>
      </c>
      <c r="AJ353" s="46">
        <f t="shared" si="76"/>
        <v>3462</v>
      </c>
      <c r="AK353" s="46">
        <f t="shared" si="77"/>
        <v>3471</v>
      </c>
      <c r="AL353" s="33">
        <f ca="1">IFERROR(AVERAGEIFS(data_brute!M:M,data_brute!J:J,"&lt;="&amp;AK353),NA())</f>
        <v>25.353524229074896</v>
      </c>
      <c r="AM353" s="46">
        <f t="shared" ca="1" si="78"/>
        <v>3470</v>
      </c>
      <c r="AN353" s="46" t="b">
        <f t="shared" si="79"/>
        <v>0</v>
      </c>
      <c r="AO353" s="50" t="b">
        <f t="shared" si="80"/>
        <v>0</v>
      </c>
    </row>
    <row r="354" spans="21:41" x14ac:dyDescent="0.2">
      <c r="U354" s="46">
        <f t="shared" si="71"/>
        <v>3472</v>
      </c>
      <c r="V354" s="46">
        <f t="shared" si="72"/>
        <v>3481</v>
      </c>
      <c r="W354" s="33" t="e">
        <f>IFERROR(AVERAGEIFS(data_brute!M:M,data_brute!J:J,"&lt;="&amp;V354,data_brute!J:J,"&gt;="&amp;U354),NA())</f>
        <v>#N/A</v>
      </c>
      <c r="X354" s="46" t="e">
        <f t="shared" si="73"/>
        <v>#N/A</v>
      </c>
      <c r="Y354" s="2" t="b">
        <f t="shared" si="74"/>
        <v>0</v>
      </c>
      <c r="Z354" s="2" t="b">
        <f t="shared" si="75"/>
        <v>0</v>
      </c>
      <c r="AE354" s="46">
        <f t="shared" si="81"/>
        <v>3472</v>
      </c>
      <c r="AF354" s="46">
        <f t="shared" si="82"/>
        <v>3481</v>
      </c>
      <c r="AG354" s="33" t="e">
        <f>IFERROR(AVERAGEIFS(data_brute!M:M,data_brute!J:J,"&gt;="&amp;AE354,data_brute!J:J,"&lt;="&amp;AF354),NA())</f>
        <v>#N/A</v>
      </c>
      <c r="AH354" s="46" t="e">
        <f t="shared" si="83"/>
        <v>#N/A</v>
      </c>
      <c r="AJ354" s="46">
        <f t="shared" si="76"/>
        <v>3472</v>
      </c>
      <c r="AK354" s="46">
        <f t="shared" si="77"/>
        <v>3481</v>
      </c>
      <c r="AL354" s="33">
        <f ca="1">IFERROR(AVERAGEIFS(data_brute!M:M,data_brute!J:J,"&lt;="&amp;AK354),NA())</f>
        <v>25.353524229074896</v>
      </c>
      <c r="AM354" s="46">
        <f t="shared" ca="1" si="78"/>
        <v>3480</v>
      </c>
      <c r="AN354" s="46" t="b">
        <f t="shared" si="79"/>
        <v>0</v>
      </c>
      <c r="AO354" s="50" t="b">
        <f t="shared" si="80"/>
        <v>0</v>
      </c>
    </row>
    <row r="355" spans="21:41" x14ac:dyDescent="0.2">
      <c r="U355" s="46">
        <f t="shared" ref="U355:U418" si="84">V354+1</f>
        <v>3482</v>
      </c>
      <c r="V355" s="46">
        <f t="shared" ref="V355:V418" si="85">U355+$AG$2-1</f>
        <v>3491</v>
      </c>
      <c r="W355" s="33" t="e">
        <f>IFERROR(AVERAGEIFS(data_brute!M:M,data_brute!J:J,"&lt;="&amp;V355,data_brute!J:J,"&gt;="&amp;U355),NA())</f>
        <v>#N/A</v>
      </c>
      <c r="X355" s="46" t="e">
        <f t="shared" ref="X355:X418" si="86">IF(W355&lt;&gt;"",$AG$2*(ROW()-ROW($AH$6)),NA())</f>
        <v>#N/A</v>
      </c>
      <c r="Y355" s="2" t="b">
        <f t="shared" ref="Y355:Y418" si="87">IF(AND($F$5&gt;=U355,$F$5&lt;=V355,V355=$F$5),TRUE,FALSE)</f>
        <v>0</v>
      </c>
      <c r="Z355" s="2" t="b">
        <f t="shared" ref="Z355:Z418" si="88">IF(AND($F$5&gt;=U355,$F$5&lt;=V355),TRUE,FALSE)</f>
        <v>0</v>
      </c>
      <c r="AE355" s="46">
        <f t="shared" si="81"/>
        <v>3482</v>
      </c>
      <c r="AF355" s="46">
        <f t="shared" si="82"/>
        <v>3491</v>
      </c>
      <c r="AG355" s="33" t="e">
        <f>IFERROR(AVERAGEIFS(data_brute!M:M,data_brute!J:J,"&gt;="&amp;AE355,data_brute!J:J,"&lt;="&amp;AF355),NA())</f>
        <v>#N/A</v>
      </c>
      <c r="AH355" s="46" t="e">
        <f t="shared" si="83"/>
        <v>#N/A</v>
      </c>
      <c r="AJ355" s="46">
        <f t="shared" si="76"/>
        <v>3482</v>
      </c>
      <c r="AK355" s="46">
        <f t="shared" si="77"/>
        <v>3491</v>
      </c>
      <c r="AL355" s="33">
        <f ca="1">IFERROR(AVERAGEIFS(data_brute!M:M,data_brute!J:J,"&lt;="&amp;AK355),NA())</f>
        <v>25.353524229074896</v>
      </c>
      <c r="AM355" s="46">
        <f t="shared" ca="1" si="78"/>
        <v>3490</v>
      </c>
      <c r="AN355" s="46" t="b">
        <f t="shared" si="79"/>
        <v>0</v>
      </c>
      <c r="AO355" s="50" t="b">
        <f t="shared" si="80"/>
        <v>0</v>
      </c>
    </row>
    <row r="356" spans="21:41" x14ac:dyDescent="0.2">
      <c r="U356" s="46">
        <f t="shared" si="84"/>
        <v>3492</v>
      </c>
      <c r="V356" s="46">
        <f t="shared" si="85"/>
        <v>3501</v>
      </c>
      <c r="W356" s="33" t="e">
        <f>IFERROR(AVERAGEIFS(data_brute!M:M,data_brute!J:J,"&lt;="&amp;V356,data_brute!J:J,"&gt;="&amp;U356),NA())</f>
        <v>#N/A</v>
      </c>
      <c r="X356" s="46" t="e">
        <f t="shared" si="86"/>
        <v>#N/A</v>
      </c>
      <c r="Y356" s="2" t="b">
        <f t="shared" si="87"/>
        <v>0</v>
      </c>
      <c r="Z356" s="2" t="b">
        <f t="shared" si="88"/>
        <v>0</v>
      </c>
      <c r="AE356" s="46">
        <f t="shared" si="81"/>
        <v>3492</v>
      </c>
      <c r="AF356" s="46">
        <f t="shared" si="82"/>
        <v>3501</v>
      </c>
      <c r="AG356" s="33" t="e">
        <f>IFERROR(AVERAGEIFS(data_brute!M:M,data_brute!J:J,"&gt;="&amp;AE356,data_brute!J:J,"&lt;="&amp;AF356),NA())</f>
        <v>#N/A</v>
      </c>
      <c r="AH356" s="46" t="e">
        <f t="shared" si="83"/>
        <v>#N/A</v>
      </c>
      <c r="AJ356" s="46">
        <f t="shared" ref="AJ356:AJ419" si="89">AK355+1</f>
        <v>3492</v>
      </c>
      <c r="AK356" s="46">
        <f t="shared" ref="AK356:AK419" si="90">AJ356+$AG$2-1</f>
        <v>3501</v>
      </c>
      <c r="AL356" s="33">
        <f ca="1">IFERROR(AVERAGEIFS(data_brute!M:M,data_brute!J:J,"&lt;="&amp;AK356),NA())</f>
        <v>25.353524229074896</v>
      </c>
      <c r="AM356" s="46">
        <f t="shared" ref="AM356:AM419" ca="1" si="91">IF(AL356&lt;&gt;"",$AG$2*(ROW()-ROW($AH$6)),NA())</f>
        <v>3500</v>
      </c>
      <c r="AN356" s="46" t="b">
        <f t="shared" ref="AN356:AN419" si="92">IF(AND($F$5&gt;=AJ356,$F$5&lt;=AK356,AK356=$F$5),TRUE,FALSE)</f>
        <v>0</v>
      </c>
      <c r="AO356" s="50" t="b">
        <f t="shared" ref="AO356:AO419" si="93">IF(AND($F$5&gt;=AJ356,$F$5&lt;=AK356),TRUE,FALSE)</f>
        <v>0</v>
      </c>
    </row>
    <row r="357" spans="21:41" x14ac:dyDescent="0.2">
      <c r="U357" s="46">
        <f t="shared" si="84"/>
        <v>3502</v>
      </c>
      <c r="V357" s="46">
        <f t="shared" si="85"/>
        <v>3511</v>
      </c>
      <c r="W357" s="33" t="e">
        <f>IFERROR(AVERAGEIFS(data_brute!M:M,data_brute!J:J,"&lt;="&amp;V357,data_brute!J:J,"&gt;="&amp;U357),NA())</f>
        <v>#N/A</v>
      </c>
      <c r="X357" s="46" t="e">
        <f t="shared" si="86"/>
        <v>#N/A</v>
      </c>
      <c r="Y357" s="2" t="b">
        <f t="shared" si="87"/>
        <v>0</v>
      </c>
      <c r="Z357" s="2" t="b">
        <f t="shared" si="88"/>
        <v>0</v>
      </c>
      <c r="AE357" s="46">
        <f t="shared" si="81"/>
        <v>3502</v>
      </c>
      <c r="AF357" s="46">
        <f t="shared" si="82"/>
        <v>3511</v>
      </c>
      <c r="AG357" s="33" t="e">
        <f>IFERROR(AVERAGEIFS(data_brute!M:M,data_brute!J:J,"&gt;="&amp;AE357,data_brute!J:J,"&lt;="&amp;AF357),NA())</f>
        <v>#N/A</v>
      </c>
      <c r="AH357" s="46" t="e">
        <f t="shared" si="83"/>
        <v>#N/A</v>
      </c>
      <c r="AJ357" s="46">
        <f t="shared" si="89"/>
        <v>3502</v>
      </c>
      <c r="AK357" s="46">
        <f t="shared" si="90"/>
        <v>3511</v>
      </c>
      <c r="AL357" s="33">
        <f ca="1">IFERROR(AVERAGEIFS(data_brute!M:M,data_brute!J:J,"&lt;="&amp;AK357),NA())</f>
        <v>25.353524229074896</v>
      </c>
      <c r="AM357" s="46">
        <f t="shared" ca="1" si="91"/>
        <v>3510</v>
      </c>
      <c r="AN357" s="46" t="b">
        <f t="shared" si="92"/>
        <v>0</v>
      </c>
      <c r="AO357" s="50" t="b">
        <f t="shared" si="93"/>
        <v>0</v>
      </c>
    </row>
    <row r="358" spans="21:41" x14ac:dyDescent="0.2">
      <c r="U358" s="46">
        <f t="shared" si="84"/>
        <v>3512</v>
      </c>
      <c r="V358" s="46">
        <f t="shared" si="85"/>
        <v>3521</v>
      </c>
      <c r="W358" s="33" t="e">
        <f>IFERROR(AVERAGEIFS(data_brute!M:M,data_brute!J:J,"&lt;="&amp;V358,data_brute!J:J,"&gt;="&amp;U358),NA())</f>
        <v>#N/A</v>
      </c>
      <c r="X358" s="46" t="e">
        <f t="shared" si="86"/>
        <v>#N/A</v>
      </c>
      <c r="Y358" s="2" t="b">
        <f t="shared" si="87"/>
        <v>0</v>
      </c>
      <c r="Z358" s="2" t="b">
        <f t="shared" si="88"/>
        <v>0</v>
      </c>
      <c r="AE358" s="46">
        <f t="shared" si="81"/>
        <v>3512</v>
      </c>
      <c r="AF358" s="46">
        <f t="shared" si="82"/>
        <v>3521</v>
      </c>
      <c r="AG358" s="33" t="e">
        <f>IFERROR(AVERAGEIFS(data_brute!M:M,data_brute!J:J,"&gt;="&amp;AE358,data_brute!J:J,"&lt;="&amp;AF358),NA())</f>
        <v>#N/A</v>
      </c>
      <c r="AH358" s="46" t="e">
        <f t="shared" si="83"/>
        <v>#N/A</v>
      </c>
      <c r="AJ358" s="46">
        <f t="shared" si="89"/>
        <v>3512</v>
      </c>
      <c r="AK358" s="46">
        <f t="shared" si="90"/>
        <v>3521</v>
      </c>
      <c r="AL358" s="33">
        <f ca="1">IFERROR(AVERAGEIFS(data_brute!M:M,data_brute!J:J,"&lt;="&amp;AK358),NA())</f>
        <v>25.353524229074896</v>
      </c>
      <c r="AM358" s="46">
        <f t="shared" ca="1" si="91"/>
        <v>3520</v>
      </c>
      <c r="AN358" s="46" t="b">
        <f t="shared" si="92"/>
        <v>0</v>
      </c>
      <c r="AO358" s="50" t="b">
        <f t="shared" si="93"/>
        <v>0</v>
      </c>
    </row>
    <row r="359" spans="21:41" x14ac:dyDescent="0.2">
      <c r="U359" s="46">
        <f t="shared" si="84"/>
        <v>3522</v>
      </c>
      <c r="V359" s="46">
        <f t="shared" si="85"/>
        <v>3531</v>
      </c>
      <c r="W359" s="33" t="e">
        <f>IFERROR(AVERAGEIFS(data_brute!M:M,data_brute!J:J,"&lt;="&amp;V359,data_brute!J:J,"&gt;="&amp;U359),NA())</f>
        <v>#N/A</v>
      </c>
      <c r="X359" s="46" t="e">
        <f t="shared" si="86"/>
        <v>#N/A</v>
      </c>
      <c r="Y359" s="2" t="b">
        <f t="shared" si="87"/>
        <v>0</v>
      </c>
      <c r="Z359" s="2" t="b">
        <f t="shared" si="88"/>
        <v>0</v>
      </c>
      <c r="AE359" s="46">
        <f t="shared" si="81"/>
        <v>3522</v>
      </c>
      <c r="AF359" s="46">
        <f t="shared" si="82"/>
        <v>3531</v>
      </c>
      <c r="AG359" s="33" t="e">
        <f>IFERROR(AVERAGEIFS(data_brute!M:M,data_brute!J:J,"&gt;="&amp;AE359,data_brute!J:J,"&lt;="&amp;AF359),NA())</f>
        <v>#N/A</v>
      </c>
      <c r="AH359" s="46" t="e">
        <f t="shared" si="83"/>
        <v>#N/A</v>
      </c>
      <c r="AJ359" s="46">
        <f t="shared" si="89"/>
        <v>3522</v>
      </c>
      <c r="AK359" s="46">
        <f t="shared" si="90"/>
        <v>3531</v>
      </c>
      <c r="AL359" s="33">
        <f ca="1">IFERROR(AVERAGEIFS(data_brute!M:M,data_brute!J:J,"&lt;="&amp;AK359),NA())</f>
        <v>25.353524229074896</v>
      </c>
      <c r="AM359" s="46">
        <f t="shared" ca="1" si="91"/>
        <v>3530</v>
      </c>
      <c r="AN359" s="46" t="b">
        <f t="shared" si="92"/>
        <v>0</v>
      </c>
      <c r="AO359" s="50" t="b">
        <f t="shared" si="93"/>
        <v>0</v>
      </c>
    </row>
    <row r="360" spans="21:41" x14ac:dyDescent="0.2">
      <c r="U360" s="46">
        <f t="shared" si="84"/>
        <v>3532</v>
      </c>
      <c r="V360" s="46">
        <f t="shared" si="85"/>
        <v>3541</v>
      </c>
      <c r="W360" s="33" t="e">
        <f>IFERROR(AVERAGEIFS(data_brute!M:M,data_brute!J:J,"&lt;="&amp;V360,data_brute!J:J,"&gt;="&amp;U360),NA())</f>
        <v>#N/A</v>
      </c>
      <c r="X360" s="46" t="e">
        <f t="shared" si="86"/>
        <v>#N/A</v>
      </c>
      <c r="Y360" s="2" t="b">
        <f t="shared" si="87"/>
        <v>0</v>
      </c>
      <c r="Z360" s="2" t="b">
        <f t="shared" si="88"/>
        <v>0</v>
      </c>
      <c r="AE360" s="46">
        <f t="shared" si="81"/>
        <v>3532</v>
      </c>
      <c r="AF360" s="46">
        <f t="shared" si="82"/>
        <v>3541</v>
      </c>
      <c r="AG360" s="33" t="e">
        <f>IFERROR(AVERAGEIFS(data_brute!M:M,data_brute!J:J,"&gt;="&amp;AE360,data_brute!J:J,"&lt;="&amp;AF360),NA())</f>
        <v>#N/A</v>
      </c>
      <c r="AH360" s="46" t="e">
        <f t="shared" si="83"/>
        <v>#N/A</v>
      </c>
      <c r="AJ360" s="46">
        <f t="shared" si="89"/>
        <v>3532</v>
      </c>
      <c r="AK360" s="46">
        <f t="shared" si="90"/>
        <v>3541</v>
      </c>
      <c r="AL360" s="33">
        <f ca="1">IFERROR(AVERAGEIFS(data_brute!M:M,data_brute!J:J,"&lt;="&amp;AK360),NA())</f>
        <v>25.353524229074896</v>
      </c>
      <c r="AM360" s="46">
        <f t="shared" ca="1" si="91"/>
        <v>3540</v>
      </c>
      <c r="AN360" s="46" t="b">
        <f t="shared" si="92"/>
        <v>0</v>
      </c>
      <c r="AO360" s="50" t="b">
        <f t="shared" si="93"/>
        <v>0</v>
      </c>
    </row>
    <row r="361" spans="21:41" x14ac:dyDescent="0.2">
      <c r="U361" s="46">
        <f t="shared" si="84"/>
        <v>3542</v>
      </c>
      <c r="V361" s="46">
        <f t="shared" si="85"/>
        <v>3551</v>
      </c>
      <c r="W361" s="33" t="e">
        <f>IFERROR(AVERAGEIFS(data_brute!M:M,data_brute!J:J,"&lt;="&amp;V361,data_brute!J:J,"&gt;="&amp;U361),NA())</f>
        <v>#N/A</v>
      </c>
      <c r="X361" s="46" t="e">
        <f t="shared" si="86"/>
        <v>#N/A</v>
      </c>
      <c r="Y361" s="2" t="b">
        <f t="shared" si="87"/>
        <v>0</v>
      </c>
      <c r="Z361" s="2" t="b">
        <f t="shared" si="88"/>
        <v>0</v>
      </c>
      <c r="AE361" s="46">
        <f t="shared" si="81"/>
        <v>3542</v>
      </c>
      <c r="AF361" s="46">
        <f t="shared" si="82"/>
        <v>3551</v>
      </c>
      <c r="AG361" s="33" t="e">
        <f>IFERROR(AVERAGEIFS(data_brute!M:M,data_brute!J:J,"&gt;="&amp;AE361,data_brute!J:J,"&lt;="&amp;AF361),NA())</f>
        <v>#N/A</v>
      </c>
      <c r="AH361" s="46" t="e">
        <f t="shared" si="83"/>
        <v>#N/A</v>
      </c>
      <c r="AJ361" s="46">
        <f t="shared" si="89"/>
        <v>3542</v>
      </c>
      <c r="AK361" s="46">
        <f t="shared" si="90"/>
        <v>3551</v>
      </c>
      <c r="AL361" s="33">
        <f ca="1">IFERROR(AVERAGEIFS(data_brute!M:M,data_brute!J:J,"&lt;="&amp;AK361),NA())</f>
        <v>25.353524229074896</v>
      </c>
      <c r="AM361" s="46">
        <f t="shared" ca="1" si="91"/>
        <v>3550</v>
      </c>
      <c r="AN361" s="46" t="b">
        <f t="shared" si="92"/>
        <v>0</v>
      </c>
      <c r="AO361" s="50" t="b">
        <f t="shared" si="93"/>
        <v>0</v>
      </c>
    </row>
    <row r="362" spans="21:41" x14ac:dyDescent="0.2">
      <c r="U362" s="46">
        <f t="shared" si="84"/>
        <v>3552</v>
      </c>
      <c r="V362" s="46">
        <f t="shared" si="85"/>
        <v>3561</v>
      </c>
      <c r="W362" s="33" t="e">
        <f>IFERROR(AVERAGEIFS(data_brute!M:M,data_brute!J:J,"&lt;="&amp;V362,data_brute!J:J,"&gt;="&amp;U362),NA())</f>
        <v>#N/A</v>
      </c>
      <c r="X362" s="46" t="e">
        <f t="shared" si="86"/>
        <v>#N/A</v>
      </c>
      <c r="Y362" s="2" t="b">
        <f t="shared" si="87"/>
        <v>0</v>
      </c>
      <c r="Z362" s="2" t="b">
        <f t="shared" si="88"/>
        <v>0</v>
      </c>
      <c r="AE362" s="46">
        <f t="shared" si="81"/>
        <v>3552</v>
      </c>
      <c r="AF362" s="46">
        <f t="shared" si="82"/>
        <v>3561</v>
      </c>
      <c r="AG362" s="33" t="e">
        <f>IFERROR(AVERAGEIFS(data_brute!M:M,data_brute!J:J,"&gt;="&amp;AE362,data_brute!J:J,"&lt;="&amp;AF362),NA())</f>
        <v>#N/A</v>
      </c>
      <c r="AH362" s="46" t="e">
        <f t="shared" si="83"/>
        <v>#N/A</v>
      </c>
      <c r="AJ362" s="46">
        <f t="shared" si="89"/>
        <v>3552</v>
      </c>
      <c r="AK362" s="46">
        <f t="shared" si="90"/>
        <v>3561</v>
      </c>
      <c r="AL362" s="33">
        <f ca="1">IFERROR(AVERAGEIFS(data_brute!M:M,data_brute!J:J,"&lt;="&amp;AK362),NA())</f>
        <v>25.353524229074896</v>
      </c>
      <c r="AM362" s="46">
        <f t="shared" ca="1" si="91"/>
        <v>3560</v>
      </c>
      <c r="AN362" s="46" t="b">
        <f t="shared" si="92"/>
        <v>0</v>
      </c>
      <c r="AO362" s="50" t="b">
        <f t="shared" si="93"/>
        <v>0</v>
      </c>
    </row>
    <row r="363" spans="21:41" x14ac:dyDescent="0.2">
      <c r="U363" s="46">
        <f t="shared" si="84"/>
        <v>3562</v>
      </c>
      <c r="V363" s="46">
        <f t="shared" si="85"/>
        <v>3571</v>
      </c>
      <c r="W363" s="33" t="e">
        <f>IFERROR(AVERAGEIFS(data_brute!M:M,data_brute!J:J,"&lt;="&amp;V363,data_brute!J:J,"&gt;="&amp;U363),NA())</f>
        <v>#N/A</v>
      </c>
      <c r="X363" s="46" t="e">
        <f t="shared" si="86"/>
        <v>#N/A</v>
      </c>
      <c r="Y363" s="2" t="b">
        <f t="shared" si="87"/>
        <v>0</v>
      </c>
      <c r="Z363" s="2" t="b">
        <f t="shared" si="88"/>
        <v>0</v>
      </c>
      <c r="AE363" s="46">
        <f t="shared" si="81"/>
        <v>3562</v>
      </c>
      <c r="AF363" s="46">
        <f t="shared" si="82"/>
        <v>3571</v>
      </c>
      <c r="AG363" s="33" t="e">
        <f>IFERROR(AVERAGEIFS(data_brute!M:M,data_brute!J:J,"&gt;="&amp;AE363,data_brute!J:J,"&lt;="&amp;AF363),NA())</f>
        <v>#N/A</v>
      </c>
      <c r="AH363" s="46" t="e">
        <f t="shared" si="83"/>
        <v>#N/A</v>
      </c>
      <c r="AJ363" s="46">
        <f t="shared" si="89"/>
        <v>3562</v>
      </c>
      <c r="AK363" s="46">
        <f t="shared" si="90"/>
        <v>3571</v>
      </c>
      <c r="AL363" s="33">
        <f ca="1">IFERROR(AVERAGEIFS(data_brute!M:M,data_brute!J:J,"&lt;="&amp;AK363),NA())</f>
        <v>25.353524229074896</v>
      </c>
      <c r="AM363" s="46">
        <f t="shared" ca="1" si="91"/>
        <v>3570</v>
      </c>
      <c r="AN363" s="46" t="b">
        <f t="shared" si="92"/>
        <v>0</v>
      </c>
      <c r="AO363" s="50" t="b">
        <f t="shared" si="93"/>
        <v>0</v>
      </c>
    </row>
    <row r="364" spans="21:41" x14ac:dyDescent="0.2">
      <c r="U364" s="46">
        <f t="shared" si="84"/>
        <v>3572</v>
      </c>
      <c r="V364" s="46">
        <f t="shared" si="85"/>
        <v>3581</v>
      </c>
      <c r="W364" s="33" t="e">
        <f>IFERROR(AVERAGEIFS(data_brute!M:M,data_brute!J:J,"&lt;="&amp;V364,data_brute!J:J,"&gt;="&amp;U364),NA())</f>
        <v>#N/A</v>
      </c>
      <c r="X364" s="46" t="e">
        <f t="shared" si="86"/>
        <v>#N/A</v>
      </c>
      <c r="Y364" s="2" t="b">
        <f t="shared" si="87"/>
        <v>0</v>
      </c>
      <c r="Z364" s="2" t="b">
        <f t="shared" si="88"/>
        <v>0</v>
      </c>
      <c r="AE364" s="46">
        <f t="shared" si="81"/>
        <v>3572</v>
      </c>
      <c r="AF364" s="46">
        <f t="shared" si="82"/>
        <v>3581</v>
      </c>
      <c r="AG364" s="33" t="e">
        <f>IFERROR(AVERAGEIFS(data_brute!M:M,data_brute!J:J,"&gt;="&amp;AE364,data_brute!J:J,"&lt;="&amp;AF364),NA())</f>
        <v>#N/A</v>
      </c>
      <c r="AH364" s="46" t="e">
        <f t="shared" si="83"/>
        <v>#N/A</v>
      </c>
      <c r="AJ364" s="46">
        <f t="shared" si="89"/>
        <v>3572</v>
      </c>
      <c r="AK364" s="46">
        <f t="shared" si="90"/>
        <v>3581</v>
      </c>
      <c r="AL364" s="33">
        <f ca="1">IFERROR(AVERAGEIFS(data_brute!M:M,data_brute!J:J,"&lt;="&amp;AK364),NA())</f>
        <v>25.353524229074896</v>
      </c>
      <c r="AM364" s="46">
        <f t="shared" ca="1" si="91"/>
        <v>3580</v>
      </c>
      <c r="AN364" s="46" t="b">
        <f t="shared" si="92"/>
        <v>0</v>
      </c>
      <c r="AO364" s="50" t="b">
        <f t="shared" si="93"/>
        <v>0</v>
      </c>
    </row>
    <row r="365" spans="21:41" x14ac:dyDescent="0.2">
      <c r="U365" s="46">
        <f t="shared" si="84"/>
        <v>3582</v>
      </c>
      <c r="V365" s="46">
        <f t="shared" si="85"/>
        <v>3591</v>
      </c>
      <c r="W365" s="33" t="e">
        <f>IFERROR(AVERAGEIFS(data_brute!M:M,data_brute!J:J,"&lt;="&amp;V365,data_brute!J:J,"&gt;="&amp;U365),NA())</f>
        <v>#N/A</v>
      </c>
      <c r="X365" s="46" t="e">
        <f t="shared" si="86"/>
        <v>#N/A</v>
      </c>
      <c r="Y365" s="2" t="b">
        <f t="shared" si="87"/>
        <v>0</v>
      </c>
      <c r="Z365" s="2" t="b">
        <f t="shared" si="88"/>
        <v>0</v>
      </c>
      <c r="AE365" s="46">
        <f t="shared" si="81"/>
        <v>3582</v>
      </c>
      <c r="AF365" s="46">
        <f t="shared" si="82"/>
        <v>3591</v>
      </c>
      <c r="AG365" s="33" t="e">
        <f>IFERROR(AVERAGEIFS(data_brute!M:M,data_brute!J:J,"&gt;="&amp;AE365,data_brute!J:J,"&lt;="&amp;AF365),NA())</f>
        <v>#N/A</v>
      </c>
      <c r="AH365" s="46" t="e">
        <f t="shared" si="83"/>
        <v>#N/A</v>
      </c>
      <c r="AJ365" s="46">
        <f t="shared" si="89"/>
        <v>3582</v>
      </c>
      <c r="AK365" s="46">
        <f t="shared" si="90"/>
        <v>3591</v>
      </c>
      <c r="AL365" s="33">
        <f ca="1">IFERROR(AVERAGEIFS(data_brute!M:M,data_brute!J:J,"&lt;="&amp;AK365),NA())</f>
        <v>25.353524229074896</v>
      </c>
      <c r="AM365" s="46">
        <f t="shared" ca="1" si="91"/>
        <v>3590</v>
      </c>
      <c r="AN365" s="46" t="b">
        <f t="shared" si="92"/>
        <v>0</v>
      </c>
      <c r="AO365" s="50" t="b">
        <f t="shared" si="93"/>
        <v>0</v>
      </c>
    </row>
    <row r="366" spans="21:41" x14ac:dyDescent="0.2">
      <c r="U366" s="46">
        <f t="shared" si="84"/>
        <v>3592</v>
      </c>
      <c r="V366" s="46">
        <f t="shared" si="85"/>
        <v>3601</v>
      </c>
      <c r="W366" s="33" t="e">
        <f>IFERROR(AVERAGEIFS(data_brute!M:M,data_brute!J:J,"&lt;="&amp;V366,data_brute!J:J,"&gt;="&amp;U366),NA())</f>
        <v>#N/A</v>
      </c>
      <c r="X366" s="46" t="e">
        <f t="shared" si="86"/>
        <v>#N/A</v>
      </c>
      <c r="Y366" s="2" t="b">
        <f t="shared" si="87"/>
        <v>0</v>
      </c>
      <c r="Z366" s="2" t="b">
        <f t="shared" si="88"/>
        <v>0</v>
      </c>
      <c r="AE366" s="46">
        <f t="shared" si="81"/>
        <v>3592</v>
      </c>
      <c r="AF366" s="46">
        <f t="shared" si="82"/>
        <v>3601</v>
      </c>
      <c r="AG366" s="33" t="e">
        <f>IFERROR(AVERAGEIFS(data_brute!M:M,data_brute!J:J,"&gt;="&amp;AE366,data_brute!J:J,"&lt;="&amp;AF366),NA())</f>
        <v>#N/A</v>
      </c>
      <c r="AH366" s="46" t="e">
        <f t="shared" si="83"/>
        <v>#N/A</v>
      </c>
      <c r="AJ366" s="46">
        <f t="shared" si="89"/>
        <v>3592</v>
      </c>
      <c r="AK366" s="46">
        <f t="shared" si="90"/>
        <v>3601</v>
      </c>
      <c r="AL366" s="33">
        <f ca="1">IFERROR(AVERAGEIFS(data_brute!M:M,data_brute!J:J,"&lt;="&amp;AK366),NA())</f>
        <v>25.353524229074896</v>
      </c>
      <c r="AM366" s="46">
        <f t="shared" ca="1" si="91"/>
        <v>3600</v>
      </c>
      <c r="AN366" s="46" t="b">
        <f t="shared" si="92"/>
        <v>0</v>
      </c>
      <c r="AO366" s="50" t="b">
        <f t="shared" si="93"/>
        <v>0</v>
      </c>
    </row>
    <row r="367" spans="21:41" x14ac:dyDescent="0.2">
      <c r="U367" s="46">
        <f t="shared" si="84"/>
        <v>3602</v>
      </c>
      <c r="V367" s="46">
        <f t="shared" si="85"/>
        <v>3611</v>
      </c>
      <c r="W367" s="33" t="e">
        <f>IFERROR(AVERAGEIFS(data_brute!M:M,data_brute!J:J,"&lt;="&amp;V367,data_brute!J:J,"&gt;="&amp;U367),NA())</f>
        <v>#N/A</v>
      </c>
      <c r="X367" s="46" t="e">
        <f t="shared" si="86"/>
        <v>#N/A</v>
      </c>
      <c r="Y367" s="2" t="b">
        <f t="shared" si="87"/>
        <v>0</v>
      </c>
      <c r="Z367" s="2" t="b">
        <f t="shared" si="88"/>
        <v>0</v>
      </c>
      <c r="AE367" s="46">
        <f t="shared" si="81"/>
        <v>3602</v>
      </c>
      <c r="AF367" s="46">
        <f t="shared" si="82"/>
        <v>3611</v>
      </c>
      <c r="AG367" s="33" t="e">
        <f>IFERROR(AVERAGEIFS(data_brute!M:M,data_brute!J:J,"&gt;="&amp;AE367,data_brute!J:J,"&lt;="&amp;AF367),NA())</f>
        <v>#N/A</v>
      </c>
      <c r="AH367" s="46" t="e">
        <f t="shared" si="83"/>
        <v>#N/A</v>
      </c>
      <c r="AJ367" s="46">
        <f t="shared" si="89"/>
        <v>3602</v>
      </c>
      <c r="AK367" s="46">
        <f t="shared" si="90"/>
        <v>3611</v>
      </c>
      <c r="AL367" s="33">
        <f ca="1">IFERROR(AVERAGEIFS(data_brute!M:M,data_brute!J:J,"&lt;="&amp;AK367),NA())</f>
        <v>25.353524229074896</v>
      </c>
      <c r="AM367" s="46">
        <f t="shared" ca="1" si="91"/>
        <v>3610</v>
      </c>
      <c r="AN367" s="46" t="b">
        <f t="shared" si="92"/>
        <v>0</v>
      </c>
      <c r="AO367" s="50" t="b">
        <f t="shared" si="93"/>
        <v>0</v>
      </c>
    </row>
    <row r="368" spans="21:41" x14ac:dyDescent="0.2">
      <c r="U368" s="46">
        <f t="shared" si="84"/>
        <v>3612</v>
      </c>
      <c r="V368" s="46">
        <f t="shared" si="85"/>
        <v>3621</v>
      </c>
      <c r="W368" s="33" t="e">
        <f>IFERROR(AVERAGEIFS(data_brute!M:M,data_brute!J:J,"&lt;="&amp;V368,data_brute!J:J,"&gt;="&amp;U368),NA())</f>
        <v>#N/A</v>
      </c>
      <c r="X368" s="46" t="e">
        <f t="shared" si="86"/>
        <v>#N/A</v>
      </c>
      <c r="Y368" s="2" t="b">
        <f t="shared" si="87"/>
        <v>0</v>
      </c>
      <c r="Z368" s="2" t="b">
        <f t="shared" si="88"/>
        <v>0</v>
      </c>
      <c r="AE368" s="46">
        <f t="shared" si="81"/>
        <v>3612</v>
      </c>
      <c r="AF368" s="46">
        <f t="shared" si="82"/>
        <v>3621</v>
      </c>
      <c r="AG368" s="33" t="e">
        <f>IFERROR(AVERAGEIFS(data_brute!M:M,data_brute!J:J,"&gt;="&amp;AE368,data_brute!J:J,"&lt;="&amp;AF368),NA())</f>
        <v>#N/A</v>
      </c>
      <c r="AH368" s="46" t="e">
        <f t="shared" si="83"/>
        <v>#N/A</v>
      </c>
      <c r="AJ368" s="46">
        <f t="shared" si="89"/>
        <v>3612</v>
      </c>
      <c r="AK368" s="46">
        <f t="shared" si="90"/>
        <v>3621</v>
      </c>
      <c r="AL368" s="33">
        <f ca="1">IFERROR(AVERAGEIFS(data_brute!M:M,data_brute!J:J,"&lt;="&amp;AK368),NA())</f>
        <v>25.353524229074896</v>
      </c>
      <c r="AM368" s="46">
        <f t="shared" ca="1" si="91"/>
        <v>3620</v>
      </c>
      <c r="AN368" s="46" t="b">
        <f t="shared" si="92"/>
        <v>0</v>
      </c>
      <c r="AO368" s="50" t="b">
        <f t="shared" si="93"/>
        <v>0</v>
      </c>
    </row>
    <row r="369" spans="21:41" x14ac:dyDescent="0.2">
      <c r="U369" s="46">
        <f t="shared" si="84"/>
        <v>3622</v>
      </c>
      <c r="V369" s="46">
        <f t="shared" si="85"/>
        <v>3631</v>
      </c>
      <c r="W369" s="33" t="e">
        <f>IFERROR(AVERAGEIFS(data_brute!M:M,data_brute!J:J,"&lt;="&amp;V369,data_brute!J:J,"&gt;="&amp;U369),NA())</f>
        <v>#N/A</v>
      </c>
      <c r="X369" s="46" t="e">
        <f t="shared" si="86"/>
        <v>#N/A</v>
      </c>
      <c r="Y369" s="2" t="b">
        <f t="shared" si="87"/>
        <v>0</v>
      </c>
      <c r="Z369" s="2" t="b">
        <f t="shared" si="88"/>
        <v>0</v>
      </c>
      <c r="AE369" s="46">
        <f t="shared" si="81"/>
        <v>3622</v>
      </c>
      <c r="AF369" s="46">
        <f t="shared" si="82"/>
        <v>3631</v>
      </c>
      <c r="AG369" s="33" t="e">
        <f>IFERROR(AVERAGEIFS(data_brute!M:M,data_brute!J:J,"&gt;="&amp;AE369,data_brute!J:J,"&lt;="&amp;AF369),NA())</f>
        <v>#N/A</v>
      </c>
      <c r="AH369" s="46" t="e">
        <f t="shared" si="83"/>
        <v>#N/A</v>
      </c>
      <c r="AJ369" s="46">
        <f t="shared" si="89"/>
        <v>3622</v>
      </c>
      <c r="AK369" s="46">
        <f t="shared" si="90"/>
        <v>3631</v>
      </c>
      <c r="AL369" s="33">
        <f ca="1">IFERROR(AVERAGEIFS(data_brute!M:M,data_brute!J:J,"&lt;="&amp;AK369),NA())</f>
        <v>25.353524229074896</v>
      </c>
      <c r="AM369" s="46">
        <f t="shared" ca="1" si="91"/>
        <v>3630</v>
      </c>
      <c r="AN369" s="46" t="b">
        <f t="shared" si="92"/>
        <v>0</v>
      </c>
      <c r="AO369" s="50" t="b">
        <f t="shared" si="93"/>
        <v>0</v>
      </c>
    </row>
    <row r="370" spans="21:41" x14ac:dyDescent="0.2">
      <c r="U370" s="46">
        <f t="shared" si="84"/>
        <v>3632</v>
      </c>
      <c r="V370" s="46">
        <f t="shared" si="85"/>
        <v>3641</v>
      </c>
      <c r="W370" s="33" t="e">
        <f>IFERROR(AVERAGEIFS(data_brute!M:M,data_brute!J:J,"&lt;="&amp;V370,data_brute!J:J,"&gt;="&amp;U370),NA())</f>
        <v>#N/A</v>
      </c>
      <c r="X370" s="46" t="e">
        <f t="shared" si="86"/>
        <v>#N/A</v>
      </c>
      <c r="Y370" s="2" t="b">
        <f t="shared" si="87"/>
        <v>0</v>
      </c>
      <c r="Z370" s="2" t="b">
        <f t="shared" si="88"/>
        <v>0</v>
      </c>
      <c r="AE370" s="46">
        <f t="shared" si="81"/>
        <v>3632</v>
      </c>
      <c r="AF370" s="46">
        <f t="shared" si="82"/>
        <v>3641</v>
      </c>
      <c r="AG370" s="33" t="e">
        <f>IFERROR(AVERAGEIFS(data_brute!M:M,data_brute!J:J,"&gt;="&amp;AE370,data_brute!J:J,"&lt;="&amp;AF370),NA())</f>
        <v>#N/A</v>
      </c>
      <c r="AH370" s="46" t="e">
        <f t="shared" si="83"/>
        <v>#N/A</v>
      </c>
      <c r="AJ370" s="46">
        <f t="shared" si="89"/>
        <v>3632</v>
      </c>
      <c r="AK370" s="46">
        <f t="shared" si="90"/>
        <v>3641</v>
      </c>
      <c r="AL370" s="33">
        <f ca="1">IFERROR(AVERAGEIFS(data_brute!M:M,data_brute!J:J,"&lt;="&amp;AK370),NA())</f>
        <v>25.353524229074896</v>
      </c>
      <c r="AM370" s="46">
        <f t="shared" ca="1" si="91"/>
        <v>3640</v>
      </c>
      <c r="AN370" s="46" t="b">
        <f t="shared" si="92"/>
        <v>0</v>
      </c>
      <c r="AO370" s="50" t="b">
        <f t="shared" si="93"/>
        <v>0</v>
      </c>
    </row>
    <row r="371" spans="21:41" x14ac:dyDescent="0.2">
      <c r="U371" s="46">
        <f t="shared" si="84"/>
        <v>3642</v>
      </c>
      <c r="V371" s="46">
        <f t="shared" si="85"/>
        <v>3651</v>
      </c>
      <c r="W371" s="33" t="e">
        <f>IFERROR(AVERAGEIFS(data_brute!M:M,data_brute!J:J,"&lt;="&amp;V371,data_brute!J:J,"&gt;="&amp;U371),NA())</f>
        <v>#N/A</v>
      </c>
      <c r="X371" s="46" t="e">
        <f t="shared" si="86"/>
        <v>#N/A</v>
      </c>
      <c r="Y371" s="2" t="b">
        <f t="shared" si="87"/>
        <v>0</v>
      </c>
      <c r="Z371" s="2" t="b">
        <f t="shared" si="88"/>
        <v>0</v>
      </c>
      <c r="AE371" s="46">
        <f t="shared" si="81"/>
        <v>3642</v>
      </c>
      <c r="AF371" s="46">
        <f t="shared" si="82"/>
        <v>3651</v>
      </c>
      <c r="AG371" s="33" t="e">
        <f>IFERROR(AVERAGEIFS(data_brute!M:M,data_brute!J:J,"&gt;="&amp;AE371,data_brute!J:J,"&lt;="&amp;AF371),NA())</f>
        <v>#N/A</v>
      </c>
      <c r="AH371" s="46" t="e">
        <f t="shared" si="83"/>
        <v>#N/A</v>
      </c>
      <c r="AJ371" s="46">
        <f t="shared" si="89"/>
        <v>3642</v>
      </c>
      <c r="AK371" s="46">
        <f t="shared" si="90"/>
        <v>3651</v>
      </c>
      <c r="AL371" s="33">
        <f ca="1">IFERROR(AVERAGEIFS(data_brute!M:M,data_brute!J:J,"&lt;="&amp;AK371),NA())</f>
        <v>25.353524229074896</v>
      </c>
      <c r="AM371" s="46">
        <f t="shared" ca="1" si="91"/>
        <v>3650</v>
      </c>
      <c r="AN371" s="46" t="b">
        <f t="shared" si="92"/>
        <v>0</v>
      </c>
      <c r="AO371" s="50" t="b">
        <f t="shared" si="93"/>
        <v>0</v>
      </c>
    </row>
    <row r="372" spans="21:41" x14ac:dyDescent="0.2">
      <c r="U372" s="46">
        <f t="shared" si="84"/>
        <v>3652</v>
      </c>
      <c r="V372" s="46">
        <f t="shared" si="85"/>
        <v>3661</v>
      </c>
      <c r="W372" s="33" t="e">
        <f>IFERROR(AVERAGEIFS(data_brute!M:M,data_brute!J:J,"&lt;="&amp;V372,data_brute!J:J,"&gt;="&amp;U372),NA())</f>
        <v>#N/A</v>
      </c>
      <c r="X372" s="46" t="e">
        <f t="shared" si="86"/>
        <v>#N/A</v>
      </c>
      <c r="Y372" s="2" t="b">
        <f t="shared" si="87"/>
        <v>0</v>
      </c>
      <c r="Z372" s="2" t="b">
        <f t="shared" si="88"/>
        <v>0</v>
      </c>
      <c r="AE372" s="46">
        <f t="shared" si="81"/>
        <v>3652</v>
      </c>
      <c r="AF372" s="46">
        <f t="shared" si="82"/>
        <v>3661</v>
      </c>
      <c r="AG372" s="33" t="e">
        <f>IFERROR(AVERAGEIFS(data_brute!M:M,data_brute!J:J,"&gt;="&amp;AE372,data_brute!J:J,"&lt;="&amp;AF372),NA())</f>
        <v>#N/A</v>
      </c>
      <c r="AH372" s="46" t="e">
        <f t="shared" si="83"/>
        <v>#N/A</v>
      </c>
      <c r="AJ372" s="46">
        <f t="shared" si="89"/>
        <v>3652</v>
      </c>
      <c r="AK372" s="46">
        <f t="shared" si="90"/>
        <v>3661</v>
      </c>
      <c r="AL372" s="33">
        <f ca="1">IFERROR(AVERAGEIFS(data_brute!M:M,data_brute!J:J,"&lt;="&amp;AK372),NA())</f>
        <v>25.353524229074896</v>
      </c>
      <c r="AM372" s="46">
        <f t="shared" ca="1" si="91"/>
        <v>3660</v>
      </c>
      <c r="AN372" s="46" t="b">
        <f t="shared" si="92"/>
        <v>0</v>
      </c>
      <c r="AO372" s="50" t="b">
        <f t="shared" si="93"/>
        <v>0</v>
      </c>
    </row>
    <row r="373" spans="21:41" x14ac:dyDescent="0.2">
      <c r="U373" s="46">
        <f t="shared" si="84"/>
        <v>3662</v>
      </c>
      <c r="V373" s="46">
        <f t="shared" si="85"/>
        <v>3671</v>
      </c>
      <c r="W373" s="33" t="e">
        <f>IFERROR(AVERAGEIFS(data_brute!M:M,data_brute!J:J,"&lt;="&amp;V373,data_brute!J:J,"&gt;="&amp;U373),NA())</f>
        <v>#N/A</v>
      </c>
      <c r="X373" s="46" t="e">
        <f t="shared" si="86"/>
        <v>#N/A</v>
      </c>
      <c r="Y373" s="2" t="b">
        <f t="shared" si="87"/>
        <v>0</v>
      </c>
      <c r="Z373" s="2" t="b">
        <f t="shared" si="88"/>
        <v>0</v>
      </c>
      <c r="AE373" s="46">
        <f t="shared" si="81"/>
        <v>3662</v>
      </c>
      <c r="AF373" s="46">
        <f t="shared" si="82"/>
        <v>3671</v>
      </c>
      <c r="AG373" s="33" t="e">
        <f>IFERROR(AVERAGEIFS(data_brute!M:M,data_brute!J:J,"&gt;="&amp;AE373,data_brute!J:J,"&lt;="&amp;AF373),NA())</f>
        <v>#N/A</v>
      </c>
      <c r="AH373" s="46" t="e">
        <f t="shared" si="83"/>
        <v>#N/A</v>
      </c>
      <c r="AJ373" s="46">
        <f t="shared" si="89"/>
        <v>3662</v>
      </c>
      <c r="AK373" s="46">
        <f t="shared" si="90"/>
        <v>3671</v>
      </c>
      <c r="AL373" s="33">
        <f ca="1">IFERROR(AVERAGEIFS(data_brute!M:M,data_brute!J:J,"&lt;="&amp;AK373),NA())</f>
        <v>25.353524229074896</v>
      </c>
      <c r="AM373" s="46">
        <f t="shared" ca="1" si="91"/>
        <v>3670</v>
      </c>
      <c r="AN373" s="46" t="b">
        <f t="shared" si="92"/>
        <v>0</v>
      </c>
      <c r="AO373" s="50" t="b">
        <f t="shared" si="93"/>
        <v>0</v>
      </c>
    </row>
    <row r="374" spans="21:41" x14ac:dyDescent="0.2">
      <c r="U374" s="46">
        <f t="shared" si="84"/>
        <v>3672</v>
      </c>
      <c r="V374" s="46">
        <f t="shared" si="85"/>
        <v>3681</v>
      </c>
      <c r="W374" s="33" t="e">
        <f>IFERROR(AVERAGEIFS(data_brute!M:M,data_brute!J:J,"&lt;="&amp;V374,data_brute!J:J,"&gt;="&amp;U374),NA())</f>
        <v>#N/A</v>
      </c>
      <c r="X374" s="46" t="e">
        <f t="shared" si="86"/>
        <v>#N/A</v>
      </c>
      <c r="Y374" s="2" t="b">
        <f t="shared" si="87"/>
        <v>0</v>
      </c>
      <c r="Z374" s="2" t="b">
        <f t="shared" si="88"/>
        <v>0</v>
      </c>
      <c r="AE374" s="46">
        <f t="shared" si="81"/>
        <v>3672</v>
      </c>
      <c r="AF374" s="46">
        <f t="shared" si="82"/>
        <v>3681</v>
      </c>
      <c r="AG374" s="33" t="e">
        <f>IFERROR(AVERAGEIFS(data_brute!M:M,data_brute!J:J,"&gt;="&amp;AE374,data_brute!J:J,"&lt;="&amp;AF374),NA())</f>
        <v>#N/A</v>
      </c>
      <c r="AH374" s="46" t="e">
        <f t="shared" si="83"/>
        <v>#N/A</v>
      </c>
      <c r="AJ374" s="46">
        <f t="shared" si="89"/>
        <v>3672</v>
      </c>
      <c r="AK374" s="46">
        <f t="shared" si="90"/>
        <v>3681</v>
      </c>
      <c r="AL374" s="33">
        <f ca="1">IFERROR(AVERAGEIFS(data_brute!M:M,data_brute!J:J,"&lt;="&amp;AK374),NA())</f>
        <v>25.353524229074896</v>
      </c>
      <c r="AM374" s="46">
        <f t="shared" ca="1" si="91"/>
        <v>3680</v>
      </c>
      <c r="AN374" s="46" t="b">
        <f t="shared" si="92"/>
        <v>0</v>
      </c>
      <c r="AO374" s="50" t="b">
        <f t="shared" si="93"/>
        <v>0</v>
      </c>
    </row>
    <row r="375" spans="21:41" x14ac:dyDescent="0.2">
      <c r="U375" s="46">
        <f t="shared" si="84"/>
        <v>3682</v>
      </c>
      <c r="V375" s="46">
        <f t="shared" si="85"/>
        <v>3691</v>
      </c>
      <c r="W375" s="33" t="e">
        <f>IFERROR(AVERAGEIFS(data_brute!M:M,data_brute!J:J,"&lt;="&amp;V375,data_brute!J:J,"&gt;="&amp;U375),NA())</f>
        <v>#N/A</v>
      </c>
      <c r="X375" s="46" t="e">
        <f t="shared" si="86"/>
        <v>#N/A</v>
      </c>
      <c r="Y375" s="2" t="b">
        <f t="shared" si="87"/>
        <v>0</v>
      </c>
      <c r="Z375" s="2" t="b">
        <f t="shared" si="88"/>
        <v>0</v>
      </c>
      <c r="AE375" s="46">
        <f t="shared" si="81"/>
        <v>3682</v>
      </c>
      <c r="AF375" s="46">
        <f t="shared" si="82"/>
        <v>3691</v>
      </c>
      <c r="AG375" s="33" t="e">
        <f>IFERROR(AVERAGEIFS(data_brute!M:M,data_brute!J:J,"&gt;="&amp;AE375,data_brute!J:J,"&lt;="&amp;AF375),NA())</f>
        <v>#N/A</v>
      </c>
      <c r="AH375" s="46" t="e">
        <f t="shared" si="83"/>
        <v>#N/A</v>
      </c>
      <c r="AJ375" s="46">
        <f t="shared" si="89"/>
        <v>3682</v>
      </c>
      <c r="AK375" s="46">
        <f t="shared" si="90"/>
        <v>3691</v>
      </c>
      <c r="AL375" s="33">
        <f ca="1">IFERROR(AVERAGEIFS(data_brute!M:M,data_brute!J:J,"&lt;="&amp;AK375),NA())</f>
        <v>25.353524229074896</v>
      </c>
      <c r="AM375" s="46">
        <f t="shared" ca="1" si="91"/>
        <v>3690</v>
      </c>
      <c r="AN375" s="46" t="b">
        <f t="shared" si="92"/>
        <v>0</v>
      </c>
      <c r="AO375" s="50" t="b">
        <f t="shared" si="93"/>
        <v>0</v>
      </c>
    </row>
    <row r="376" spans="21:41" x14ac:dyDescent="0.2">
      <c r="U376" s="46">
        <f t="shared" si="84"/>
        <v>3692</v>
      </c>
      <c r="V376" s="46">
        <f t="shared" si="85"/>
        <v>3701</v>
      </c>
      <c r="W376" s="33" t="e">
        <f>IFERROR(AVERAGEIFS(data_brute!M:M,data_brute!J:J,"&lt;="&amp;V376,data_brute!J:J,"&gt;="&amp;U376),NA())</f>
        <v>#N/A</v>
      </c>
      <c r="X376" s="46" t="e">
        <f t="shared" si="86"/>
        <v>#N/A</v>
      </c>
      <c r="Y376" s="2" t="b">
        <f t="shared" si="87"/>
        <v>0</v>
      </c>
      <c r="Z376" s="2" t="b">
        <f t="shared" si="88"/>
        <v>0</v>
      </c>
      <c r="AE376" s="46">
        <f t="shared" si="81"/>
        <v>3692</v>
      </c>
      <c r="AF376" s="46">
        <f t="shared" si="82"/>
        <v>3701</v>
      </c>
      <c r="AG376" s="33" t="e">
        <f>IFERROR(AVERAGEIFS(data_brute!M:M,data_brute!J:J,"&gt;="&amp;AE376,data_brute!J:J,"&lt;="&amp;AF376),NA())</f>
        <v>#N/A</v>
      </c>
      <c r="AH376" s="46" t="e">
        <f t="shared" si="83"/>
        <v>#N/A</v>
      </c>
      <c r="AJ376" s="46">
        <f t="shared" si="89"/>
        <v>3692</v>
      </c>
      <c r="AK376" s="46">
        <f t="shared" si="90"/>
        <v>3701</v>
      </c>
      <c r="AL376" s="33">
        <f ca="1">IFERROR(AVERAGEIFS(data_brute!M:M,data_brute!J:J,"&lt;="&amp;AK376),NA())</f>
        <v>25.353524229074896</v>
      </c>
      <c r="AM376" s="46">
        <f t="shared" ca="1" si="91"/>
        <v>3700</v>
      </c>
      <c r="AN376" s="46" t="b">
        <f t="shared" si="92"/>
        <v>0</v>
      </c>
      <c r="AO376" s="50" t="b">
        <f t="shared" si="93"/>
        <v>0</v>
      </c>
    </row>
    <row r="377" spans="21:41" x14ac:dyDescent="0.2">
      <c r="U377" s="46">
        <f t="shared" si="84"/>
        <v>3702</v>
      </c>
      <c r="V377" s="46">
        <f t="shared" si="85"/>
        <v>3711</v>
      </c>
      <c r="W377" s="33" t="e">
        <f>IFERROR(AVERAGEIFS(data_brute!M:M,data_brute!J:J,"&lt;="&amp;V377,data_brute!J:J,"&gt;="&amp;U377),NA())</f>
        <v>#N/A</v>
      </c>
      <c r="X377" s="46" t="e">
        <f t="shared" si="86"/>
        <v>#N/A</v>
      </c>
      <c r="Y377" s="2" t="b">
        <f t="shared" si="87"/>
        <v>0</v>
      </c>
      <c r="Z377" s="2" t="b">
        <f t="shared" si="88"/>
        <v>0</v>
      </c>
      <c r="AE377" s="46">
        <f t="shared" si="81"/>
        <v>3702</v>
      </c>
      <c r="AF377" s="46">
        <f t="shared" si="82"/>
        <v>3711</v>
      </c>
      <c r="AG377" s="33" t="e">
        <f>IFERROR(AVERAGEIFS(data_brute!M:M,data_brute!J:J,"&gt;="&amp;AE377,data_brute!J:J,"&lt;="&amp;AF377),NA())</f>
        <v>#N/A</v>
      </c>
      <c r="AH377" s="46" t="e">
        <f t="shared" si="83"/>
        <v>#N/A</v>
      </c>
      <c r="AJ377" s="46">
        <f t="shared" si="89"/>
        <v>3702</v>
      </c>
      <c r="AK377" s="46">
        <f t="shared" si="90"/>
        <v>3711</v>
      </c>
      <c r="AL377" s="33">
        <f ca="1">IFERROR(AVERAGEIFS(data_brute!M:M,data_brute!J:J,"&lt;="&amp;AK377),NA())</f>
        <v>25.353524229074896</v>
      </c>
      <c r="AM377" s="46">
        <f t="shared" ca="1" si="91"/>
        <v>3710</v>
      </c>
      <c r="AN377" s="46" t="b">
        <f t="shared" si="92"/>
        <v>0</v>
      </c>
      <c r="AO377" s="50" t="b">
        <f t="shared" si="93"/>
        <v>0</v>
      </c>
    </row>
    <row r="378" spans="21:41" x14ac:dyDescent="0.2">
      <c r="U378" s="46">
        <f t="shared" si="84"/>
        <v>3712</v>
      </c>
      <c r="V378" s="46">
        <f t="shared" si="85"/>
        <v>3721</v>
      </c>
      <c r="W378" s="33" t="e">
        <f>IFERROR(AVERAGEIFS(data_brute!M:M,data_brute!J:J,"&lt;="&amp;V378,data_brute!J:J,"&gt;="&amp;U378),NA())</f>
        <v>#N/A</v>
      </c>
      <c r="X378" s="46" t="e">
        <f t="shared" si="86"/>
        <v>#N/A</v>
      </c>
      <c r="Y378" s="2" t="b">
        <f t="shared" si="87"/>
        <v>0</v>
      </c>
      <c r="Z378" s="2" t="b">
        <f t="shared" si="88"/>
        <v>0</v>
      </c>
      <c r="AE378" s="46">
        <f t="shared" si="81"/>
        <v>3712</v>
      </c>
      <c r="AF378" s="46">
        <f t="shared" si="82"/>
        <v>3721</v>
      </c>
      <c r="AG378" s="33" t="e">
        <f>IFERROR(AVERAGEIFS(data_brute!M:M,data_brute!J:J,"&gt;="&amp;AE378,data_brute!J:J,"&lt;="&amp;AF378),NA())</f>
        <v>#N/A</v>
      </c>
      <c r="AH378" s="46" t="e">
        <f t="shared" si="83"/>
        <v>#N/A</v>
      </c>
      <c r="AJ378" s="46">
        <f t="shared" si="89"/>
        <v>3712</v>
      </c>
      <c r="AK378" s="46">
        <f t="shared" si="90"/>
        <v>3721</v>
      </c>
      <c r="AL378" s="33">
        <f ca="1">IFERROR(AVERAGEIFS(data_brute!M:M,data_brute!J:J,"&lt;="&amp;AK378),NA())</f>
        <v>25.353524229074896</v>
      </c>
      <c r="AM378" s="46">
        <f t="shared" ca="1" si="91"/>
        <v>3720</v>
      </c>
      <c r="AN378" s="46" t="b">
        <f t="shared" si="92"/>
        <v>0</v>
      </c>
      <c r="AO378" s="50" t="b">
        <f t="shared" si="93"/>
        <v>0</v>
      </c>
    </row>
    <row r="379" spans="21:41" x14ac:dyDescent="0.2">
      <c r="U379" s="46">
        <f t="shared" si="84"/>
        <v>3722</v>
      </c>
      <c r="V379" s="46">
        <f t="shared" si="85"/>
        <v>3731</v>
      </c>
      <c r="W379" s="33" t="e">
        <f>IFERROR(AVERAGEIFS(data_brute!M:M,data_brute!J:J,"&lt;="&amp;V379,data_brute!J:J,"&gt;="&amp;U379),NA())</f>
        <v>#N/A</v>
      </c>
      <c r="X379" s="46" t="e">
        <f t="shared" si="86"/>
        <v>#N/A</v>
      </c>
      <c r="Y379" s="2" t="b">
        <f t="shared" si="87"/>
        <v>0</v>
      </c>
      <c r="Z379" s="2" t="b">
        <f t="shared" si="88"/>
        <v>0</v>
      </c>
      <c r="AE379" s="46">
        <f t="shared" si="81"/>
        <v>3722</v>
      </c>
      <c r="AF379" s="46">
        <f t="shared" si="82"/>
        <v>3731</v>
      </c>
      <c r="AG379" s="33" t="e">
        <f>IFERROR(AVERAGEIFS(data_brute!M:M,data_brute!J:J,"&gt;="&amp;AE379,data_brute!J:J,"&lt;="&amp;AF379),NA())</f>
        <v>#N/A</v>
      </c>
      <c r="AH379" s="46" t="e">
        <f t="shared" si="83"/>
        <v>#N/A</v>
      </c>
      <c r="AJ379" s="46">
        <f t="shared" si="89"/>
        <v>3722</v>
      </c>
      <c r="AK379" s="46">
        <f t="shared" si="90"/>
        <v>3731</v>
      </c>
      <c r="AL379" s="33">
        <f ca="1">IFERROR(AVERAGEIFS(data_brute!M:M,data_brute!J:J,"&lt;="&amp;AK379),NA())</f>
        <v>25.353524229074896</v>
      </c>
      <c r="AM379" s="46">
        <f t="shared" ca="1" si="91"/>
        <v>3730</v>
      </c>
      <c r="AN379" s="46" t="b">
        <f t="shared" si="92"/>
        <v>0</v>
      </c>
      <c r="AO379" s="50" t="b">
        <f t="shared" si="93"/>
        <v>0</v>
      </c>
    </row>
    <row r="380" spans="21:41" x14ac:dyDescent="0.2">
      <c r="U380" s="46">
        <f t="shared" si="84"/>
        <v>3732</v>
      </c>
      <c r="V380" s="46">
        <f t="shared" si="85"/>
        <v>3741</v>
      </c>
      <c r="W380" s="33" t="e">
        <f>IFERROR(AVERAGEIFS(data_brute!M:M,data_brute!J:J,"&lt;="&amp;V380,data_brute!J:J,"&gt;="&amp;U380),NA())</f>
        <v>#N/A</v>
      </c>
      <c r="X380" s="46" t="e">
        <f t="shared" si="86"/>
        <v>#N/A</v>
      </c>
      <c r="Y380" s="2" t="b">
        <f t="shared" si="87"/>
        <v>0</v>
      </c>
      <c r="Z380" s="2" t="b">
        <f t="shared" si="88"/>
        <v>0</v>
      </c>
      <c r="AE380" s="46">
        <f t="shared" si="81"/>
        <v>3732</v>
      </c>
      <c r="AF380" s="46">
        <f t="shared" si="82"/>
        <v>3741</v>
      </c>
      <c r="AG380" s="33" t="e">
        <f>IFERROR(AVERAGEIFS(data_brute!M:M,data_brute!J:J,"&gt;="&amp;AE380,data_brute!J:J,"&lt;="&amp;AF380),NA())</f>
        <v>#N/A</v>
      </c>
      <c r="AH380" s="46" t="e">
        <f t="shared" si="83"/>
        <v>#N/A</v>
      </c>
      <c r="AJ380" s="46">
        <f t="shared" si="89"/>
        <v>3732</v>
      </c>
      <c r="AK380" s="46">
        <f t="shared" si="90"/>
        <v>3741</v>
      </c>
      <c r="AL380" s="33">
        <f ca="1">IFERROR(AVERAGEIFS(data_brute!M:M,data_brute!J:J,"&lt;="&amp;AK380),NA())</f>
        <v>25.353524229074896</v>
      </c>
      <c r="AM380" s="46">
        <f t="shared" ca="1" si="91"/>
        <v>3740</v>
      </c>
      <c r="AN380" s="46" t="b">
        <f t="shared" si="92"/>
        <v>0</v>
      </c>
      <c r="AO380" s="50" t="b">
        <f t="shared" si="93"/>
        <v>0</v>
      </c>
    </row>
    <row r="381" spans="21:41" x14ac:dyDescent="0.2">
      <c r="U381" s="46">
        <f t="shared" si="84"/>
        <v>3742</v>
      </c>
      <c r="V381" s="46">
        <f t="shared" si="85"/>
        <v>3751</v>
      </c>
      <c r="W381" s="33" t="e">
        <f>IFERROR(AVERAGEIFS(data_brute!M:M,data_brute!J:J,"&lt;="&amp;V381,data_brute!J:J,"&gt;="&amp;U381),NA())</f>
        <v>#N/A</v>
      </c>
      <c r="X381" s="46" t="e">
        <f t="shared" si="86"/>
        <v>#N/A</v>
      </c>
      <c r="Y381" s="2" t="b">
        <f t="shared" si="87"/>
        <v>0</v>
      </c>
      <c r="Z381" s="2" t="b">
        <f t="shared" si="88"/>
        <v>0</v>
      </c>
      <c r="AE381" s="46">
        <f t="shared" si="81"/>
        <v>3742</v>
      </c>
      <c r="AF381" s="46">
        <f t="shared" si="82"/>
        <v>3751</v>
      </c>
      <c r="AG381" s="33" t="e">
        <f>IFERROR(AVERAGEIFS(data_brute!M:M,data_brute!J:J,"&gt;="&amp;AE381,data_brute!J:J,"&lt;="&amp;AF381),NA())</f>
        <v>#N/A</v>
      </c>
      <c r="AH381" s="46" t="e">
        <f t="shared" si="83"/>
        <v>#N/A</v>
      </c>
      <c r="AJ381" s="46">
        <f t="shared" si="89"/>
        <v>3742</v>
      </c>
      <c r="AK381" s="46">
        <f t="shared" si="90"/>
        <v>3751</v>
      </c>
      <c r="AL381" s="33">
        <f ca="1">IFERROR(AVERAGEIFS(data_brute!M:M,data_brute!J:J,"&lt;="&amp;AK381),NA())</f>
        <v>25.353524229074896</v>
      </c>
      <c r="AM381" s="46">
        <f t="shared" ca="1" si="91"/>
        <v>3750</v>
      </c>
      <c r="AN381" s="46" t="b">
        <f t="shared" si="92"/>
        <v>0</v>
      </c>
      <c r="AO381" s="50" t="b">
        <f t="shared" si="93"/>
        <v>0</v>
      </c>
    </row>
    <row r="382" spans="21:41" x14ac:dyDescent="0.2">
      <c r="U382" s="46">
        <f t="shared" si="84"/>
        <v>3752</v>
      </c>
      <c r="V382" s="46">
        <f t="shared" si="85"/>
        <v>3761</v>
      </c>
      <c r="W382" s="33" t="e">
        <f>IFERROR(AVERAGEIFS(data_brute!M:M,data_brute!J:J,"&lt;="&amp;V382,data_brute!J:J,"&gt;="&amp;U382),NA())</f>
        <v>#N/A</v>
      </c>
      <c r="X382" s="46" t="e">
        <f t="shared" si="86"/>
        <v>#N/A</v>
      </c>
      <c r="Y382" s="2" t="b">
        <f t="shared" si="87"/>
        <v>0</v>
      </c>
      <c r="Z382" s="2" t="b">
        <f t="shared" si="88"/>
        <v>0</v>
      </c>
      <c r="AE382" s="46">
        <f t="shared" si="81"/>
        <v>3752</v>
      </c>
      <c r="AF382" s="46">
        <f t="shared" si="82"/>
        <v>3761</v>
      </c>
      <c r="AG382" s="33" t="e">
        <f>IFERROR(AVERAGEIFS(data_brute!M:M,data_brute!J:J,"&gt;="&amp;AE382,data_brute!J:J,"&lt;="&amp;AF382),NA())</f>
        <v>#N/A</v>
      </c>
      <c r="AH382" s="46" t="e">
        <f t="shared" si="83"/>
        <v>#N/A</v>
      </c>
      <c r="AJ382" s="46">
        <f t="shared" si="89"/>
        <v>3752</v>
      </c>
      <c r="AK382" s="46">
        <f t="shared" si="90"/>
        <v>3761</v>
      </c>
      <c r="AL382" s="33">
        <f ca="1">IFERROR(AVERAGEIFS(data_brute!M:M,data_brute!J:J,"&lt;="&amp;AK382),NA())</f>
        <v>25.353524229074896</v>
      </c>
      <c r="AM382" s="46">
        <f t="shared" ca="1" si="91"/>
        <v>3760</v>
      </c>
      <c r="AN382" s="46" t="b">
        <f t="shared" si="92"/>
        <v>0</v>
      </c>
      <c r="AO382" s="50" t="b">
        <f t="shared" si="93"/>
        <v>0</v>
      </c>
    </row>
    <row r="383" spans="21:41" x14ac:dyDescent="0.2">
      <c r="U383" s="46">
        <f t="shared" si="84"/>
        <v>3762</v>
      </c>
      <c r="V383" s="46">
        <f t="shared" si="85"/>
        <v>3771</v>
      </c>
      <c r="W383" s="33" t="e">
        <f>IFERROR(AVERAGEIFS(data_brute!M:M,data_brute!J:J,"&lt;="&amp;V383,data_brute!J:J,"&gt;="&amp;U383),NA())</f>
        <v>#N/A</v>
      </c>
      <c r="X383" s="46" t="e">
        <f t="shared" si="86"/>
        <v>#N/A</v>
      </c>
      <c r="Y383" s="2" t="b">
        <f t="shared" si="87"/>
        <v>0</v>
      </c>
      <c r="Z383" s="2" t="b">
        <f t="shared" si="88"/>
        <v>0</v>
      </c>
      <c r="AE383" s="46">
        <f t="shared" si="81"/>
        <v>3762</v>
      </c>
      <c r="AF383" s="46">
        <f t="shared" si="82"/>
        <v>3771</v>
      </c>
      <c r="AG383" s="33" t="e">
        <f>IFERROR(AVERAGEIFS(data_brute!M:M,data_brute!J:J,"&gt;="&amp;AE383,data_brute!J:J,"&lt;="&amp;AF383),NA())</f>
        <v>#N/A</v>
      </c>
      <c r="AH383" s="46" t="e">
        <f t="shared" si="83"/>
        <v>#N/A</v>
      </c>
      <c r="AJ383" s="46">
        <f t="shared" si="89"/>
        <v>3762</v>
      </c>
      <c r="AK383" s="46">
        <f t="shared" si="90"/>
        <v>3771</v>
      </c>
      <c r="AL383" s="33">
        <f ca="1">IFERROR(AVERAGEIFS(data_brute!M:M,data_brute!J:J,"&lt;="&amp;AK383),NA())</f>
        <v>25.353524229074896</v>
      </c>
      <c r="AM383" s="46">
        <f t="shared" ca="1" si="91"/>
        <v>3770</v>
      </c>
      <c r="AN383" s="46" t="b">
        <f t="shared" si="92"/>
        <v>0</v>
      </c>
      <c r="AO383" s="50" t="b">
        <f t="shared" si="93"/>
        <v>0</v>
      </c>
    </row>
    <row r="384" spans="21:41" x14ac:dyDescent="0.2">
      <c r="U384" s="46">
        <f t="shared" si="84"/>
        <v>3772</v>
      </c>
      <c r="V384" s="46">
        <f t="shared" si="85"/>
        <v>3781</v>
      </c>
      <c r="W384" s="33" t="e">
        <f>IFERROR(AVERAGEIFS(data_brute!M:M,data_brute!J:J,"&lt;="&amp;V384,data_brute!J:J,"&gt;="&amp;U384),NA())</f>
        <v>#N/A</v>
      </c>
      <c r="X384" s="46" t="e">
        <f t="shared" si="86"/>
        <v>#N/A</v>
      </c>
      <c r="Y384" s="2" t="b">
        <f t="shared" si="87"/>
        <v>0</v>
      </c>
      <c r="Z384" s="2" t="b">
        <f t="shared" si="88"/>
        <v>0</v>
      </c>
      <c r="AE384" s="46">
        <f t="shared" si="81"/>
        <v>3772</v>
      </c>
      <c r="AF384" s="46">
        <f t="shared" si="82"/>
        <v>3781</v>
      </c>
      <c r="AG384" s="33" t="e">
        <f>IFERROR(AVERAGEIFS(data_brute!M:M,data_brute!J:J,"&gt;="&amp;AE384,data_brute!J:J,"&lt;="&amp;AF384),NA())</f>
        <v>#N/A</v>
      </c>
      <c r="AH384" s="46" t="e">
        <f t="shared" si="83"/>
        <v>#N/A</v>
      </c>
      <c r="AJ384" s="46">
        <f t="shared" si="89"/>
        <v>3772</v>
      </c>
      <c r="AK384" s="46">
        <f t="shared" si="90"/>
        <v>3781</v>
      </c>
      <c r="AL384" s="33">
        <f ca="1">IFERROR(AVERAGEIFS(data_brute!M:M,data_brute!J:J,"&lt;="&amp;AK384),NA())</f>
        <v>25.353524229074896</v>
      </c>
      <c r="AM384" s="46">
        <f t="shared" ca="1" si="91"/>
        <v>3780</v>
      </c>
      <c r="AN384" s="46" t="b">
        <f t="shared" si="92"/>
        <v>0</v>
      </c>
      <c r="AO384" s="50" t="b">
        <f t="shared" si="93"/>
        <v>0</v>
      </c>
    </row>
    <row r="385" spans="21:41" x14ac:dyDescent="0.2">
      <c r="U385" s="46">
        <f t="shared" si="84"/>
        <v>3782</v>
      </c>
      <c r="V385" s="46">
        <f t="shared" si="85"/>
        <v>3791</v>
      </c>
      <c r="W385" s="33" t="e">
        <f>IFERROR(AVERAGEIFS(data_brute!M:M,data_brute!J:J,"&lt;="&amp;V385,data_brute!J:J,"&gt;="&amp;U385),NA())</f>
        <v>#N/A</v>
      </c>
      <c r="X385" s="46" t="e">
        <f t="shared" si="86"/>
        <v>#N/A</v>
      </c>
      <c r="Y385" s="2" t="b">
        <f t="shared" si="87"/>
        <v>0</v>
      </c>
      <c r="Z385" s="2" t="b">
        <f t="shared" si="88"/>
        <v>0</v>
      </c>
      <c r="AE385" s="46">
        <f t="shared" si="81"/>
        <v>3782</v>
      </c>
      <c r="AF385" s="46">
        <f t="shared" si="82"/>
        <v>3791</v>
      </c>
      <c r="AG385" s="33" t="e">
        <f>IFERROR(AVERAGEIFS(data_brute!M:M,data_brute!J:J,"&gt;="&amp;AE385,data_brute!J:J,"&lt;="&amp;AF385),NA())</f>
        <v>#N/A</v>
      </c>
      <c r="AH385" s="46" t="e">
        <f t="shared" si="83"/>
        <v>#N/A</v>
      </c>
      <c r="AJ385" s="46">
        <f t="shared" si="89"/>
        <v>3782</v>
      </c>
      <c r="AK385" s="46">
        <f t="shared" si="90"/>
        <v>3791</v>
      </c>
      <c r="AL385" s="33">
        <f ca="1">IFERROR(AVERAGEIFS(data_brute!M:M,data_brute!J:J,"&lt;="&amp;AK385),NA())</f>
        <v>25.353524229074896</v>
      </c>
      <c r="AM385" s="46">
        <f t="shared" ca="1" si="91"/>
        <v>3790</v>
      </c>
      <c r="AN385" s="46" t="b">
        <f t="shared" si="92"/>
        <v>0</v>
      </c>
      <c r="AO385" s="50" t="b">
        <f t="shared" si="93"/>
        <v>0</v>
      </c>
    </row>
    <row r="386" spans="21:41" x14ac:dyDescent="0.2">
      <c r="U386" s="46">
        <f t="shared" si="84"/>
        <v>3792</v>
      </c>
      <c r="V386" s="46">
        <f t="shared" si="85"/>
        <v>3801</v>
      </c>
      <c r="W386" s="33" t="e">
        <f>IFERROR(AVERAGEIFS(data_brute!M:M,data_brute!J:J,"&lt;="&amp;V386,data_brute!J:J,"&gt;="&amp;U386),NA())</f>
        <v>#N/A</v>
      </c>
      <c r="X386" s="46" t="e">
        <f t="shared" si="86"/>
        <v>#N/A</v>
      </c>
      <c r="Y386" s="2" t="b">
        <f t="shared" si="87"/>
        <v>0</v>
      </c>
      <c r="Z386" s="2" t="b">
        <f t="shared" si="88"/>
        <v>0</v>
      </c>
      <c r="AE386" s="46">
        <f t="shared" si="81"/>
        <v>3792</v>
      </c>
      <c r="AF386" s="46">
        <f t="shared" si="82"/>
        <v>3801</v>
      </c>
      <c r="AG386" s="33" t="e">
        <f>IFERROR(AVERAGEIFS(data_brute!M:M,data_brute!J:J,"&gt;="&amp;AE386,data_brute!J:J,"&lt;="&amp;AF386),NA())</f>
        <v>#N/A</v>
      </c>
      <c r="AH386" s="46" t="e">
        <f t="shared" si="83"/>
        <v>#N/A</v>
      </c>
      <c r="AJ386" s="46">
        <f t="shared" si="89"/>
        <v>3792</v>
      </c>
      <c r="AK386" s="46">
        <f t="shared" si="90"/>
        <v>3801</v>
      </c>
      <c r="AL386" s="33">
        <f ca="1">IFERROR(AVERAGEIFS(data_brute!M:M,data_brute!J:J,"&lt;="&amp;AK386),NA())</f>
        <v>25.353524229074896</v>
      </c>
      <c r="AM386" s="46">
        <f t="shared" ca="1" si="91"/>
        <v>3800</v>
      </c>
      <c r="AN386" s="46" t="b">
        <f t="shared" si="92"/>
        <v>0</v>
      </c>
      <c r="AO386" s="50" t="b">
        <f t="shared" si="93"/>
        <v>0</v>
      </c>
    </row>
    <row r="387" spans="21:41" x14ac:dyDescent="0.2">
      <c r="U387" s="46">
        <f t="shared" si="84"/>
        <v>3802</v>
      </c>
      <c r="V387" s="46">
        <f t="shared" si="85"/>
        <v>3811</v>
      </c>
      <c r="W387" s="33" t="e">
        <f>IFERROR(AVERAGEIFS(data_brute!M:M,data_brute!J:J,"&lt;="&amp;V387,data_brute!J:J,"&gt;="&amp;U387),NA())</f>
        <v>#N/A</v>
      </c>
      <c r="X387" s="46" t="e">
        <f t="shared" si="86"/>
        <v>#N/A</v>
      </c>
      <c r="Y387" s="2" t="b">
        <f t="shared" si="87"/>
        <v>0</v>
      </c>
      <c r="Z387" s="2" t="b">
        <f t="shared" si="88"/>
        <v>0</v>
      </c>
      <c r="AE387" s="46">
        <f t="shared" si="81"/>
        <v>3802</v>
      </c>
      <c r="AF387" s="46">
        <f t="shared" si="82"/>
        <v>3811</v>
      </c>
      <c r="AG387" s="33" t="e">
        <f>IFERROR(AVERAGEIFS(data_brute!M:M,data_brute!J:J,"&gt;="&amp;AE387,data_brute!J:J,"&lt;="&amp;AF387),NA())</f>
        <v>#N/A</v>
      </c>
      <c r="AH387" s="46" t="e">
        <f t="shared" si="83"/>
        <v>#N/A</v>
      </c>
      <c r="AJ387" s="46">
        <f t="shared" si="89"/>
        <v>3802</v>
      </c>
      <c r="AK387" s="46">
        <f t="shared" si="90"/>
        <v>3811</v>
      </c>
      <c r="AL387" s="33">
        <f ca="1">IFERROR(AVERAGEIFS(data_brute!M:M,data_brute!J:J,"&lt;="&amp;AK387),NA())</f>
        <v>25.353524229074896</v>
      </c>
      <c r="AM387" s="46">
        <f t="shared" ca="1" si="91"/>
        <v>3810</v>
      </c>
      <c r="AN387" s="46" t="b">
        <f t="shared" si="92"/>
        <v>0</v>
      </c>
      <c r="AO387" s="50" t="b">
        <f t="shared" si="93"/>
        <v>0</v>
      </c>
    </row>
    <row r="388" spans="21:41" x14ac:dyDescent="0.2">
      <c r="U388" s="46">
        <f t="shared" si="84"/>
        <v>3812</v>
      </c>
      <c r="V388" s="46">
        <f t="shared" si="85"/>
        <v>3821</v>
      </c>
      <c r="W388" s="33" t="e">
        <f>IFERROR(AVERAGEIFS(data_brute!M:M,data_brute!J:J,"&lt;="&amp;V388,data_brute!J:J,"&gt;="&amp;U388),NA())</f>
        <v>#N/A</v>
      </c>
      <c r="X388" s="46" t="e">
        <f t="shared" si="86"/>
        <v>#N/A</v>
      </c>
      <c r="Y388" s="2" t="b">
        <f t="shared" si="87"/>
        <v>0</v>
      </c>
      <c r="Z388" s="2" t="b">
        <f t="shared" si="88"/>
        <v>0</v>
      </c>
      <c r="AE388" s="46">
        <f t="shared" si="81"/>
        <v>3812</v>
      </c>
      <c r="AF388" s="46">
        <f t="shared" si="82"/>
        <v>3821</v>
      </c>
      <c r="AG388" s="33" t="e">
        <f>IFERROR(AVERAGEIFS(data_brute!M:M,data_brute!J:J,"&gt;="&amp;AE388,data_brute!J:J,"&lt;="&amp;AF388),NA())</f>
        <v>#N/A</v>
      </c>
      <c r="AH388" s="46" t="e">
        <f t="shared" si="83"/>
        <v>#N/A</v>
      </c>
      <c r="AJ388" s="46">
        <f t="shared" si="89"/>
        <v>3812</v>
      </c>
      <c r="AK388" s="46">
        <f t="shared" si="90"/>
        <v>3821</v>
      </c>
      <c r="AL388" s="33">
        <f ca="1">IFERROR(AVERAGEIFS(data_brute!M:M,data_brute!J:J,"&lt;="&amp;AK388),NA())</f>
        <v>25.353524229074896</v>
      </c>
      <c r="AM388" s="46">
        <f t="shared" ca="1" si="91"/>
        <v>3820</v>
      </c>
      <c r="AN388" s="46" t="b">
        <f t="shared" si="92"/>
        <v>0</v>
      </c>
      <c r="AO388" s="50" t="b">
        <f t="shared" si="93"/>
        <v>0</v>
      </c>
    </row>
    <row r="389" spans="21:41" x14ac:dyDescent="0.2">
      <c r="U389" s="46">
        <f t="shared" si="84"/>
        <v>3822</v>
      </c>
      <c r="V389" s="46">
        <f t="shared" si="85"/>
        <v>3831</v>
      </c>
      <c r="W389" s="33" t="e">
        <f>IFERROR(AVERAGEIFS(data_brute!M:M,data_brute!J:J,"&lt;="&amp;V389,data_brute!J:J,"&gt;="&amp;U389),NA())</f>
        <v>#N/A</v>
      </c>
      <c r="X389" s="46" t="e">
        <f t="shared" si="86"/>
        <v>#N/A</v>
      </c>
      <c r="Y389" s="2" t="b">
        <f t="shared" si="87"/>
        <v>0</v>
      </c>
      <c r="Z389" s="2" t="b">
        <f t="shared" si="88"/>
        <v>0</v>
      </c>
      <c r="AE389" s="46">
        <f t="shared" si="81"/>
        <v>3822</v>
      </c>
      <c r="AF389" s="46">
        <f t="shared" si="82"/>
        <v>3831</v>
      </c>
      <c r="AG389" s="33" t="e">
        <f>IFERROR(AVERAGEIFS(data_brute!M:M,data_brute!J:J,"&gt;="&amp;AE389,data_brute!J:J,"&lt;="&amp;AF389),NA())</f>
        <v>#N/A</v>
      </c>
      <c r="AH389" s="46" t="e">
        <f t="shared" si="83"/>
        <v>#N/A</v>
      </c>
      <c r="AJ389" s="46">
        <f t="shared" si="89"/>
        <v>3822</v>
      </c>
      <c r="AK389" s="46">
        <f t="shared" si="90"/>
        <v>3831</v>
      </c>
      <c r="AL389" s="33">
        <f ca="1">IFERROR(AVERAGEIFS(data_brute!M:M,data_brute!J:J,"&lt;="&amp;AK389),NA())</f>
        <v>25.353524229074896</v>
      </c>
      <c r="AM389" s="46">
        <f t="shared" ca="1" si="91"/>
        <v>3830</v>
      </c>
      <c r="AN389" s="46" t="b">
        <f t="shared" si="92"/>
        <v>0</v>
      </c>
      <c r="AO389" s="50" t="b">
        <f t="shared" si="93"/>
        <v>0</v>
      </c>
    </row>
    <row r="390" spans="21:41" x14ac:dyDescent="0.2">
      <c r="U390" s="46">
        <f t="shared" si="84"/>
        <v>3832</v>
      </c>
      <c r="V390" s="46">
        <f t="shared" si="85"/>
        <v>3841</v>
      </c>
      <c r="W390" s="33" t="e">
        <f>IFERROR(AVERAGEIFS(data_brute!M:M,data_brute!J:J,"&lt;="&amp;V390,data_brute!J:J,"&gt;="&amp;U390),NA())</f>
        <v>#N/A</v>
      </c>
      <c r="X390" s="46" t="e">
        <f t="shared" si="86"/>
        <v>#N/A</v>
      </c>
      <c r="Y390" s="2" t="b">
        <f t="shared" si="87"/>
        <v>0</v>
      </c>
      <c r="Z390" s="2" t="b">
        <f t="shared" si="88"/>
        <v>0</v>
      </c>
      <c r="AE390" s="46">
        <f t="shared" si="81"/>
        <v>3832</v>
      </c>
      <c r="AF390" s="46">
        <f t="shared" si="82"/>
        <v>3841</v>
      </c>
      <c r="AG390" s="33" t="e">
        <f>IFERROR(AVERAGEIFS(data_brute!M:M,data_brute!J:J,"&gt;="&amp;AE390,data_brute!J:J,"&lt;="&amp;AF390),NA())</f>
        <v>#N/A</v>
      </c>
      <c r="AH390" s="46" t="e">
        <f t="shared" si="83"/>
        <v>#N/A</v>
      </c>
      <c r="AJ390" s="46">
        <f t="shared" si="89"/>
        <v>3832</v>
      </c>
      <c r="AK390" s="46">
        <f t="shared" si="90"/>
        <v>3841</v>
      </c>
      <c r="AL390" s="33">
        <f ca="1">IFERROR(AVERAGEIFS(data_brute!M:M,data_brute!J:J,"&lt;="&amp;AK390),NA())</f>
        <v>25.353524229074896</v>
      </c>
      <c r="AM390" s="46">
        <f t="shared" ca="1" si="91"/>
        <v>3840</v>
      </c>
      <c r="AN390" s="46" t="b">
        <f t="shared" si="92"/>
        <v>0</v>
      </c>
      <c r="AO390" s="50" t="b">
        <f t="shared" si="93"/>
        <v>0</v>
      </c>
    </row>
    <row r="391" spans="21:41" x14ac:dyDescent="0.2">
      <c r="U391" s="46">
        <f t="shared" si="84"/>
        <v>3842</v>
      </c>
      <c r="V391" s="46">
        <f t="shared" si="85"/>
        <v>3851</v>
      </c>
      <c r="W391" s="33" t="e">
        <f>IFERROR(AVERAGEIFS(data_brute!M:M,data_brute!J:J,"&lt;="&amp;V391,data_brute!J:J,"&gt;="&amp;U391),NA())</f>
        <v>#N/A</v>
      </c>
      <c r="X391" s="46" t="e">
        <f t="shared" si="86"/>
        <v>#N/A</v>
      </c>
      <c r="Y391" s="2" t="b">
        <f t="shared" si="87"/>
        <v>0</v>
      </c>
      <c r="Z391" s="2" t="b">
        <f t="shared" si="88"/>
        <v>0</v>
      </c>
      <c r="AE391" s="46">
        <f t="shared" si="81"/>
        <v>3842</v>
      </c>
      <c r="AF391" s="46">
        <f t="shared" si="82"/>
        <v>3851</v>
      </c>
      <c r="AG391" s="33" t="e">
        <f>IFERROR(AVERAGEIFS(data_brute!M:M,data_brute!J:J,"&gt;="&amp;AE391,data_brute!J:J,"&lt;="&amp;AF391),NA())</f>
        <v>#N/A</v>
      </c>
      <c r="AH391" s="46" t="e">
        <f t="shared" si="83"/>
        <v>#N/A</v>
      </c>
      <c r="AJ391" s="46">
        <f t="shared" si="89"/>
        <v>3842</v>
      </c>
      <c r="AK391" s="46">
        <f t="shared" si="90"/>
        <v>3851</v>
      </c>
      <c r="AL391" s="33">
        <f ca="1">IFERROR(AVERAGEIFS(data_brute!M:M,data_brute!J:J,"&lt;="&amp;AK391),NA())</f>
        <v>25.353524229074896</v>
      </c>
      <c r="AM391" s="46">
        <f t="shared" ca="1" si="91"/>
        <v>3850</v>
      </c>
      <c r="AN391" s="46" t="b">
        <f t="shared" si="92"/>
        <v>0</v>
      </c>
      <c r="AO391" s="50" t="b">
        <f t="shared" si="93"/>
        <v>0</v>
      </c>
    </row>
    <row r="392" spans="21:41" x14ac:dyDescent="0.2">
      <c r="U392" s="46">
        <f t="shared" si="84"/>
        <v>3852</v>
      </c>
      <c r="V392" s="46">
        <f t="shared" si="85"/>
        <v>3861</v>
      </c>
      <c r="W392" s="33" t="e">
        <f>IFERROR(AVERAGEIFS(data_brute!M:M,data_brute!J:J,"&lt;="&amp;V392,data_brute!J:J,"&gt;="&amp;U392),NA())</f>
        <v>#N/A</v>
      </c>
      <c r="X392" s="46" t="e">
        <f t="shared" si="86"/>
        <v>#N/A</v>
      </c>
      <c r="Y392" s="2" t="b">
        <f t="shared" si="87"/>
        <v>0</v>
      </c>
      <c r="Z392" s="2" t="b">
        <f t="shared" si="88"/>
        <v>0</v>
      </c>
      <c r="AE392" s="46">
        <f t="shared" si="81"/>
        <v>3852</v>
      </c>
      <c r="AF392" s="46">
        <f t="shared" si="82"/>
        <v>3861</v>
      </c>
      <c r="AG392" s="33" t="e">
        <f>IFERROR(AVERAGEIFS(data_brute!M:M,data_brute!J:J,"&gt;="&amp;AE392,data_brute!J:J,"&lt;="&amp;AF392),NA())</f>
        <v>#N/A</v>
      </c>
      <c r="AH392" s="46" t="e">
        <f t="shared" si="83"/>
        <v>#N/A</v>
      </c>
      <c r="AJ392" s="46">
        <f t="shared" si="89"/>
        <v>3852</v>
      </c>
      <c r="AK392" s="46">
        <f t="shared" si="90"/>
        <v>3861</v>
      </c>
      <c r="AL392" s="33">
        <f ca="1">IFERROR(AVERAGEIFS(data_brute!M:M,data_brute!J:J,"&lt;="&amp;AK392),NA())</f>
        <v>25.353524229074896</v>
      </c>
      <c r="AM392" s="46">
        <f t="shared" ca="1" si="91"/>
        <v>3860</v>
      </c>
      <c r="AN392" s="46" t="b">
        <f t="shared" si="92"/>
        <v>0</v>
      </c>
      <c r="AO392" s="50" t="b">
        <f t="shared" si="93"/>
        <v>0</v>
      </c>
    </row>
    <row r="393" spans="21:41" x14ac:dyDescent="0.2">
      <c r="U393" s="46">
        <f t="shared" si="84"/>
        <v>3862</v>
      </c>
      <c r="V393" s="46">
        <f t="shared" si="85"/>
        <v>3871</v>
      </c>
      <c r="W393" s="33" t="e">
        <f>IFERROR(AVERAGEIFS(data_brute!M:M,data_brute!J:J,"&lt;="&amp;V393,data_brute!J:J,"&gt;="&amp;U393),NA())</f>
        <v>#N/A</v>
      </c>
      <c r="X393" s="46" t="e">
        <f t="shared" si="86"/>
        <v>#N/A</v>
      </c>
      <c r="Y393" s="2" t="b">
        <f t="shared" si="87"/>
        <v>0</v>
      </c>
      <c r="Z393" s="2" t="b">
        <f t="shared" si="88"/>
        <v>0</v>
      </c>
      <c r="AE393" s="46">
        <f t="shared" si="81"/>
        <v>3862</v>
      </c>
      <c r="AF393" s="46">
        <f t="shared" si="82"/>
        <v>3871</v>
      </c>
      <c r="AG393" s="33" t="e">
        <f>IFERROR(AVERAGEIFS(data_brute!M:M,data_brute!J:J,"&gt;="&amp;AE393,data_brute!J:J,"&lt;="&amp;AF393),NA())</f>
        <v>#N/A</v>
      </c>
      <c r="AH393" s="46" t="e">
        <f t="shared" si="83"/>
        <v>#N/A</v>
      </c>
      <c r="AJ393" s="46">
        <f t="shared" si="89"/>
        <v>3862</v>
      </c>
      <c r="AK393" s="46">
        <f t="shared" si="90"/>
        <v>3871</v>
      </c>
      <c r="AL393" s="33">
        <f ca="1">IFERROR(AVERAGEIFS(data_brute!M:M,data_brute!J:J,"&lt;="&amp;AK393),NA())</f>
        <v>25.353524229074896</v>
      </c>
      <c r="AM393" s="46">
        <f t="shared" ca="1" si="91"/>
        <v>3870</v>
      </c>
      <c r="AN393" s="46" t="b">
        <f t="shared" si="92"/>
        <v>0</v>
      </c>
      <c r="AO393" s="50" t="b">
        <f t="shared" si="93"/>
        <v>0</v>
      </c>
    </row>
    <row r="394" spans="21:41" x14ac:dyDescent="0.2">
      <c r="U394" s="46">
        <f t="shared" si="84"/>
        <v>3872</v>
      </c>
      <c r="V394" s="46">
        <f t="shared" si="85"/>
        <v>3881</v>
      </c>
      <c r="W394" s="33" t="e">
        <f>IFERROR(AVERAGEIFS(data_brute!M:M,data_brute!J:J,"&lt;="&amp;V394,data_brute!J:J,"&gt;="&amp;U394),NA())</f>
        <v>#N/A</v>
      </c>
      <c r="X394" s="46" t="e">
        <f t="shared" si="86"/>
        <v>#N/A</v>
      </c>
      <c r="Y394" s="2" t="b">
        <f t="shared" si="87"/>
        <v>0</v>
      </c>
      <c r="Z394" s="2" t="b">
        <f t="shared" si="88"/>
        <v>0</v>
      </c>
      <c r="AE394" s="46">
        <f t="shared" si="81"/>
        <v>3872</v>
      </c>
      <c r="AF394" s="46">
        <f t="shared" si="82"/>
        <v>3881</v>
      </c>
      <c r="AG394" s="33" t="e">
        <f>IFERROR(AVERAGEIFS(data_brute!M:M,data_brute!J:J,"&gt;="&amp;AE394,data_brute!J:J,"&lt;="&amp;AF394),NA())</f>
        <v>#N/A</v>
      </c>
      <c r="AH394" s="46" t="e">
        <f t="shared" si="83"/>
        <v>#N/A</v>
      </c>
      <c r="AJ394" s="46">
        <f t="shared" si="89"/>
        <v>3872</v>
      </c>
      <c r="AK394" s="46">
        <f t="shared" si="90"/>
        <v>3881</v>
      </c>
      <c r="AL394" s="33">
        <f ca="1">IFERROR(AVERAGEIFS(data_brute!M:M,data_brute!J:J,"&lt;="&amp;AK394),NA())</f>
        <v>25.353524229074896</v>
      </c>
      <c r="AM394" s="46">
        <f t="shared" ca="1" si="91"/>
        <v>3880</v>
      </c>
      <c r="AN394" s="46" t="b">
        <f t="shared" si="92"/>
        <v>0</v>
      </c>
      <c r="AO394" s="50" t="b">
        <f t="shared" si="93"/>
        <v>0</v>
      </c>
    </row>
    <row r="395" spans="21:41" x14ac:dyDescent="0.2">
      <c r="U395" s="46">
        <f t="shared" si="84"/>
        <v>3882</v>
      </c>
      <c r="V395" s="46">
        <f t="shared" si="85"/>
        <v>3891</v>
      </c>
      <c r="W395" s="33" t="e">
        <f>IFERROR(AVERAGEIFS(data_brute!M:M,data_brute!J:J,"&lt;="&amp;V395,data_brute!J:J,"&gt;="&amp;U395),NA())</f>
        <v>#N/A</v>
      </c>
      <c r="X395" s="46" t="e">
        <f t="shared" si="86"/>
        <v>#N/A</v>
      </c>
      <c r="Y395" s="2" t="b">
        <f t="shared" si="87"/>
        <v>0</v>
      </c>
      <c r="Z395" s="2" t="b">
        <f t="shared" si="88"/>
        <v>0</v>
      </c>
      <c r="AE395" s="46">
        <f t="shared" si="81"/>
        <v>3882</v>
      </c>
      <c r="AF395" s="46">
        <f t="shared" si="82"/>
        <v>3891</v>
      </c>
      <c r="AG395" s="33" t="e">
        <f>IFERROR(AVERAGEIFS(data_brute!M:M,data_brute!J:J,"&gt;="&amp;AE395,data_brute!J:J,"&lt;="&amp;AF395),NA())</f>
        <v>#N/A</v>
      </c>
      <c r="AH395" s="46" t="e">
        <f t="shared" si="83"/>
        <v>#N/A</v>
      </c>
      <c r="AJ395" s="46">
        <f t="shared" si="89"/>
        <v>3882</v>
      </c>
      <c r="AK395" s="46">
        <f t="shared" si="90"/>
        <v>3891</v>
      </c>
      <c r="AL395" s="33">
        <f ca="1">IFERROR(AVERAGEIFS(data_brute!M:M,data_brute!J:J,"&lt;="&amp;AK395),NA())</f>
        <v>25.353524229074896</v>
      </c>
      <c r="AM395" s="46">
        <f t="shared" ca="1" si="91"/>
        <v>3890</v>
      </c>
      <c r="AN395" s="46" t="b">
        <f t="shared" si="92"/>
        <v>0</v>
      </c>
      <c r="AO395" s="50" t="b">
        <f t="shared" si="93"/>
        <v>0</v>
      </c>
    </row>
    <row r="396" spans="21:41" x14ac:dyDescent="0.2">
      <c r="U396" s="46">
        <f t="shared" si="84"/>
        <v>3892</v>
      </c>
      <c r="V396" s="46">
        <f t="shared" si="85"/>
        <v>3901</v>
      </c>
      <c r="W396" s="33" t="e">
        <f>IFERROR(AVERAGEIFS(data_brute!M:M,data_brute!J:J,"&lt;="&amp;V396,data_brute!J:J,"&gt;="&amp;U396),NA())</f>
        <v>#N/A</v>
      </c>
      <c r="X396" s="46" t="e">
        <f t="shared" si="86"/>
        <v>#N/A</v>
      </c>
      <c r="Y396" s="2" t="b">
        <f t="shared" si="87"/>
        <v>0</v>
      </c>
      <c r="Z396" s="2" t="b">
        <f t="shared" si="88"/>
        <v>0</v>
      </c>
      <c r="AE396" s="46">
        <f t="shared" si="81"/>
        <v>3892</v>
      </c>
      <c r="AF396" s="46">
        <f t="shared" si="82"/>
        <v>3901</v>
      </c>
      <c r="AG396" s="33" t="e">
        <f>IFERROR(AVERAGEIFS(data_brute!M:M,data_brute!J:J,"&gt;="&amp;AE396,data_brute!J:J,"&lt;="&amp;AF396),NA())</f>
        <v>#N/A</v>
      </c>
      <c r="AH396" s="46" t="e">
        <f t="shared" si="83"/>
        <v>#N/A</v>
      </c>
      <c r="AJ396" s="46">
        <f t="shared" si="89"/>
        <v>3892</v>
      </c>
      <c r="AK396" s="46">
        <f t="shared" si="90"/>
        <v>3901</v>
      </c>
      <c r="AL396" s="33">
        <f ca="1">IFERROR(AVERAGEIFS(data_brute!M:M,data_brute!J:J,"&lt;="&amp;AK396),NA())</f>
        <v>25.353524229074896</v>
      </c>
      <c r="AM396" s="46">
        <f t="shared" ca="1" si="91"/>
        <v>3900</v>
      </c>
      <c r="AN396" s="46" t="b">
        <f t="shared" si="92"/>
        <v>0</v>
      </c>
      <c r="AO396" s="50" t="b">
        <f t="shared" si="93"/>
        <v>0</v>
      </c>
    </row>
    <row r="397" spans="21:41" x14ac:dyDescent="0.2">
      <c r="U397" s="46">
        <f t="shared" si="84"/>
        <v>3902</v>
      </c>
      <c r="V397" s="46">
        <f t="shared" si="85"/>
        <v>3911</v>
      </c>
      <c r="W397" s="33" t="e">
        <f>IFERROR(AVERAGEIFS(data_brute!M:M,data_brute!J:J,"&lt;="&amp;V397,data_brute!J:J,"&gt;="&amp;U397),NA())</f>
        <v>#N/A</v>
      </c>
      <c r="X397" s="46" t="e">
        <f t="shared" si="86"/>
        <v>#N/A</v>
      </c>
      <c r="Y397" s="2" t="b">
        <f t="shared" si="87"/>
        <v>0</v>
      </c>
      <c r="Z397" s="2" t="b">
        <f t="shared" si="88"/>
        <v>0</v>
      </c>
      <c r="AE397" s="46">
        <f t="shared" si="81"/>
        <v>3902</v>
      </c>
      <c r="AF397" s="46">
        <f t="shared" si="82"/>
        <v>3911</v>
      </c>
      <c r="AG397" s="33" t="e">
        <f>IFERROR(AVERAGEIFS(data_brute!M:M,data_brute!J:J,"&gt;="&amp;AE397,data_brute!J:J,"&lt;="&amp;AF397),NA())</f>
        <v>#N/A</v>
      </c>
      <c r="AH397" s="46" t="e">
        <f t="shared" si="83"/>
        <v>#N/A</v>
      </c>
      <c r="AJ397" s="46">
        <f t="shared" si="89"/>
        <v>3902</v>
      </c>
      <c r="AK397" s="46">
        <f t="shared" si="90"/>
        <v>3911</v>
      </c>
      <c r="AL397" s="33">
        <f ca="1">IFERROR(AVERAGEIFS(data_brute!M:M,data_brute!J:J,"&lt;="&amp;AK397),NA())</f>
        <v>25.353524229074896</v>
      </c>
      <c r="AM397" s="46">
        <f t="shared" ca="1" si="91"/>
        <v>3910</v>
      </c>
      <c r="AN397" s="46" t="b">
        <f t="shared" si="92"/>
        <v>0</v>
      </c>
      <c r="AO397" s="50" t="b">
        <f t="shared" si="93"/>
        <v>0</v>
      </c>
    </row>
    <row r="398" spans="21:41" x14ac:dyDescent="0.2">
      <c r="U398" s="46">
        <f t="shared" si="84"/>
        <v>3912</v>
      </c>
      <c r="V398" s="46">
        <f t="shared" si="85"/>
        <v>3921</v>
      </c>
      <c r="W398" s="33" t="e">
        <f>IFERROR(AVERAGEIFS(data_brute!M:M,data_brute!J:J,"&lt;="&amp;V398,data_brute!J:J,"&gt;="&amp;U398),NA())</f>
        <v>#N/A</v>
      </c>
      <c r="X398" s="46" t="e">
        <f t="shared" si="86"/>
        <v>#N/A</v>
      </c>
      <c r="Y398" s="2" t="b">
        <f t="shared" si="87"/>
        <v>0</v>
      </c>
      <c r="Z398" s="2" t="b">
        <f t="shared" si="88"/>
        <v>0</v>
      </c>
      <c r="AE398" s="46">
        <f t="shared" si="81"/>
        <v>3912</v>
      </c>
      <c r="AF398" s="46">
        <f t="shared" si="82"/>
        <v>3921</v>
      </c>
      <c r="AG398" s="33" t="e">
        <f>IFERROR(AVERAGEIFS(data_brute!M:M,data_brute!J:J,"&gt;="&amp;AE398,data_brute!J:J,"&lt;="&amp;AF398),NA())</f>
        <v>#N/A</v>
      </c>
      <c r="AH398" s="46" t="e">
        <f t="shared" si="83"/>
        <v>#N/A</v>
      </c>
      <c r="AJ398" s="46">
        <f t="shared" si="89"/>
        <v>3912</v>
      </c>
      <c r="AK398" s="46">
        <f t="shared" si="90"/>
        <v>3921</v>
      </c>
      <c r="AL398" s="33">
        <f ca="1">IFERROR(AVERAGEIFS(data_brute!M:M,data_brute!J:J,"&lt;="&amp;AK398),NA())</f>
        <v>25.353524229074896</v>
      </c>
      <c r="AM398" s="46">
        <f t="shared" ca="1" si="91"/>
        <v>3920</v>
      </c>
      <c r="AN398" s="46" t="b">
        <f t="shared" si="92"/>
        <v>0</v>
      </c>
      <c r="AO398" s="50" t="b">
        <f t="shared" si="93"/>
        <v>0</v>
      </c>
    </row>
    <row r="399" spans="21:41" x14ac:dyDescent="0.2">
      <c r="U399" s="46">
        <f t="shared" si="84"/>
        <v>3922</v>
      </c>
      <c r="V399" s="46">
        <f t="shared" si="85"/>
        <v>3931</v>
      </c>
      <c r="W399" s="33" t="e">
        <f>IFERROR(AVERAGEIFS(data_brute!M:M,data_brute!J:J,"&lt;="&amp;V399,data_brute!J:J,"&gt;="&amp;U399),NA())</f>
        <v>#N/A</v>
      </c>
      <c r="X399" s="46" t="e">
        <f t="shared" si="86"/>
        <v>#N/A</v>
      </c>
      <c r="Y399" s="2" t="b">
        <f t="shared" si="87"/>
        <v>0</v>
      </c>
      <c r="Z399" s="2" t="b">
        <f t="shared" si="88"/>
        <v>0</v>
      </c>
      <c r="AE399" s="46">
        <f t="shared" si="81"/>
        <v>3922</v>
      </c>
      <c r="AF399" s="46">
        <f t="shared" si="82"/>
        <v>3931</v>
      </c>
      <c r="AG399" s="33" t="e">
        <f>IFERROR(AVERAGEIFS(data_brute!M:M,data_brute!J:J,"&gt;="&amp;AE399,data_brute!J:J,"&lt;="&amp;AF399),NA())</f>
        <v>#N/A</v>
      </c>
      <c r="AH399" s="46" t="e">
        <f t="shared" si="83"/>
        <v>#N/A</v>
      </c>
      <c r="AJ399" s="46">
        <f t="shared" si="89"/>
        <v>3922</v>
      </c>
      <c r="AK399" s="46">
        <f t="shared" si="90"/>
        <v>3931</v>
      </c>
      <c r="AL399" s="33">
        <f ca="1">IFERROR(AVERAGEIFS(data_brute!M:M,data_brute!J:J,"&lt;="&amp;AK399),NA())</f>
        <v>25.353524229074896</v>
      </c>
      <c r="AM399" s="46">
        <f t="shared" ca="1" si="91"/>
        <v>3930</v>
      </c>
      <c r="AN399" s="46" t="b">
        <f t="shared" si="92"/>
        <v>0</v>
      </c>
      <c r="AO399" s="50" t="b">
        <f t="shared" si="93"/>
        <v>0</v>
      </c>
    </row>
    <row r="400" spans="21:41" x14ac:dyDescent="0.2">
      <c r="U400" s="46">
        <f t="shared" si="84"/>
        <v>3932</v>
      </c>
      <c r="V400" s="46">
        <f t="shared" si="85"/>
        <v>3941</v>
      </c>
      <c r="W400" s="33" t="e">
        <f>IFERROR(AVERAGEIFS(data_brute!M:M,data_brute!J:J,"&lt;="&amp;V400,data_brute!J:J,"&gt;="&amp;U400),NA())</f>
        <v>#N/A</v>
      </c>
      <c r="X400" s="46" t="e">
        <f t="shared" si="86"/>
        <v>#N/A</v>
      </c>
      <c r="Y400" s="2" t="b">
        <f t="shared" si="87"/>
        <v>0</v>
      </c>
      <c r="Z400" s="2" t="b">
        <f t="shared" si="88"/>
        <v>0</v>
      </c>
      <c r="AE400" s="46">
        <f t="shared" si="81"/>
        <v>3932</v>
      </c>
      <c r="AF400" s="46">
        <f t="shared" si="82"/>
        <v>3941</v>
      </c>
      <c r="AG400" s="33" t="e">
        <f>IFERROR(AVERAGEIFS(data_brute!M:M,data_brute!J:J,"&gt;="&amp;AE400,data_brute!J:J,"&lt;="&amp;AF400),NA())</f>
        <v>#N/A</v>
      </c>
      <c r="AH400" s="46" t="e">
        <f t="shared" si="83"/>
        <v>#N/A</v>
      </c>
      <c r="AJ400" s="46">
        <f t="shared" si="89"/>
        <v>3932</v>
      </c>
      <c r="AK400" s="46">
        <f t="shared" si="90"/>
        <v>3941</v>
      </c>
      <c r="AL400" s="33">
        <f ca="1">IFERROR(AVERAGEIFS(data_brute!M:M,data_brute!J:J,"&lt;="&amp;AK400),NA())</f>
        <v>25.353524229074896</v>
      </c>
      <c r="AM400" s="46">
        <f t="shared" ca="1" si="91"/>
        <v>3940</v>
      </c>
      <c r="AN400" s="46" t="b">
        <f t="shared" si="92"/>
        <v>0</v>
      </c>
      <c r="AO400" s="50" t="b">
        <f t="shared" si="93"/>
        <v>0</v>
      </c>
    </row>
    <row r="401" spans="21:41" x14ac:dyDescent="0.2">
      <c r="U401" s="46">
        <f t="shared" si="84"/>
        <v>3942</v>
      </c>
      <c r="V401" s="46">
        <f t="shared" si="85"/>
        <v>3951</v>
      </c>
      <c r="W401" s="33" t="e">
        <f>IFERROR(AVERAGEIFS(data_brute!M:M,data_brute!J:J,"&lt;="&amp;V401,data_brute!J:J,"&gt;="&amp;U401),NA())</f>
        <v>#N/A</v>
      </c>
      <c r="X401" s="46" t="e">
        <f t="shared" si="86"/>
        <v>#N/A</v>
      </c>
      <c r="Y401" s="2" t="b">
        <f t="shared" si="87"/>
        <v>0</v>
      </c>
      <c r="Z401" s="2" t="b">
        <f t="shared" si="88"/>
        <v>0</v>
      </c>
      <c r="AE401" s="46">
        <f t="shared" si="81"/>
        <v>3942</v>
      </c>
      <c r="AF401" s="46">
        <f t="shared" si="82"/>
        <v>3951</v>
      </c>
      <c r="AG401" s="33" t="e">
        <f>IFERROR(AVERAGEIFS(data_brute!M:M,data_brute!J:J,"&gt;="&amp;AE401,data_brute!J:J,"&lt;="&amp;AF401),NA())</f>
        <v>#N/A</v>
      </c>
      <c r="AH401" s="46" t="e">
        <f t="shared" si="83"/>
        <v>#N/A</v>
      </c>
      <c r="AJ401" s="46">
        <f t="shared" si="89"/>
        <v>3942</v>
      </c>
      <c r="AK401" s="46">
        <f t="shared" si="90"/>
        <v>3951</v>
      </c>
      <c r="AL401" s="33">
        <f ca="1">IFERROR(AVERAGEIFS(data_brute!M:M,data_brute!J:J,"&lt;="&amp;AK401),NA())</f>
        <v>25.353524229074896</v>
      </c>
      <c r="AM401" s="46">
        <f t="shared" ca="1" si="91"/>
        <v>3950</v>
      </c>
      <c r="AN401" s="46" t="b">
        <f t="shared" si="92"/>
        <v>0</v>
      </c>
      <c r="AO401" s="50" t="b">
        <f t="shared" si="93"/>
        <v>0</v>
      </c>
    </row>
    <row r="402" spans="21:41" x14ac:dyDescent="0.2">
      <c r="U402" s="46">
        <f t="shared" si="84"/>
        <v>3952</v>
      </c>
      <c r="V402" s="46">
        <f t="shared" si="85"/>
        <v>3961</v>
      </c>
      <c r="W402" s="33" t="e">
        <f>IFERROR(AVERAGEIFS(data_brute!M:M,data_brute!J:J,"&lt;="&amp;V402,data_brute!J:J,"&gt;="&amp;U402),NA())</f>
        <v>#N/A</v>
      </c>
      <c r="X402" s="46" t="e">
        <f t="shared" si="86"/>
        <v>#N/A</v>
      </c>
      <c r="Y402" s="2" t="b">
        <f t="shared" si="87"/>
        <v>0</v>
      </c>
      <c r="Z402" s="2" t="b">
        <f t="shared" si="88"/>
        <v>0</v>
      </c>
      <c r="AE402" s="46">
        <f t="shared" si="81"/>
        <v>3952</v>
      </c>
      <c r="AF402" s="46">
        <f t="shared" si="82"/>
        <v>3961</v>
      </c>
      <c r="AG402" s="33" t="e">
        <f>IFERROR(AVERAGEIFS(data_brute!M:M,data_brute!J:J,"&gt;="&amp;AE402,data_brute!J:J,"&lt;="&amp;AF402),NA())</f>
        <v>#N/A</v>
      </c>
      <c r="AH402" s="46" t="e">
        <f t="shared" si="83"/>
        <v>#N/A</v>
      </c>
      <c r="AJ402" s="46">
        <f t="shared" si="89"/>
        <v>3952</v>
      </c>
      <c r="AK402" s="46">
        <f t="shared" si="90"/>
        <v>3961</v>
      </c>
      <c r="AL402" s="33">
        <f ca="1">IFERROR(AVERAGEIFS(data_brute!M:M,data_brute!J:J,"&lt;="&amp;AK402),NA())</f>
        <v>25.353524229074896</v>
      </c>
      <c r="AM402" s="46">
        <f t="shared" ca="1" si="91"/>
        <v>3960</v>
      </c>
      <c r="AN402" s="46" t="b">
        <f t="shared" si="92"/>
        <v>0</v>
      </c>
      <c r="AO402" s="50" t="b">
        <f t="shared" si="93"/>
        <v>0</v>
      </c>
    </row>
    <row r="403" spans="21:41" x14ac:dyDescent="0.2">
      <c r="U403" s="46">
        <f t="shared" si="84"/>
        <v>3962</v>
      </c>
      <c r="V403" s="46">
        <f t="shared" si="85"/>
        <v>3971</v>
      </c>
      <c r="W403" s="33" t="e">
        <f>IFERROR(AVERAGEIFS(data_brute!M:M,data_brute!J:J,"&lt;="&amp;V403,data_brute!J:J,"&gt;="&amp;U403),NA())</f>
        <v>#N/A</v>
      </c>
      <c r="X403" s="46" t="e">
        <f t="shared" si="86"/>
        <v>#N/A</v>
      </c>
      <c r="Y403" s="2" t="b">
        <f t="shared" si="87"/>
        <v>0</v>
      </c>
      <c r="Z403" s="2" t="b">
        <f t="shared" si="88"/>
        <v>0</v>
      </c>
      <c r="AE403" s="46">
        <f t="shared" si="81"/>
        <v>3962</v>
      </c>
      <c r="AF403" s="46">
        <f t="shared" si="82"/>
        <v>3971</v>
      </c>
      <c r="AG403" s="33" t="e">
        <f>IFERROR(AVERAGEIFS(data_brute!M:M,data_brute!J:J,"&gt;="&amp;AE403,data_brute!J:J,"&lt;="&amp;AF403),NA())</f>
        <v>#N/A</v>
      </c>
      <c r="AH403" s="46" t="e">
        <f t="shared" si="83"/>
        <v>#N/A</v>
      </c>
      <c r="AJ403" s="46">
        <f t="shared" si="89"/>
        <v>3962</v>
      </c>
      <c r="AK403" s="46">
        <f t="shared" si="90"/>
        <v>3971</v>
      </c>
      <c r="AL403" s="33">
        <f ca="1">IFERROR(AVERAGEIFS(data_brute!M:M,data_brute!J:J,"&lt;="&amp;AK403),NA())</f>
        <v>25.353524229074896</v>
      </c>
      <c r="AM403" s="46">
        <f t="shared" ca="1" si="91"/>
        <v>3970</v>
      </c>
      <c r="AN403" s="46" t="b">
        <f t="shared" si="92"/>
        <v>0</v>
      </c>
      <c r="AO403" s="50" t="b">
        <f t="shared" si="93"/>
        <v>0</v>
      </c>
    </row>
    <row r="404" spans="21:41" x14ac:dyDescent="0.2">
      <c r="U404" s="46">
        <f t="shared" si="84"/>
        <v>3972</v>
      </c>
      <c r="V404" s="46">
        <f t="shared" si="85"/>
        <v>3981</v>
      </c>
      <c r="W404" s="33" t="e">
        <f>IFERROR(AVERAGEIFS(data_brute!M:M,data_brute!J:J,"&lt;="&amp;V404,data_brute!J:J,"&gt;="&amp;U404),NA())</f>
        <v>#N/A</v>
      </c>
      <c r="X404" s="46" t="e">
        <f t="shared" si="86"/>
        <v>#N/A</v>
      </c>
      <c r="Y404" s="2" t="b">
        <f t="shared" si="87"/>
        <v>0</v>
      </c>
      <c r="Z404" s="2" t="b">
        <f t="shared" si="88"/>
        <v>0</v>
      </c>
      <c r="AE404" s="46">
        <f t="shared" si="81"/>
        <v>3972</v>
      </c>
      <c r="AF404" s="46">
        <f t="shared" si="82"/>
        <v>3981</v>
      </c>
      <c r="AG404" s="33" t="e">
        <f>IFERROR(AVERAGEIFS(data_brute!M:M,data_brute!J:J,"&gt;="&amp;AE404,data_brute!J:J,"&lt;="&amp;AF404),NA())</f>
        <v>#N/A</v>
      </c>
      <c r="AH404" s="46" t="e">
        <f t="shared" si="83"/>
        <v>#N/A</v>
      </c>
      <c r="AJ404" s="46">
        <f t="shared" si="89"/>
        <v>3972</v>
      </c>
      <c r="AK404" s="46">
        <f t="shared" si="90"/>
        <v>3981</v>
      </c>
      <c r="AL404" s="33">
        <f ca="1">IFERROR(AVERAGEIFS(data_brute!M:M,data_brute!J:J,"&lt;="&amp;AK404),NA())</f>
        <v>25.353524229074896</v>
      </c>
      <c r="AM404" s="46">
        <f t="shared" ca="1" si="91"/>
        <v>3980</v>
      </c>
      <c r="AN404" s="46" t="b">
        <f t="shared" si="92"/>
        <v>0</v>
      </c>
      <c r="AO404" s="50" t="b">
        <f t="shared" si="93"/>
        <v>0</v>
      </c>
    </row>
    <row r="405" spans="21:41" x14ac:dyDescent="0.2">
      <c r="U405" s="46">
        <f t="shared" si="84"/>
        <v>3982</v>
      </c>
      <c r="V405" s="46">
        <f t="shared" si="85"/>
        <v>3991</v>
      </c>
      <c r="W405" s="33" t="e">
        <f>IFERROR(AVERAGEIFS(data_brute!M:M,data_brute!J:J,"&lt;="&amp;V405,data_brute!J:J,"&gt;="&amp;U405),NA())</f>
        <v>#N/A</v>
      </c>
      <c r="X405" s="46" t="e">
        <f t="shared" si="86"/>
        <v>#N/A</v>
      </c>
      <c r="Y405" s="2" t="b">
        <f t="shared" si="87"/>
        <v>0</v>
      </c>
      <c r="Z405" s="2" t="b">
        <f t="shared" si="88"/>
        <v>0</v>
      </c>
      <c r="AE405" s="46">
        <f t="shared" si="81"/>
        <v>3982</v>
      </c>
      <c r="AF405" s="46">
        <f t="shared" si="82"/>
        <v>3991</v>
      </c>
      <c r="AG405" s="33" t="e">
        <f>IFERROR(AVERAGEIFS(data_brute!M:M,data_brute!J:J,"&gt;="&amp;AE405,data_brute!J:J,"&lt;="&amp;AF405),NA())</f>
        <v>#N/A</v>
      </c>
      <c r="AH405" s="46" t="e">
        <f t="shared" si="83"/>
        <v>#N/A</v>
      </c>
      <c r="AJ405" s="46">
        <f t="shared" si="89"/>
        <v>3982</v>
      </c>
      <c r="AK405" s="46">
        <f t="shared" si="90"/>
        <v>3991</v>
      </c>
      <c r="AL405" s="33">
        <f ca="1">IFERROR(AVERAGEIFS(data_brute!M:M,data_brute!J:J,"&lt;="&amp;AK405),NA())</f>
        <v>25.353524229074896</v>
      </c>
      <c r="AM405" s="46">
        <f t="shared" ca="1" si="91"/>
        <v>3990</v>
      </c>
      <c r="AN405" s="46" t="b">
        <f t="shared" si="92"/>
        <v>0</v>
      </c>
      <c r="AO405" s="50" t="b">
        <f t="shared" si="93"/>
        <v>0</v>
      </c>
    </row>
    <row r="406" spans="21:41" x14ac:dyDescent="0.2">
      <c r="U406" s="46">
        <f t="shared" si="84"/>
        <v>3992</v>
      </c>
      <c r="V406" s="46">
        <f t="shared" si="85"/>
        <v>4001</v>
      </c>
      <c r="W406" s="33" t="e">
        <f>IFERROR(AVERAGEIFS(data_brute!M:M,data_brute!J:J,"&lt;="&amp;V406,data_brute!J:J,"&gt;="&amp;U406),NA())</f>
        <v>#N/A</v>
      </c>
      <c r="X406" s="46" t="e">
        <f t="shared" si="86"/>
        <v>#N/A</v>
      </c>
      <c r="Y406" s="2" t="b">
        <f t="shared" si="87"/>
        <v>0</v>
      </c>
      <c r="Z406" s="2" t="b">
        <f t="shared" si="88"/>
        <v>0</v>
      </c>
      <c r="AE406" s="46">
        <f t="shared" si="81"/>
        <v>3992</v>
      </c>
      <c r="AF406" s="46">
        <f t="shared" si="82"/>
        <v>4001</v>
      </c>
      <c r="AG406" s="33" t="e">
        <f>IFERROR(AVERAGEIFS(data_brute!M:M,data_brute!J:J,"&gt;="&amp;AE406,data_brute!J:J,"&lt;="&amp;AF406),NA())</f>
        <v>#N/A</v>
      </c>
      <c r="AH406" s="46" t="e">
        <f t="shared" si="83"/>
        <v>#N/A</v>
      </c>
      <c r="AJ406" s="46">
        <f t="shared" si="89"/>
        <v>3992</v>
      </c>
      <c r="AK406" s="46">
        <f t="shared" si="90"/>
        <v>4001</v>
      </c>
      <c r="AL406" s="33">
        <f ca="1">IFERROR(AVERAGEIFS(data_brute!M:M,data_brute!J:J,"&lt;="&amp;AK406),NA())</f>
        <v>25.353524229074896</v>
      </c>
      <c r="AM406" s="46">
        <f t="shared" ca="1" si="91"/>
        <v>4000</v>
      </c>
      <c r="AN406" s="46" t="b">
        <f t="shared" si="92"/>
        <v>0</v>
      </c>
      <c r="AO406" s="50" t="b">
        <f t="shared" si="93"/>
        <v>0</v>
      </c>
    </row>
    <row r="407" spans="21:41" x14ac:dyDescent="0.2">
      <c r="U407" s="46">
        <f t="shared" si="84"/>
        <v>4002</v>
      </c>
      <c r="V407" s="46">
        <f t="shared" si="85"/>
        <v>4011</v>
      </c>
      <c r="W407" s="33" t="e">
        <f>IFERROR(AVERAGEIFS(data_brute!M:M,data_brute!J:J,"&lt;="&amp;V407,data_brute!J:J,"&gt;="&amp;U407),NA())</f>
        <v>#N/A</v>
      </c>
      <c r="X407" s="46" t="e">
        <f t="shared" si="86"/>
        <v>#N/A</v>
      </c>
      <c r="Y407" s="2" t="b">
        <f t="shared" si="87"/>
        <v>0</v>
      </c>
      <c r="Z407" s="2" t="b">
        <f t="shared" si="88"/>
        <v>0</v>
      </c>
      <c r="AE407" s="46">
        <f t="shared" si="81"/>
        <v>4002</v>
      </c>
      <c r="AF407" s="46">
        <f t="shared" si="82"/>
        <v>4011</v>
      </c>
      <c r="AG407" s="33" t="e">
        <f>IFERROR(AVERAGEIFS(data_brute!M:M,data_brute!J:J,"&gt;="&amp;AE407,data_brute!J:J,"&lt;="&amp;AF407),NA())</f>
        <v>#N/A</v>
      </c>
      <c r="AH407" s="46" t="e">
        <f t="shared" si="83"/>
        <v>#N/A</v>
      </c>
      <c r="AJ407" s="46">
        <f t="shared" si="89"/>
        <v>4002</v>
      </c>
      <c r="AK407" s="46">
        <f t="shared" si="90"/>
        <v>4011</v>
      </c>
      <c r="AL407" s="33">
        <f ca="1">IFERROR(AVERAGEIFS(data_brute!M:M,data_brute!J:J,"&lt;="&amp;AK407),NA())</f>
        <v>25.353524229074896</v>
      </c>
      <c r="AM407" s="46">
        <f t="shared" ca="1" si="91"/>
        <v>4010</v>
      </c>
      <c r="AN407" s="46" t="b">
        <f t="shared" si="92"/>
        <v>0</v>
      </c>
      <c r="AO407" s="50" t="b">
        <f t="shared" si="93"/>
        <v>0</v>
      </c>
    </row>
    <row r="408" spans="21:41" x14ac:dyDescent="0.2">
      <c r="U408" s="46">
        <f t="shared" si="84"/>
        <v>4012</v>
      </c>
      <c r="V408" s="46">
        <f t="shared" si="85"/>
        <v>4021</v>
      </c>
      <c r="W408" s="33" t="e">
        <f>IFERROR(AVERAGEIFS(data_brute!M:M,data_brute!J:J,"&lt;="&amp;V408,data_brute!J:J,"&gt;="&amp;U408),NA())</f>
        <v>#N/A</v>
      </c>
      <c r="X408" s="46" t="e">
        <f t="shared" si="86"/>
        <v>#N/A</v>
      </c>
      <c r="Y408" s="2" t="b">
        <f t="shared" si="87"/>
        <v>0</v>
      </c>
      <c r="Z408" s="2" t="b">
        <f t="shared" si="88"/>
        <v>0</v>
      </c>
      <c r="AE408" s="46">
        <f t="shared" ref="AE408:AE471" si="94">AF407+1</f>
        <v>4012</v>
      </c>
      <c r="AF408" s="46">
        <f t="shared" ref="AF408:AF471" si="95">AE408+$AG$2-1</f>
        <v>4021</v>
      </c>
      <c r="AG408" s="33" t="e">
        <f>IFERROR(AVERAGEIFS(data_brute!M:M,data_brute!J:J,"&gt;="&amp;AE408,data_brute!J:J,"&lt;="&amp;AF408),NA())</f>
        <v>#N/A</v>
      </c>
      <c r="AH408" s="46" t="e">
        <f t="shared" ref="AH408:AH471" si="96">IF(AG408&lt;&gt;"",$AG$2*(ROW()-ROW($AH$6)),NA())</f>
        <v>#N/A</v>
      </c>
      <c r="AJ408" s="46">
        <f t="shared" si="89"/>
        <v>4012</v>
      </c>
      <c r="AK408" s="46">
        <f t="shared" si="90"/>
        <v>4021</v>
      </c>
      <c r="AL408" s="33">
        <f ca="1">IFERROR(AVERAGEIFS(data_brute!M:M,data_brute!J:J,"&lt;="&amp;AK408),NA())</f>
        <v>25.353524229074896</v>
      </c>
      <c r="AM408" s="46">
        <f t="shared" ca="1" si="91"/>
        <v>4020</v>
      </c>
      <c r="AN408" s="46" t="b">
        <f t="shared" si="92"/>
        <v>0</v>
      </c>
      <c r="AO408" s="50" t="b">
        <f t="shared" si="93"/>
        <v>0</v>
      </c>
    </row>
    <row r="409" spans="21:41" x14ac:dyDescent="0.2">
      <c r="U409" s="46">
        <f t="shared" si="84"/>
        <v>4022</v>
      </c>
      <c r="V409" s="46">
        <f t="shared" si="85"/>
        <v>4031</v>
      </c>
      <c r="W409" s="33" t="e">
        <f>IFERROR(AVERAGEIFS(data_brute!M:M,data_brute!J:J,"&lt;="&amp;V409,data_brute!J:J,"&gt;="&amp;U409),NA())</f>
        <v>#N/A</v>
      </c>
      <c r="X409" s="46" t="e">
        <f t="shared" si="86"/>
        <v>#N/A</v>
      </c>
      <c r="Y409" s="2" t="b">
        <f t="shared" si="87"/>
        <v>0</v>
      </c>
      <c r="Z409" s="2" t="b">
        <f t="shared" si="88"/>
        <v>0</v>
      </c>
      <c r="AE409" s="46">
        <f t="shared" si="94"/>
        <v>4022</v>
      </c>
      <c r="AF409" s="46">
        <f t="shared" si="95"/>
        <v>4031</v>
      </c>
      <c r="AG409" s="33" t="e">
        <f>IFERROR(AVERAGEIFS(data_brute!M:M,data_brute!J:J,"&gt;="&amp;AE409,data_brute!J:J,"&lt;="&amp;AF409),NA())</f>
        <v>#N/A</v>
      </c>
      <c r="AH409" s="46" t="e">
        <f t="shared" si="96"/>
        <v>#N/A</v>
      </c>
      <c r="AJ409" s="46">
        <f t="shared" si="89"/>
        <v>4022</v>
      </c>
      <c r="AK409" s="46">
        <f t="shared" si="90"/>
        <v>4031</v>
      </c>
      <c r="AL409" s="33">
        <f ca="1">IFERROR(AVERAGEIFS(data_brute!M:M,data_brute!J:J,"&lt;="&amp;AK409),NA())</f>
        <v>25.353524229074896</v>
      </c>
      <c r="AM409" s="46">
        <f t="shared" ca="1" si="91"/>
        <v>4030</v>
      </c>
      <c r="AN409" s="46" t="b">
        <f t="shared" si="92"/>
        <v>0</v>
      </c>
      <c r="AO409" s="50" t="b">
        <f t="shared" si="93"/>
        <v>0</v>
      </c>
    </row>
    <row r="410" spans="21:41" x14ac:dyDescent="0.2">
      <c r="U410" s="46">
        <f t="shared" si="84"/>
        <v>4032</v>
      </c>
      <c r="V410" s="46">
        <f t="shared" si="85"/>
        <v>4041</v>
      </c>
      <c r="W410" s="33" t="e">
        <f>IFERROR(AVERAGEIFS(data_brute!M:M,data_brute!J:J,"&lt;="&amp;V410,data_brute!J:J,"&gt;="&amp;U410),NA())</f>
        <v>#N/A</v>
      </c>
      <c r="X410" s="46" t="e">
        <f t="shared" si="86"/>
        <v>#N/A</v>
      </c>
      <c r="Y410" s="2" t="b">
        <f t="shared" si="87"/>
        <v>0</v>
      </c>
      <c r="Z410" s="2" t="b">
        <f t="shared" si="88"/>
        <v>0</v>
      </c>
      <c r="AE410" s="46">
        <f t="shared" si="94"/>
        <v>4032</v>
      </c>
      <c r="AF410" s="46">
        <f t="shared" si="95"/>
        <v>4041</v>
      </c>
      <c r="AG410" s="33" t="e">
        <f>IFERROR(AVERAGEIFS(data_brute!M:M,data_brute!J:J,"&gt;="&amp;AE410,data_brute!J:J,"&lt;="&amp;AF410),NA())</f>
        <v>#N/A</v>
      </c>
      <c r="AH410" s="46" t="e">
        <f t="shared" si="96"/>
        <v>#N/A</v>
      </c>
      <c r="AJ410" s="46">
        <f t="shared" si="89"/>
        <v>4032</v>
      </c>
      <c r="AK410" s="46">
        <f t="shared" si="90"/>
        <v>4041</v>
      </c>
      <c r="AL410" s="33">
        <f ca="1">IFERROR(AVERAGEIFS(data_brute!M:M,data_brute!J:J,"&lt;="&amp;AK410),NA())</f>
        <v>25.353524229074896</v>
      </c>
      <c r="AM410" s="46">
        <f t="shared" ca="1" si="91"/>
        <v>4040</v>
      </c>
      <c r="AN410" s="46" t="b">
        <f t="shared" si="92"/>
        <v>0</v>
      </c>
      <c r="AO410" s="50" t="b">
        <f t="shared" si="93"/>
        <v>0</v>
      </c>
    </row>
    <row r="411" spans="21:41" x14ac:dyDescent="0.2">
      <c r="U411" s="46">
        <f t="shared" si="84"/>
        <v>4042</v>
      </c>
      <c r="V411" s="46">
        <f t="shared" si="85"/>
        <v>4051</v>
      </c>
      <c r="W411" s="33" t="e">
        <f>IFERROR(AVERAGEIFS(data_brute!M:M,data_brute!J:J,"&lt;="&amp;V411,data_brute!J:J,"&gt;="&amp;U411),NA())</f>
        <v>#N/A</v>
      </c>
      <c r="X411" s="46" t="e">
        <f t="shared" si="86"/>
        <v>#N/A</v>
      </c>
      <c r="Y411" s="2" t="b">
        <f t="shared" si="87"/>
        <v>0</v>
      </c>
      <c r="Z411" s="2" t="b">
        <f t="shared" si="88"/>
        <v>0</v>
      </c>
      <c r="AE411" s="46">
        <f t="shared" si="94"/>
        <v>4042</v>
      </c>
      <c r="AF411" s="46">
        <f t="shared" si="95"/>
        <v>4051</v>
      </c>
      <c r="AG411" s="33" t="e">
        <f>IFERROR(AVERAGEIFS(data_brute!M:M,data_brute!J:J,"&gt;="&amp;AE411,data_brute!J:J,"&lt;="&amp;AF411),NA())</f>
        <v>#N/A</v>
      </c>
      <c r="AH411" s="46" t="e">
        <f t="shared" si="96"/>
        <v>#N/A</v>
      </c>
      <c r="AJ411" s="46">
        <f t="shared" si="89"/>
        <v>4042</v>
      </c>
      <c r="AK411" s="46">
        <f t="shared" si="90"/>
        <v>4051</v>
      </c>
      <c r="AL411" s="33">
        <f ca="1">IFERROR(AVERAGEIFS(data_brute!M:M,data_brute!J:J,"&lt;="&amp;AK411),NA())</f>
        <v>25.353524229074896</v>
      </c>
      <c r="AM411" s="46">
        <f t="shared" ca="1" si="91"/>
        <v>4050</v>
      </c>
      <c r="AN411" s="46" t="b">
        <f t="shared" si="92"/>
        <v>0</v>
      </c>
      <c r="AO411" s="50" t="b">
        <f t="shared" si="93"/>
        <v>0</v>
      </c>
    </row>
    <row r="412" spans="21:41" x14ac:dyDescent="0.2">
      <c r="U412" s="46">
        <f t="shared" si="84"/>
        <v>4052</v>
      </c>
      <c r="V412" s="46">
        <f t="shared" si="85"/>
        <v>4061</v>
      </c>
      <c r="W412" s="33" t="e">
        <f>IFERROR(AVERAGEIFS(data_brute!M:M,data_brute!J:J,"&lt;="&amp;V412,data_brute!J:J,"&gt;="&amp;U412),NA())</f>
        <v>#N/A</v>
      </c>
      <c r="X412" s="46" t="e">
        <f t="shared" si="86"/>
        <v>#N/A</v>
      </c>
      <c r="Y412" s="2" t="b">
        <f t="shared" si="87"/>
        <v>0</v>
      </c>
      <c r="Z412" s="2" t="b">
        <f t="shared" si="88"/>
        <v>0</v>
      </c>
      <c r="AE412" s="46">
        <f t="shared" si="94"/>
        <v>4052</v>
      </c>
      <c r="AF412" s="46">
        <f t="shared" si="95"/>
        <v>4061</v>
      </c>
      <c r="AG412" s="33" t="e">
        <f>IFERROR(AVERAGEIFS(data_brute!M:M,data_brute!J:J,"&gt;="&amp;AE412,data_brute!J:J,"&lt;="&amp;AF412),NA())</f>
        <v>#N/A</v>
      </c>
      <c r="AH412" s="46" t="e">
        <f t="shared" si="96"/>
        <v>#N/A</v>
      </c>
      <c r="AJ412" s="46">
        <f t="shared" si="89"/>
        <v>4052</v>
      </c>
      <c r="AK412" s="46">
        <f t="shared" si="90"/>
        <v>4061</v>
      </c>
      <c r="AL412" s="33">
        <f ca="1">IFERROR(AVERAGEIFS(data_brute!M:M,data_brute!J:J,"&lt;="&amp;AK412),NA())</f>
        <v>25.353524229074896</v>
      </c>
      <c r="AM412" s="46">
        <f t="shared" ca="1" si="91"/>
        <v>4060</v>
      </c>
      <c r="AN412" s="46" t="b">
        <f t="shared" si="92"/>
        <v>0</v>
      </c>
      <c r="AO412" s="50" t="b">
        <f t="shared" si="93"/>
        <v>0</v>
      </c>
    </row>
    <row r="413" spans="21:41" x14ac:dyDescent="0.2">
      <c r="U413" s="46">
        <f t="shared" si="84"/>
        <v>4062</v>
      </c>
      <c r="V413" s="46">
        <f t="shared" si="85"/>
        <v>4071</v>
      </c>
      <c r="W413" s="33" t="e">
        <f>IFERROR(AVERAGEIFS(data_brute!M:M,data_brute!J:J,"&lt;="&amp;V413,data_brute!J:J,"&gt;="&amp;U413),NA())</f>
        <v>#N/A</v>
      </c>
      <c r="X413" s="46" t="e">
        <f t="shared" si="86"/>
        <v>#N/A</v>
      </c>
      <c r="Y413" s="2" t="b">
        <f t="shared" si="87"/>
        <v>0</v>
      </c>
      <c r="Z413" s="2" t="b">
        <f t="shared" si="88"/>
        <v>0</v>
      </c>
      <c r="AE413" s="46">
        <f t="shared" si="94"/>
        <v>4062</v>
      </c>
      <c r="AF413" s="46">
        <f t="shared" si="95"/>
        <v>4071</v>
      </c>
      <c r="AG413" s="33" t="e">
        <f>IFERROR(AVERAGEIFS(data_brute!M:M,data_brute!J:J,"&gt;="&amp;AE413,data_brute!J:J,"&lt;="&amp;AF413),NA())</f>
        <v>#N/A</v>
      </c>
      <c r="AH413" s="46" t="e">
        <f t="shared" si="96"/>
        <v>#N/A</v>
      </c>
      <c r="AJ413" s="46">
        <f t="shared" si="89"/>
        <v>4062</v>
      </c>
      <c r="AK413" s="46">
        <f t="shared" si="90"/>
        <v>4071</v>
      </c>
      <c r="AL413" s="33">
        <f ca="1">IFERROR(AVERAGEIFS(data_brute!M:M,data_brute!J:J,"&lt;="&amp;AK413),NA())</f>
        <v>25.353524229074896</v>
      </c>
      <c r="AM413" s="46">
        <f t="shared" ca="1" si="91"/>
        <v>4070</v>
      </c>
      <c r="AN413" s="46" t="b">
        <f t="shared" si="92"/>
        <v>0</v>
      </c>
      <c r="AO413" s="50" t="b">
        <f t="shared" si="93"/>
        <v>0</v>
      </c>
    </row>
    <row r="414" spans="21:41" x14ac:dyDescent="0.2">
      <c r="U414" s="46">
        <f t="shared" si="84"/>
        <v>4072</v>
      </c>
      <c r="V414" s="46">
        <f t="shared" si="85"/>
        <v>4081</v>
      </c>
      <c r="W414" s="33" t="e">
        <f>IFERROR(AVERAGEIFS(data_brute!M:M,data_brute!J:J,"&lt;="&amp;V414,data_brute!J:J,"&gt;="&amp;U414),NA())</f>
        <v>#N/A</v>
      </c>
      <c r="X414" s="46" t="e">
        <f t="shared" si="86"/>
        <v>#N/A</v>
      </c>
      <c r="Y414" s="2" t="b">
        <f t="shared" si="87"/>
        <v>0</v>
      </c>
      <c r="Z414" s="2" t="b">
        <f t="shared" si="88"/>
        <v>0</v>
      </c>
      <c r="AE414" s="46">
        <f t="shared" si="94"/>
        <v>4072</v>
      </c>
      <c r="AF414" s="46">
        <f t="shared" si="95"/>
        <v>4081</v>
      </c>
      <c r="AG414" s="33" t="e">
        <f>IFERROR(AVERAGEIFS(data_brute!M:M,data_brute!J:J,"&gt;="&amp;AE414,data_brute!J:J,"&lt;="&amp;AF414),NA())</f>
        <v>#N/A</v>
      </c>
      <c r="AH414" s="46" t="e">
        <f t="shared" si="96"/>
        <v>#N/A</v>
      </c>
      <c r="AJ414" s="46">
        <f t="shared" si="89"/>
        <v>4072</v>
      </c>
      <c r="AK414" s="46">
        <f t="shared" si="90"/>
        <v>4081</v>
      </c>
      <c r="AL414" s="33">
        <f ca="1">IFERROR(AVERAGEIFS(data_brute!M:M,data_brute!J:J,"&lt;="&amp;AK414),NA())</f>
        <v>25.353524229074896</v>
      </c>
      <c r="AM414" s="46">
        <f t="shared" ca="1" si="91"/>
        <v>4080</v>
      </c>
      <c r="AN414" s="46" t="b">
        <f t="shared" si="92"/>
        <v>0</v>
      </c>
      <c r="AO414" s="50" t="b">
        <f t="shared" si="93"/>
        <v>0</v>
      </c>
    </row>
    <row r="415" spans="21:41" x14ac:dyDescent="0.2">
      <c r="U415" s="46">
        <f t="shared" si="84"/>
        <v>4082</v>
      </c>
      <c r="V415" s="46">
        <f t="shared" si="85"/>
        <v>4091</v>
      </c>
      <c r="W415" s="33" t="e">
        <f>IFERROR(AVERAGEIFS(data_brute!M:M,data_brute!J:J,"&lt;="&amp;V415,data_brute!J:J,"&gt;="&amp;U415),NA())</f>
        <v>#N/A</v>
      </c>
      <c r="X415" s="46" t="e">
        <f t="shared" si="86"/>
        <v>#N/A</v>
      </c>
      <c r="Y415" s="2" t="b">
        <f t="shared" si="87"/>
        <v>0</v>
      </c>
      <c r="Z415" s="2" t="b">
        <f t="shared" si="88"/>
        <v>0</v>
      </c>
      <c r="AE415" s="46">
        <f t="shared" si="94"/>
        <v>4082</v>
      </c>
      <c r="AF415" s="46">
        <f t="shared" si="95"/>
        <v>4091</v>
      </c>
      <c r="AG415" s="33" t="e">
        <f>IFERROR(AVERAGEIFS(data_brute!M:M,data_brute!J:J,"&gt;="&amp;AE415,data_brute!J:J,"&lt;="&amp;AF415),NA())</f>
        <v>#N/A</v>
      </c>
      <c r="AH415" s="46" t="e">
        <f t="shared" si="96"/>
        <v>#N/A</v>
      </c>
      <c r="AJ415" s="46">
        <f t="shared" si="89"/>
        <v>4082</v>
      </c>
      <c r="AK415" s="46">
        <f t="shared" si="90"/>
        <v>4091</v>
      </c>
      <c r="AL415" s="33">
        <f ca="1">IFERROR(AVERAGEIFS(data_brute!M:M,data_brute!J:J,"&lt;="&amp;AK415),NA())</f>
        <v>25.353524229074896</v>
      </c>
      <c r="AM415" s="46">
        <f t="shared" ca="1" si="91"/>
        <v>4090</v>
      </c>
      <c r="AN415" s="46" t="b">
        <f t="shared" si="92"/>
        <v>0</v>
      </c>
      <c r="AO415" s="50" t="b">
        <f t="shared" si="93"/>
        <v>0</v>
      </c>
    </row>
    <row r="416" spans="21:41" x14ac:dyDescent="0.2">
      <c r="U416" s="46">
        <f t="shared" si="84"/>
        <v>4092</v>
      </c>
      <c r="V416" s="46">
        <f t="shared" si="85"/>
        <v>4101</v>
      </c>
      <c r="W416" s="33" t="e">
        <f>IFERROR(AVERAGEIFS(data_brute!M:M,data_brute!J:J,"&lt;="&amp;V416,data_brute!J:J,"&gt;="&amp;U416),NA())</f>
        <v>#N/A</v>
      </c>
      <c r="X416" s="46" t="e">
        <f t="shared" si="86"/>
        <v>#N/A</v>
      </c>
      <c r="Y416" s="2" t="b">
        <f t="shared" si="87"/>
        <v>0</v>
      </c>
      <c r="Z416" s="2" t="b">
        <f t="shared" si="88"/>
        <v>0</v>
      </c>
      <c r="AE416" s="46">
        <f t="shared" si="94"/>
        <v>4092</v>
      </c>
      <c r="AF416" s="46">
        <f t="shared" si="95"/>
        <v>4101</v>
      </c>
      <c r="AG416" s="33" t="e">
        <f>IFERROR(AVERAGEIFS(data_brute!M:M,data_brute!J:J,"&gt;="&amp;AE416,data_brute!J:J,"&lt;="&amp;AF416),NA())</f>
        <v>#N/A</v>
      </c>
      <c r="AH416" s="46" t="e">
        <f t="shared" si="96"/>
        <v>#N/A</v>
      </c>
      <c r="AJ416" s="46">
        <f t="shared" si="89"/>
        <v>4092</v>
      </c>
      <c r="AK416" s="46">
        <f t="shared" si="90"/>
        <v>4101</v>
      </c>
      <c r="AL416" s="33">
        <f ca="1">IFERROR(AVERAGEIFS(data_brute!M:M,data_brute!J:J,"&lt;="&amp;AK416),NA())</f>
        <v>25.353524229074896</v>
      </c>
      <c r="AM416" s="46">
        <f t="shared" ca="1" si="91"/>
        <v>4100</v>
      </c>
      <c r="AN416" s="46" t="b">
        <f t="shared" si="92"/>
        <v>0</v>
      </c>
      <c r="AO416" s="50" t="b">
        <f t="shared" si="93"/>
        <v>0</v>
      </c>
    </row>
    <row r="417" spans="21:41" x14ac:dyDescent="0.2">
      <c r="U417" s="46">
        <f t="shared" si="84"/>
        <v>4102</v>
      </c>
      <c r="V417" s="46">
        <f t="shared" si="85"/>
        <v>4111</v>
      </c>
      <c r="W417" s="33" t="e">
        <f>IFERROR(AVERAGEIFS(data_brute!M:M,data_brute!J:J,"&lt;="&amp;V417,data_brute!J:J,"&gt;="&amp;U417),NA())</f>
        <v>#N/A</v>
      </c>
      <c r="X417" s="46" t="e">
        <f t="shared" si="86"/>
        <v>#N/A</v>
      </c>
      <c r="Y417" s="2" t="b">
        <f t="shared" si="87"/>
        <v>0</v>
      </c>
      <c r="Z417" s="2" t="b">
        <f t="shared" si="88"/>
        <v>0</v>
      </c>
      <c r="AE417" s="46">
        <f t="shared" si="94"/>
        <v>4102</v>
      </c>
      <c r="AF417" s="46">
        <f t="shared" si="95"/>
        <v>4111</v>
      </c>
      <c r="AG417" s="33" t="e">
        <f>IFERROR(AVERAGEIFS(data_brute!M:M,data_brute!J:J,"&gt;="&amp;AE417,data_brute!J:J,"&lt;="&amp;AF417),NA())</f>
        <v>#N/A</v>
      </c>
      <c r="AH417" s="46" t="e">
        <f t="shared" si="96"/>
        <v>#N/A</v>
      </c>
      <c r="AJ417" s="46">
        <f t="shared" si="89"/>
        <v>4102</v>
      </c>
      <c r="AK417" s="46">
        <f t="shared" si="90"/>
        <v>4111</v>
      </c>
      <c r="AL417" s="33">
        <f ca="1">IFERROR(AVERAGEIFS(data_brute!M:M,data_brute!J:J,"&lt;="&amp;AK417),NA())</f>
        <v>25.353524229074896</v>
      </c>
      <c r="AM417" s="46">
        <f t="shared" ca="1" si="91"/>
        <v>4110</v>
      </c>
      <c r="AN417" s="46" t="b">
        <f t="shared" si="92"/>
        <v>0</v>
      </c>
      <c r="AO417" s="50" t="b">
        <f t="shared" si="93"/>
        <v>0</v>
      </c>
    </row>
    <row r="418" spans="21:41" x14ac:dyDescent="0.2">
      <c r="U418" s="46">
        <f t="shared" si="84"/>
        <v>4112</v>
      </c>
      <c r="V418" s="46">
        <f t="shared" si="85"/>
        <v>4121</v>
      </c>
      <c r="W418" s="33" t="e">
        <f>IFERROR(AVERAGEIFS(data_brute!M:M,data_brute!J:J,"&lt;="&amp;V418,data_brute!J:J,"&gt;="&amp;U418),NA())</f>
        <v>#N/A</v>
      </c>
      <c r="X418" s="46" t="e">
        <f t="shared" si="86"/>
        <v>#N/A</v>
      </c>
      <c r="Y418" s="2" t="b">
        <f t="shared" si="87"/>
        <v>0</v>
      </c>
      <c r="Z418" s="2" t="b">
        <f t="shared" si="88"/>
        <v>0</v>
      </c>
      <c r="AE418" s="46">
        <f t="shared" si="94"/>
        <v>4112</v>
      </c>
      <c r="AF418" s="46">
        <f t="shared" si="95"/>
        <v>4121</v>
      </c>
      <c r="AG418" s="33" t="e">
        <f>IFERROR(AVERAGEIFS(data_brute!M:M,data_brute!J:J,"&gt;="&amp;AE418,data_brute!J:J,"&lt;="&amp;AF418),NA())</f>
        <v>#N/A</v>
      </c>
      <c r="AH418" s="46" t="e">
        <f t="shared" si="96"/>
        <v>#N/A</v>
      </c>
      <c r="AJ418" s="46">
        <f t="shared" si="89"/>
        <v>4112</v>
      </c>
      <c r="AK418" s="46">
        <f t="shared" si="90"/>
        <v>4121</v>
      </c>
      <c r="AL418" s="33">
        <f ca="1">IFERROR(AVERAGEIFS(data_brute!M:M,data_brute!J:J,"&lt;="&amp;AK418),NA())</f>
        <v>25.353524229074896</v>
      </c>
      <c r="AM418" s="46">
        <f t="shared" ca="1" si="91"/>
        <v>4120</v>
      </c>
      <c r="AN418" s="46" t="b">
        <f t="shared" si="92"/>
        <v>0</v>
      </c>
      <c r="AO418" s="50" t="b">
        <f t="shared" si="93"/>
        <v>0</v>
      </c>
    </row>
    <row r="419" spans="21:41" x14ac:dyDescent="0.2">
      <c r="U419" s="46">
        <f t="shared" ref="U419:U482" si="97">V418+1</f>
        <v>4122</v>
      </c>
      <c r="V419" s="46">
        <f t="shared" ref="V419:V482" si="98">U419+$AG$2-1</f>
        <v>4131</v>
      </c>
      <c r="W419" s="33" t="e">
        <f>IFERROR(AVERAGEIFS(data_brute!M:M,data_brute!J:J,"&lt;="&amp;V419,data_brute!J:J,"&gt;="&amp;U419),NA())</f>
        <v>#N/A</v>
      </c>
      <c r="X419" s="46" t="e">
        <f t="shared" ref="X419:X482" si="99">IF(W419&lt;&gt;"",$AG$2*(ROW()-ROW($AH$6)),NA())</f>
        <v>#N/A</v>
      </c>
      <c r="Y419" s="2" t="b">
        <f t="shared" ref="Y419:Y482" si="100">IF(AND($F$5&gt;=U419,$F$5&lt;=V419,V419=$F$5),TRUE,FALSE)</f>
        <v>0</v>
      </c>
      <c r="Z419" s="2" t="b">
        <f t="shared" ref="Z419:Z482" si="101">IF(AND($F$5&gt;=U419,$F$5&lt;=V419),TRUE,FALSE)</f>
        <v>0</v>
      </c>
      <c r="AE419" s="46">
        <f t="shared" si="94"/>
        <v>4122</v>
      </c>
      <c r="AF419" s="46">
        <f t="shared" si="95"/>
        <v>4131</v>
      </c>
      <c r="AG419" s="33" t="e">
        <f>IFERROR(AVERAGEIFS(data_brute!M:M,data_brute!J:J,"&gt;="&amp;AE419,data_brute!J:J,"&lt;="&amp;AF419),NA())</f>
        <v>#N/A</v>
      </c>
      <c r="AH419" s="46" t="e">
        <f t="shared" si="96"/>
        <v>#N/A</v>
      </c>
      <c r="AJ419" s="46">
        <f t="shared" si="89"/>
        <v>4122</v>
      </c>
      <c r="AK419" s="46">
        <f t="shared" si="90"/>
        <v>4131</v>
      </c>
      <c r="AL419" s="33">
        <f ca="1">IFERROR(AVERAGEIFS(data_brute!M:M,data_brute!J:J,"&lt;="&amp;AK419),NA())</f>
        <v>25.353524229074896</v>
      </c>
      <c r="AM419" s="46">
        <f t="shared" ca="1" si="91"/>
        <v>4130</v>
      </c>
      <c r="AN419" s="46" t="b">
        <f t="shared" si="92"/>
        <v>0</v>
      </c>
      <c r="AO419" s="50" t="b">
        <f t="shared" si="93"/>
        <v>0</v>
      </c>
    </row>
    <row r="420" spans="21:41" x14ac:dyDescent="0.2">
      <c r="U420" s="46">
        <f t="shared" si="97"/>
        <v>4132</v>
      </c>
      <c r="V420" s="46">
        <f t="shared" si="98"/>
        <v>4141</v>
      </c>
      <c r="W420" s="33" t="e">
        <f>IFERROR(AVERAGEIFS(data_brute!M:M,data_brute!J:J,"&lt;="&amp;V420,data_brute!J:J,"&gt;="&amp;U420),NA())</f>
        <v>#N/A</v>
      </c>
      <c r="X420" s="46" t="e">
        <f t="shared" si="99"/>
        <v>#N/A</v>
      </c>
      <c r="Y420" s="2" t="b">
        <f t="shared" si="100"/>
        <v>0</v>
      </c>
      <c r="Z420" s="2" t="b">
        <f t="shared" si="101"/>
        <v>0</v>
      </c>
      <c r="AE420" s="46">
        <f t="shared" si="94"/>
        <v>4132</v>
      </c>
      <c r="AF420" s="46">
        <f t="shared" si="95"/>
        <v>4141</v>
      </c>
      <c r="AG420" s="33" t="e">
        <f>IFERROR(AVERAGEIFS(data_brute!M:M,data_brute!J:J,"&gt;="&amp;AE420,data_brute!J:J,"&lt;="&amp;AF420),NA())</f>
        <v>#N/A</v>
      </c>
      <c r="AH420" s="46" t="e">
        <f t="shared" si="96"/>
        <v>#N/A</v>
      </c>
      <c r="AJ420" s="46">
        <f t="shared" ref="AJ420:AJ483" si="102">AK419+1</f>
        <v>4132</v>
      </c>
      <c r="AK420" s="46">
        <f t="shared" ref="AK420:AK483" si="103">AJ420+$AG$2-1</f>
        <v>4141</v>
      </c>
      <c r="AL420" s="33">
        <f ca="1">IFERROR(AVERAGEIFS(data_brute!M:M,data_brute!J:J,"&lt;="&amp;AK420),NA())</f>
        <v>25.353524229074896</v>
      </c>
      <c r="AM420" s="46">
        <f t="shared" ref="AM420:AM483" ca="1" si="104">IF(AL420&lt;&gt;"",$AG$2*(ROW()-ROW($AH$6)),NA())</f>
        <v>4140</v>
      </c>
      <c r="AN420" s="46" t="b">
        <f t="shared" ref="AN420:AN483" si="105">IF(AND($F$5&gt;=AJ420,$F$5&lt;=AK420,AK420=$F$5),TRUE,FALSE)</f>
        <v>0</v>
      </c>
      <c r="AO420" s="50" t="b">
        <f t="shared" ref="AO420:AO483" si="106">IF(AND($F$5&gt;=AJ420,$F$5&lt;=AK420),TRUE,FALSE)</f>
        <v>0</v>
      </c>
    </row>
    <row r="421" spans="21:41" x14ac:dyDescent="0.2">
      <c r="U421" s="46">
        <f t="shared" si="97"/>
        <v>4142</v>
      </c>
      <c r="V421" s="46">
        <f t="shared" si="98"/>
        <v>4151</v>
      </c>
      <c r="W421" s="33" t="e">
        <f>IFERROR(AVERAGEIFS(data_brute!M:M,data_brute!J:J,"&lt;="&amp;V421,data_brute!J:J,"&gt;="&amp;U421),NA())</f>
        <v>#N/A</v>
      </c>
      <c r="X421" s="46" t="e">
        <f t="shared" si="99"/>
        <v>#N/A</v>
      </c>
      <c r="Y421" s="2" t="b">
        <f t="shared" si="100"/>
        <v>0</v>
      </c>
      <c r="Z421" s="2" t="b">
        <f t="shared" si="101"/>
        <v>0</v>
      </c>
      <c r="AE421" s="46">
        <f t="shared" si="94"/>
        <v>4142</v>
      </c>
      <c r="AF421" s="46">
        <f t="shared" si="95"/>
        <v>4151</v>
      </c>
      <c r="AG421" s="33" t="e">
        <f>IFERROR(AVERAGEIFS(data_brute!M:M,data_brute!J:J,"&gt;="&amp;AE421,data_brute!J:J,"&lt;="&amp;AF421),NA())</f>
        <v>#N/A</v>
      </c>
      <c r="AH421" s="46" t="e">
        <f t="shared" si="96"/>
        <v>#N/A</v>
      </c>
      <c r="AJ421" s="46">
        <f t="shared" si="102"/>
        <v>4142</v>
      </c>
      <c r="AK421" s="46">
        <f t="shared" si="103"/>
        <v>4151</v>
      </c>
      <c r="AL421" s="33">
        <f ca="1">IFERROR(AVERAGEIFS(data_brute!M:M,data_brute!J:J,"&lt;="&amp;AK421),NA())</f>
        <v>25.353524229074896</v>
      </c>
      <c r="AM421" s="46">
        <f t="shared" ca="1" si="104"/>
        <v>4150</v>
      </c>
      <c r="AN421" s="46" t="b">
        <f t="shared" si="105"/>
        <v>0</v>
      </c>
      <c r="AO421" s="50" t="b">
        <f t="shared" si="106"/>
        <v>0</v>
      </c>
    </row>
    <row r="422" spans="21:41" x14ac:dyDescent="0.2">
      <c r="U422" s="46">
        <f t="shared" si="97"/>
        <v>4152</v>
      </c>
      <c r="V422" s="46">
        <f t="shared" si="98"/>
        <v>4161</v>
      </c>
      <c r="W422" s="33" t="e">
        <f>IFERROR(AVERAGEIFS(data_brute!M:M,data_brute!J:J,"&lt;="&amp;V422,data_brute!J:J,"&gt;="&amp;U422),NA())</f>
        <v>#N/A</v>
      </c>
      <c r="X422" s="46" t="e">
        <f t="shared" si="99"/>
        <v>#N/A</v>
      </c>
      <c r="Y422" s="2" t="b">
        <f t="shared" si="100"/>
        <v>0</v>
      </c>
      <c r="Z422" s="2" t="b">
        <f t="shared" si="101"/>
        <v>0</v>
      </c>
      <c r="AE422" s="46">
        <f t="shared" si="94"/>
        <v>4152</v>
      </c>
      <c r="AF422" s="46">
        <f t="shared" si="95"/>
        <v>4161</v>
      </c>
      <c r="AG422" s="33" t="e">
        <f>IFERROR(AVERAGEIFS(data_brute!M:M,data_brute!J:J,"&gt;="&amp;AE422,data_brute!J:J,"&lt;="&amp;AF422),NA())</f>
        <v>#N/A</v>
      </c>
      <c r="AH422" s="46" t="e">
        <f t="shared" si="96"/>
        <v>#N/A</v>
      </c>
      <c r="AJ422" s="46">
        <f t="shared" si="102"/>
        <v>4152</v>
      </c>
      <c r="AK422" s="46">
        <f t="shared" si="103"/>
        <v>4161</v>
      </c>
      <c r="AL422" s="33">
        <f ca="1">IFERROR(AVERAGEIFS(data_brute!M:M,data_brute!J:J,"&lt;="&amp;AK422),NA())</f>
        <v>25.353524229074896</v>
      </c>
      <c r="AM422" s="46">
        <f t="shared" ca="1" si="104"/>
        <v>4160</v>
      </c>
      <c r="AN422" s="46" t="b">
        <f t="shared" si="105"/>
        <v>0</v>
      </c>
      <c r="AO422" s="50" t="b">
        <f t="shared" si="106"/>
        <v>0</v>
      </c>
    </row>
    <row r="423" spans="21:41" x14ac:dyDescent="0.2">
      <c r="U423" s="46">
        <f t="shared" si="97"/>
        <v>4162</v>
      </c>
      <c r="V423" s="46">
        <f t="shared" si="98"/>
        <v>4171</v>
      </c>
      <c r="W423" s="33" t="e">
        <f>IFERROR(AVERAGEIFS(data_brute!M:M,data_brute!J:J,"&lt;="&amp;V423,data_brute!J:J,"&gt;="&amp;U423),NA())</f>
        <v>#N/A</v>
      </c>
      <c r="X423" s="46" t="e">
        <f t="shared" si="99"/>
        <v>#N/A</v>
      </c>
      <c r="Y423" s="2" t="b">
        <f t="shared" si="100"/>
        <v>0</v>
      </c>
      <c r="Z423" s="2" t="b">
        <f t="shared" si="101"/>
        <v>0</v>
      </c>
      <c r="AE423" s="46">
        <f t="shared" si="94"/>
        <v>4162</v>
      </c>
      <c r="AF423" s="46">
        <f t="shared" si="95"/>
        <v>4171</v>
      </c>
      <c r="AG423" s="33" t="e">
        <f>IFERROR(AVERAGEIFS(data_brute!M:M,data_brute!J:J,"&gt;="&amp;AE423,data_brute!J:J,"&lt;="&amp;AF423),NA())</f>
        <v>#N/A</v>
      </c>
      <c r="AH423" s="46" t="e">
        <f t="shared" si="96"/>
        <v>#N/A</v>
      </c>
      <c r="AJ423" s="46">
        <f t="shared" si="102"/>
        <v>4162</v>
      </c>
      <c r="AK423" s="46">
        <f t="shared" si="103"/>
        <v>4171</v>
      </c>
      <c r="AL423" s="33">
        <f ca="1">IFERROR(AVERAGEIFS(data_brute!M:M,data_brute!J:J,"&lt;="&amp;AK423),NA())</f>
        <v>25.353524229074896</v>
      </c>
      <c r="AM423" s="46">
        <f t="shared" ca="1" si="104"/>
        <v>4170</v>
      </c>
      <c r="AN423" s="46" t="b">
        <f t="shared" si="105"/>
        <v>0</v>
      </c>
      <c r="AO423" s="50" t="b">
        <f t="shared" si="106"/>
        <v>0</v>
      </c>
    </row>
    <row r="424" spans="21:41" x14ac:dyDescent="0.2">
      <c r="U424" s="46">
        <f t="shared" si="97"/>
        <v>4172</v>
      </c>
      <c r="V424" s="46">
        <f t="shared" si="98"/>
        <v>4181</v>
      </c>
      <c r="W424" s="33" t="e">
        <f>IFERROR(AVERAGEIFS(data_brute!M:M,data_brute!J:J,"&lt;="&amp;V424,data_brute!J:J,"&gt;="&amp;U424),NA())</f>
        <v>#N/A</v>
      </c>
      <c r="X424" s="46" t="e">
        <f t="shared" si="99"/>
        <v>#N/A</v>
      </c>
      <c r="Y424" s="2" t="b">
        <f t="shared" si="100"/>
        <v>0</v>
      </c>
      <c r="Z424" s="2" t="b">
        <f t="shared" si="101"/>
        <v>0</v>
      </c>
      <c r="AE424" s="46">
        <f t="shared" si="94"/>
        <v>4172</v>
      </c>
      <c r="AF424" s="46">
        <f t="shared" si="95"/>
        <v>4181</v>
      </c>
      <c r="AG424" s="33" t="e">
        <f>IFERROR(AVERAGEIFS(data_brute!M:M,data_brute!J:J,"&gt;="&amp;AE424,data_brute!J:J,"&lt;="&amp;AF424),NA())</f>
        <v>#N/A</v>
      </c>
      <c r="AH424" s="46" t="e">
        <f t="shared" si="96"/>
        <v>#N/A</v>
      </c>
      <c r="AJ424" s="46">
        <f t="shared" si="102"/>
        <v>4172</v>
      </c>
      <c r="AK424" s="46">
        <f t="shared" si="103"/>
        <v>4181</v>
      </c>
      <c r="AL424" s="33">
        <f ca="1">IFERROR(AVERAGEIFS(data_brute!M:M,data_brute!J:J,"&lt;="&amp;AK424),NA())</f>
        <v>25.353524229074896</v>
      </c>
      <c r="AM424" s="46">
        <f t="shared" ca="1" si="104"/>
        <v>4180</v>
      </c>
      <c r="AN424" s="46" t="b">
        <f t="shared" si="105"/>
        <v>0</v>
      </c>
      <c r="AO424" s="50" t="b">
        <f t="shared" si="106"/>
        <v>0</v>
      </c>
    </row>
    <row r="425" spans="21:41" x14ac:dyDescent="0.2">
      <c r="U425" s="46">
        <f t="shared" si="97"/>
        <v>4182</v>
      </c>
      <c r="V425" s="46">
        <f t="shared" si="98"/>
        <v>4191</v>
      </c>
      <c r="W425" s="33" t="e">
        <f>IFERROR(AVERAGEIFS(data_brute!M:M,data_brute!J:J,"&lt;="&amp;V425,data_brute!J:J,"&gt;="&amp;U425),NA())</f>
        <v>#N/A</v>
      </c>
      <c r="X425" s="46" t="e">
        <f t="shared" si="99"/>
        <v>#N/A</v>
      </c>
      <c r="Y425" s="2" t="b">
        <f t="shared" si="100"/>
        <v>0</v>
      </c>
      <c r="Z425" s="2" t="b">
        <f t="shared" si="101"/>
        <v>0</v>
      </c>
      <c r="AE425" s="46">
        <f t="shared" si="94"/>
        <v>4182</v>
      </c>
      <c r="AF425" s="46">
        <f t="shared" si="95"/>
        <v>4191</v>
      </c>
      <c r="AG425" s="33" t="e">
        <f>IFERROR(AVERAGEIFS(data_brute!M:M,data_brute!J:J,"&gt;="&amp;AE425,data_brute!J:J,"&lt;="&amp;AF425),NA())</f>
        <v>#N/A</v>
      </c>
      <c r="AH425" s="46" t="e">
        <f t="shared" si="96"/>
        <v>#N/A</v>
      </c>
      <c r="AJ425" s="46">
        <f t="shared" si="102"/>
        <v>4182</v>
      </c>
      <c r="AK425" s="46">
        <f t="shared" si="103"/>
        <v>4191</v>
      </c>
      <c r="AL425" s="33">
        <f ca="1">IFERROR(AVERAGEIFS(data_brute!M:M,data_brute!J:J,"&lt;="&amp;AK425),NA())</f>
        <v>25.353524229074896</v>
      </c>
      <c r="AM425" s="46">
        <f t="shared" ca="1" si="104"/>
        <v>4190</v>
      </c>
      <c r="AN425" s="46" t="b">
        <f t="shared" si="105"/>
        <v>0</v>
      </c>
      <c r="AO425" s="50" t="b">
        <f t="shared" si="106"/>
        <v>0</v>
      </c>
    </row>
    <row r="426" spans="21:41" x14ac:dyDescent="0.2">
      <c r="U426" s="46">
        <f t="shared" si="97"/>
        <v>4192</v>
      </c>
      <c r="V426" s="46">
        <f t="shared" si="98"/>
        <v>4201</v>
      </c>
      <c r="W426" s="33" t="e">
        <f>IFERROR(AVERAGEIFS(data_brute!M:M,data_brute!J:J,"&lt;="&amp;V426,data_brute!J:J,"&gt;="&amp;U426),NA())</f>
        <v>#N/A</v>
      </c>
      <c r="X426" s="46" t="e">
        <f t="shared" si="99"/>
        <v>#N/A</v>
      </c>
      <c r="Y426" s="2" t="b">
        <f t="shared" si="100"/>
        <v>0</v>
      </c>
      <c r="Z426" s="2" t="b">
        <f t="shared" si="101"/>
        <v>0</v>
      </c>
      <c r="AE426" s="46">
        <f t="shared" si="94"/>
        <v>4192</v>
      </c>
      <c r="AF426" s="46">
        <f t="shared" si="95"/>
        <v>4201</v>
      </c>
      <c r="AG426" s="33" t="e">
        <f>IFERROR(AVERAGEIFS(data_brute!M:M,data_brute!J:J,"&gt;="&amp;AE426,data_brute!J:J,"&lt;="&amp;AF426),NA())</f>
        <v>#N/A</v>
      </c>
      <c r="AH426" s="46" t="e">
        <f t="shared" si="96"/>
        <v>#N/A</v>
      </c>
      <c r="AJ426" s="46">
        <f t="shared" si="102"/>
        <v>4192</v>
      </c>
      <c r="AK426" s="46">
        <f t="shared" si="103"/>
        <v>4201</v>
      </c>
      <c r="AL426" s="33">
        <f ca="1">IFERROR(AVERAGEIFS(data_brute!M:M,data_brute!J:J,"&lt;="&amp;AK426),NA())</f>
        <v>25.353524229074896</v>
      </c>
      <c r="AM426" s="46">
        <f t="shared" ca="1" si="104"/>
        <v>4200</v>
      </c>
      <c r="AN426" s="46" t="b">
        <f t="shared" si="105"/>
        <v>0</v>
      </c>
      <c r="AO426" s="50" t="b">
        <f t="shared" si="106"/>
        <v>0</v>
      </c>
    </row>
    <row r="427" spans="21:41" x14ac:dyDescent="0.2">
      <c r="U427" s="46">
        <f t="shared" si="97"/>
        <v>4202</v>
      </c>
      <c r="V427" s="46">
        <f t="shared" si="98"/>
        <v>4211</v>
      </c>
      <c r="W427" s="33" t="e">
        <f>IFERROR(AVERAGEIFS(data_brute!M:M,data_brute!J:J,"&lt;="&amp;V427,data_brute!J:J,"&gt;="&amp;U427),NA())</f>
        <v>#N/A</v>
      </c>
      <c r="X427" s="46" t="e">
        <f t="shared" si="99"/>
        <v>#N/A</v>
      </c>
      <c r="Y427" s="2" t="b">
        <f t="shared" si="100"/>
        <v>0</v>
      </c>
      <c r="Z427" s="2" t="b">
        <f t="shared" si="101"/>
        <v>0</v>
      </c>
      <c r="AE427" s="46">
        <f t="shared" si="94"/>
        <v>4202</v>
      </c>
      <c r="AF427" s="46">
        <f t="shared" si="95"/>
        <v>4211</v>
      </c>
      <c r="AG427" s="33" t="e">
        <f>IFERROR(AVERAGEIFS(data_brute!M:M,data_brute!J:J,"&gt;="&amp;AE427,data_brute!J:J,"&lt;="&amp;AF427),NA())</f>
        <v>#N/A</v>
      </c>
      <c r="AH427" s="46" t="e">
        <f t="shared" si="96"/>
        <v>#N/A</v>
      </c>
      <c r="AJ427" s="46">
        <f t="shared" si="102"/>
        <v>4202</v>
      </c>
      <c r="AK427" s="46">
        <f t="shared" si="103"/>
        <v>4211</v>
      </c>
      <c r="AL427" s="33">
        <f ca="1">IFERROR(AVERAGEIFS(data_brute!M:M,data_brute!J:J,"&lt;="&amp;AK427),NA())</f>
        <v>25.353524229074896</v>
      </c>
      <c r="AM427" s="46">
        <f t="shared" ca="1" si="104"/>
        <v>4210</v>
      </c>
      <c r="AN427" s="46" t="b">
        <f t="shared" si="105"/>
        <v>0</v>
      </c>
      <c r="AO427" s="50" t="b">
        <f t="shared" si="106"/>
        <v>0</v>
      </c>
    </row>
    <row r="428" spans="21:41" x14ac:dyDescent="0.2">
      <c r="U428" s="46">
        <f t="shared" si="97"/>
        <v>4212</v>
      </c>
      <c r="V428" s="46">
        <f t="shared" si="98"/>
        <v>4221</v>
      </c>
      <c r="W428" s="33" t="e">
        <f>IFERROR(AVERAGEIFS(data_brute!M:M,data_brute!J:J,"&lt;="&amp;V428,data_brute!J:J,"&gt;="&amp;U428),NA())</f>
        <v>#N/A</v>
      </c>
      <c r="X428" s="46" t="e">
        <f t="shared" si="99"/>
        <v>#N/A</v>
      </c>
      <c r="Y428" s="2" t="b">
        <f t="shared" si="100"/>
        <v>0</v>
      </c>
      <c r="Z428" s="2" t="b">
        <f t="shared" si="101"/>
        <v>0</v>
      </c>
      <c r="AE428" s="46">
        <f t="shared" si="94"/>
        <v>4212</v>
      </c>
      <c r="AF428" s="46">
        <f t="shared" si="95"/>
        <v>4221</v>
      </c>
      <c r="AG428" s="33" t="e">
        <f>IFERROR(AVERAGEIFS(data_brute!M:M,data_brute!J:J,"&gt;="&amp;AE428,data_brute!J:J,"&lt;="&amp;AF428),NA())</f>
        <v>#N/A</v>
      </c>
      <c r="AH428" s="46" t="e">
        <f t="shared" si="96"/>
        <v>#N/A</v>
      </c>
      <c r="AJ428" s="46">
        <f t="shared" si="102"/>
        <v>4212</v>
      </c>
      <c r="AK428" s="46">
        <f t="shared" si="103"/>
        <v>4221</v>
      </c>
      <c r="AL428" s="33">
        <f ca="1">IFERROR(AVERAGEIFS(data_brute!M:M,data_brute!J:J,"&lt;="&amp;AK428),NA())</f>
        <v>25.353524229074896</v>
      </c>
      <c r="AM428" s="46">
        <f t="shared" ca="1" si="104"/>
        <v>4220</v>
      </c>
      <c r="AN428" s="46" t="b">
        <f t="shared" si="105"/>
        <v>0</v>
      </c>
      <c r="AO428" s="50" t="b">
        <f t="shared" si="106"/>
        <v>0</v>
      </c>
    </row>
    <row r="429" spans="21:41" x14ac:dyDescent="0.2">
      <c r="U429" s="46">
        <f t="shared" si="97"/>
        <v>4222</v>
      </c>
      <c r="V429" s="46">
        <f t="shared" si="98"/>
        <v>4231</v>
      </c>
      <c r="W429" s="33" t="e">
        <f>IFERROR(AVERAGEIFS(data_brute!M:M,data_brute!J:J,"&lt;="&amp;V429,data_brute!J:J,"&gt;="&amp;U429),NA())</f>
        <v>#N/A</v>
      </c>
      <c r="X429" s="46" t="e">
        <f t="shared" si="99"/>
        <v>#N/A</v>
      </c>
      <c r="Y429" s="2" t="b">
        <f t="shared" si="100"/>
        <v>0</v>
      </c>
      <c r="Z429" s="2" t="b">
        <f t="shared" si="101"/>
        <v>0</v>
      </c>
      <c r="AE429" s="46">
        <f t="shared" si="94"/>
        <v>4222</v>
      </c>
      <c r="AF429" s="46">
        <f t="shared" si="95"/>
        <v>4231</v>
      </c>
      <c r="AG429" s="33" t="e">
        <f>IFERROR(AVERAGEIFS(data_brute!M:M,data_brute!J:J,"&gt;="&amp;AE429,data_brute!J:J,"&lt;="&amp;AF429),NA())</f>
        <v>#N/A</v>
      </c>
      <c r="AH429" s="46" t="e">
        <f t="shared" si="96"/>
        <v>#N/A</v>
      </c>
      <c r="AJ429" s="46">
        <f t="shared" si="102"/>
        <v>4222</v>
      </c>
      <c r="AK429" s="46">
        <f t="shared" si="103"/>
        <v>4231</v>
      </c>
      <c r="AL429" s="33">
        <f ca="1">IFERROR(AVERAGEIFS(data_brute!M:M,data_brute!J:J,"&lt;="&amp;AK429),NA())</f>
        <v>25.353524229074896</v>
      </c>
      <c r="AM429" s="46">
        <f t="shared" ca="1" si="104"/>
        <v>4230</v>
      </c>
      <c r="AN429" s="46" t="b">
        <f t="shared" si="105"/>
        <v>0</v>
      </c>
      <c r="AO429" s="50" t="b">
        <f t="shared" si="106"/>
        <v>0</v>
      </c>
    </row>
    <row r="430" spans="21:41" x14ac:dyDescent="0.2">
      <c r="U430" s="46">
        <f t="shared" si="97"/>
        <v>4232</v>
      </c>
      <c r="V430" s="46">
        <f t="shared" si="98"/>
        <v>4241</v>
      </c>
      <c r="W430" s="33" t="e">
        <f>IFERROR(AVERAGEIFS(data_brute!M:M,data_brute!J:J,"&lt;="&amp;V430,data_brute!J:J,"&gt;="&amp;U430),NA())</f>
        <v>#N/A</v>
      </c>
      <c r="X430" s="46" t="e">
        <f t="shared" si="99"/>
        <v>#N/A</v>
      </c>
      <c r="Y430" s="2" t="b">
        <f t="shared" si="100"/>
        <v>0</v>
      </c>
      <c r="Z430" s="2" t="b">
        <f t="shared" si="101"/>
        <v>0</v>
      </c>
      <c r="AE430" s="46">
        <f t="shared" si="94"/>
        <v>4232</v>
      </c>
      <c r="AF430" s="46">
        <f t="shared" si="95"/>
        <v>4241</v>
      </c>
      <c r="AG430" s="33" t="e">
        <f>IFERROR(AVERAGEIFS(data_brute!M:M,data_brute!J:J,"&gt;="&amp;AE430,data_brute!J:J,"&lt;="&amp;AF430),NA())</f>
        <v>#N/A</v>
      </c>
      <c r="AH430" s="46" t="e">
        <f t="shared" si="96"/>
        <v>#N/A</v>
      </c>
      <c r="AJ430" s="46">
        <f t="shared" si="102"/>
        <v>4232</v>
      </c>
      <c r="AK430" s="46">
        <f t="shared" si="103"/>
        <v>4241</v>
      </c>
      <c r="AL430" s="33">
        <f ca="1">IFERROR(AVERAGEIFS(data_brute!M:M,data_brute!J:J,"&lt;="&amp;AK430),NA())</f>
        <v>25.353524229074896</v>
      </c>
      <c r="AM430" s="46">
        <f t="shared" ca="1" si="104"/>
        <v>4240</v>
      </c>
      <c r="AN430" s="46" t="b">
        <f t="shared" si="105"/>
        <v>0</v>
      </c>
      <c r="AO430" s="50" t="b">
        <f t="shared" si="106"/>
        <v>0</v>
      </c>
    </row>
    <row r="431" spans="21:41" x14ac:dyDescent="0.2">
      <c r="U431" s="46">
        <f t="shared" si="97"/>
        <v>4242</v>
      </c>
      <c r="V431" s="46">
        <f t="shared" si="98"/>
        <v>4251</v>
      </c>
      <c r="W431" s="33" t="e">
        <f>IFERROR(AVERAGEIFS(data_brute!M:M,data_brute!J:J,"&lt;="&amp;V431,data_brute!J:J,"&gt;="&amp;U431),NA())</f>
        <v>#N/A</v>
      </c>
      <c r="X431" s="46" t="e">
        <f t="shared" si="99"/>
        <v>#N/A</v>
      </c>
      <c r="Y431" s="2" t="b">
        <f t="shared" si="100"/>
        <v>0</v>
      </c>
      <c r="Z431" s="2" t="b">
        <f t="shared" si="101"/>
        <v>0</v>
      </c>
      <c r="AE431" s="46">
        <f t="shared" si="94"/>
        <v>4242</v>
      </c>
      <c r="AF431" s="46">
        <f t="shared" si="95"/>
        <v>4251</v>
      </c>
      <c r="AG431" s="33" t="e">
        <f>IFERROR(AVERAGEIFS(data_brute!M:M,data_brute!J:J,"&gt;="&amp;AE431,data_brute!J:J,"&lt;="&amp;AF431),NA())</f>
        <v>#N/A</v>
      </c>
      <c r="AH431" s="46" t="e">
        <f t="shared" si="96"/>
        <v>#N/A</v>
      </c>
      <c r="AJ431" s="46">
        <f t="shared" si="102"/>
        <v>4242</v>
      </c>
      <c r="AK431" s="46">
        <f t="shared" si="103"/>
        <v>4251</v>
      </c>
      <c r="AL431" s="33">
        <f ca="1">IFERROR(AVERAGEIFS(data_brute!M:M,data_brute!J:J,"&lt;="&amp;AK431),NA())</f>
        <v>25.353524229074896</v>
      </c>
      <c r="AM431" s="46">
        <f t="shared" ca="1" si="104"/>
        <v>4250</v>
      </c>
      <c r="AN431" s="46" t="b">
        <f t="shared" si="105"/>
        <v>0</v>
      </c>
      <c r="AO431" s="50" t="b">
        <f t="shared" si="106"/>
        <v>0</v>
      </c>
    </row>
    <row r="432" spans="21:41" x14ac:dyDescent="0.2">
      <c r="U432" s="46">
        <f t="shared" si="97"/>
        <v>4252</v>
      </c>
      <c r="V432" s="46">
        <f t="shared" si="98"/>
        <v>4261</v>
      </c>
      <c r="W432" s="33" t="e">
        <f>IFERROR(AVERAGEIFS(data_brute!M:M,data_brute!J:J,"&lt;="&amp;V432,data_brute!J:J,"&gt;="&amp;U432),NA())</f>
        <v>#N/A</v>
      </c>
      <c r="X432" s="46" t="e">
        <f t="shared" si="99"/>
        <v>#N/A</v>
      </c>
      <c r="Y432" s="2" t="b">
        <f t="shared" si="100"/>
        <v>0</v>
      </c>
      <c r="Z432" s="2" t="b">
        <f t="shared" si="101"/>
        <v>0</v>
      </c>
      <c r="AE432" s="46">
        <f t="shared" si="94"/>
        <v>4252</v>
      </c>
      <c r="AF432" s="46">
        <f t="shared" si="95"/>
        <v>4261</v>
      </c>
      <c r="AG432" s="33" t="e">
        <f>IFERROR(AVERAGEIFS(data_brute!M:M,data_brute!J:J,"&gt;="&amp;AE432,data_brute!J:J,"&lt;="&amp;AF432),NA())</f>
        <v>#N/A</v>
      </c>
      <c r="AH432" s="46" t="e">
        <f t="shared" si="96"/>
        <v>#N/A</v>
      </c>
      <c r="AJ432" s="46">
        <f t="shared" si="102"/>
        <v>4252</v>
      </c>
      <c r="AK432" s="46">
        <f t="shared" si="103"/>
        <v>4261</v>
      </c>
      <c r="AL432" s="33">
        <f ca="1">IFERROR(AVERAGEIFS(data_brute!M:M,data_brute!J:J,"&lt;="&amp;AK432),NA())</f>
        <v>25.353524229074896</v>
      </c>
      <c r="AM432" s="46">
        <f t="shared" ca="1" si="104"/>
        <v>4260</v>
      </c>
      <c r="AN432" s="46" t="b">
        <f t="shared" si="105"/>
        <v>0</v>
      </c>
      <c r="AO432" s="50" t="b">
        <f t="shared" si="106"/>
        <v>0</v>
      </c>
    </row>
    <row r="433" spans="21:41" x14ac:dyDescent="0.2">
      <c r="U433" s="46">
        <f t="shared" si="97"/>
        <v>4262</v>
      </c>
      <c r="V433" s="46">
        <f t="shared" si="98"/>
        <v>4271</v>
      </c>
      <c r="W433" s="33" t="e">
        <f>IFERROR(AVERAGEIFS(data_brute!M:M,data_brute!J:J,"&lt;="&amp;V433,data_brute!J:J,"&gt;="&amp;U433),NA())</f>
        <v>#N/A</v>
      </c>
      <c r="X433" s="46" t="e">
        <f t="shared" si="99"/>
        <v>#N/A</v>
      </c>
      <c r="Y433" s="2" t="b">
        <f t="shared" si="100"/>
        <v>0</v>
      </c>
      <c r="Z433" s="2" t="b">
        <f t="shared" si="101"/>
        <v>0</v>
      </c>
      <c r="AE433" s="46">
        <f t="shared" si="94"/>
        <v>4262</v>
      </c>
      <c r="AF433" s="46">
        <f t="shared" si="95"/>
        <v>4271</v>
      </c>
      <c r="AG433" s="33" t="e">
        <f>IFERROR(AVERAGEIFS(data_brute!M:M,data_brute!J:J,"&gt;="&amp;AE433,data_brute!J:J,"&lt;="&amp;AF433),NA())</f>
        <v>#N/A</v>
      </c>
      <c r="AH433" s="46" t="e">
        <f t="shared" si="96"/>
        <v>#N/A</v>
      </c>
      <c r="AJ433" s="46">
        <f t="shared" si="102"/>
        <v>4262</v>
      </c>
      <c r="AK433" s="46">
        <f t="shared" si="103"/>
        <v>4271</v>
      </c>
      <c r="AL433" s="33">
        <f ca="1">IFERROR(AVERAGEIFS(data_brute!M:M,data_brute!J:J,"&lt;="&amp;AK433),NA())</f>
        <v>25.353524229074896</v>
      </c>
      <c r="AM433" s="46">
        <f t="shared" ca="1" si="104"/>
        <v>4270</v>
      </c>
      <c r="AN433" s="46" t="b">
        <f t="shared" si="105"/>
        <v>0</v>
      </c>
      <c r="AO433" s="50" t="b">
        <f t="shared" si="106"/>
        <v>0</v>
      </c>
    </row>
    <row r="434" spans="21:41" x14ac:dyDescent="0.2">
      <c r="U434" s="46">
        <f t="shared" si="97"/>
        <v>4272</v>
      </c>
      <c r="V434" s="46">
        <f t="shared" si="98"/>
        <v>4281</v>
      </c>
      <c r="W434" s="33" t="e">
        <f>IFERROR(AVERAGEIFS(data_brute!M:M,data_brute!J:J,"&lt;="&amp;V434,data_brute!J:J,"&gt;="&amp;U434),NA())</f>
        <v>#N/A</v>
      </c>
      <c r="X434" s="46" t="e">
        <f t="shared" si="99"/>
        <v>#N/A</v>
      </c>
      <c r="Y434" s="2" t="b">
        <f t="shared" si="100"/>
        <v>0</v>
      </c>
      <c r="Z434" s="2" t="b">
        <f t="shared" si="101"/>
        <v>0</v>
      </c>
      <c r="AE434" s="46">
        <f t="shared" si="94"/>
        <v>4272</v>
      </c>
      <c r="AF434" s="46">
        <f t="shared" si="95"/>
        <v>4281</v>
      </c>
      <c r="AG434" s="33" t="e">
        <f>IFERROR(AVERAGEIFS(data_brute!M:M,data_brute!J:J,"&gt;="&amp;AE434,data_brute!J:J,"&lt;="&amp;AF434),NA())</f>
        <v>#N/A</v>
      </c>
      <c r="AH434" s="46" t="e">
        <f t="shared" si="96"/>
        <v>#N/A</v>
      </c>
      <c r="AJ434" s="46">
        <f t="shared" si="102"/>
        <v>4272</v>
      </c>
      <c r="AK434" s="46">
        <f t="shared" si="103"/>
        <v>4281</v>
      </c>
      <c r="AL434" s="33">
        <f ca="1">IFERROR(AVERAGEIFS(data_brute!M:M,data_brute!J:J,"&lt;="&amp;AK434),NA())</f>
        <v>25.353524229074896</v>
      </c>
      <c r="AM434" s="46">
        <f t="shared" ca="1" si="104"/>
        <v>4280</v>
      </c>
      <c r="AN434" s="46" t="b">
        <f t="shared" si="105"/>
        <v>0</v>
      </c>
      <c r="AO434" s="50" t="b">
        <f t="shared" si="106"/>
        <v>0</v>
      </c>
    </row>
    <row r="435" spans="21:41" x14ac:dyDescent="0.2">
      <c r="U435" s="46">
        <f t="shared" si="97"/>
        <v>4282</v>
      </c>
      <c r="V435" s="46">
        <f t="shared" si="98"/>
        <v>4291</v>
      </c>
      <c r="W435" s="33" t="e">
        <f>IFERROR(AVERAGEIFS(data_brute!M:M,data_brute!J:J,"&lt;="&amp;V435,data_brute!J:J,"&gt;="&amp;U435),NA())</f>
        <v>#N/A</v>
      </c>
      <c r="X435" s="46" t="e">
        <f t="shared" si="99"/>
        <v>#N/A</v>
      </c>
      <c r="Y435" s="2" t="b">
        <f t="shared" si="100"/>
        <v>0</v>
      </c>
      <c r="Z435" s="2" t="b">
        <f t="shared" si="101"/>
        <v>0</v>
      </c>
      <c r="AE435" s="46">
        <f t="shared" si="94"/>
        <v>4282</v>
      </c>
      <c r="AF435" s="46">
        <f t="shared" si="95"/>
        <v>4291</v>
      </c>
      <c r="AG435" s="33" t="e">
        <f>IFERROR(AVERAGEIFS(data_brute!M:M,data_brute!J:J,"&gt;="&amp;AE435,data_brute!J:J,"&lt;="&amp;AF435),NA())</f>
        <v>#N/A</v>
      </c>
      <c r="AH435" s="46" t="e">
        <f t="shared" si="96"/>
        <v>#N/A</v>
      </c>
      <c r="AJ435" s="46">
        <f t="shared" si="102"/>
        <v>4282</v>
      </c>
      <c r="AK435" s="46">
        <f t="shared" si="103"/>
        <v>4291</v>
      </c>
      <c r="AL435" s="33">
        <f ca="1">IFERROR(AVERAGEIFS(data_brute!M:M,data_brute!J:J,"&lt;="&amp;AK435),NA())</f>
        <v>25.353524229074896</v>
      </c>
      <c r="AM435" s="46">
        <f t="shared" ca="1" si="104"/>
        <v>4290</v>
      </c>
      <c r="AN435" s="46" t="b">
        <f t="shared" si="105"/>
        <v>0</v>
      </c>
      <c r="AO435" s="50" t="b">
        <f t="shared" si="106"/>
        <v>0</v>
      </c>
    </row>
    <row r="436" spans="21:41" x14ac:dyDescent="0.2">
      <c r="U436" s="46">
        <f t="shared" si="97"/>
        <v>4292</v>
      </c>
      <c r="V436" s="46">
        <f t="shared" si="98"/>
        <v>4301</v>
      </c>
      <c r="W436" s="33" t="e">
        <f>IFERROR(AVERAGEIFS(data_brute!M:M,data_brute!J:J,"&lt;="&amp;V436,data_brute!J:J,"&gt;="&amp;U436),NA())</f>
        <v>#N/A</v>
      </c>
      <c r="X436" s="46" t="e">
        <f t="shared" si="99"/>
        <v>#N/A</v>
      </c>
      <c r="Y436" s="2" t="b">
        <f t="shared" si="100"/>
        <v>0</v>
      </c>
      <c r="Z436" s="2" t="b">
        <f t="shared" si="101"/>
        <v>0</v>
      </c>
      <c r="AE436" s="46">
        <f t="shared" si="94"/>
        <v>4292</v>
      </c>
      <c r="AF436" s="46">
        <f t="shared" si="95"/>
        <v>4301</v>
      </c>
      <c r="AG436" s="33" t="e">
        <f>IFERROR(AVERAGEIFS(data_brute!M:M,data_brute!J:J,"&gt;="&amp;AE436,data_brute!J:J,"&lt;="&amp;AF436),NA())</f>
        <v>#N/A</v>
      </c>
      <c r="AH436" s="46" t="e">
        <f t="shared" si="96"/>
        <v>#N/A</v>
      </c>
      <c r="AJ436" s="46">
        <f t="shared" si="102"/>
        <v>4292</v>
      </c>
      <c r="AK436" s="46">
        <f t="shared" si="103"/>
        <v>4301</v>
      </c>
      <c r="AL436" s="33">
        <f ca="1">IFERROR(AVERAGEIFS(data_brute!M:M,data_brute!J:J,"&lt;="&amp;AK436),NA())</f>
        <v>25.353524229074896</v>
      </c>
      <c r="AM436" s="46">
        <f t="shared" ca="1" si="104"/>
        <v>4300</v>
      </c>
      <c r="AN436" s="46" t="b">
        <f t="shared" si="105"/>
        <v>0</v>
      </c>
      <c r="AO436" s="50" t="b">
        <f t="shared" si="106"/>
        <v>0</v>
      </c>
    </row>
    <row r="437" spans="21:41" x14ac:dyDescent="0.2">
      <c r="U437" s="46">
        <f t="shared" si="97"/>
        <v>4302</v>
      </c>
      <c r="V437" s="46">
        <f t="shared" si="98"/>
        <v>4311</v>
      </c>
      <c r="W437" s="33" t="e">
        <f>IFERROR(AVERAGEIFS(data_brute!M:M,data_brute!J:J,"&lt;="&amp;V437,data_brute!J:J,"&gt;="&amp;U437),NA())</f>
        <v>#N/A</v>
      </c>
      <c r="X437" s="46" t="e">
        <f t="shared" si="99"/>
        <v>#N/A</v>
      </c>
      <c r="Y437" s="2" t="b">
        <f t="shared" si="100"/>
        <v>0</v>
      </c>
      <c r="Z437" s="2" t="b">
        <f t="shared" si="101"/>
        <v>0</v>
      </c>
      <c r="AE437" s="46">
        <f t="shared" si="94"/>
        <v>4302</v>
      </c>
      <c r="AF437" s="46">
        <f t="shared" si="95"/>
        <v>4311</v>
      </c>
      <c r="AG437" s="33" t="e">
        <f>IFERROR(AVERAGEIFS(data_brute!M:M,data_brute!J:J,"&gt;="&amp;AE437,data_brute!J:J,"&lt;="&amp;AF437),NA())</f>
        <v>#N/A</v>
      </c>
      <c r="AH437" s="46" t="e">
        <f t="shared" si="96"/>
        <v>#N/A</v>
      </c>
      <c r="AJ437" s="46">
        <f t="shared" si="102"/>
        <v>4302</v>
      </c>
      <c r="AK437" s="46">
        <f t="shared" si="103"/>
        <v>4311</v>
      </c>
      <c r="AL437" s="33">
        <f ca="1">IFERROR(AVERAGEIFS(data_brute!M:M,data_brute!J:J,"&lt;="&amp;AK437),NA())</f>
        <v>25.353524229074896</v>
      </c>
      <c r="AM437" s="46">
        <f t="shared" ca="1" si="104"/>
        <v>4310</v>
      </c>
      <c r="AN437" s="46" t="b">
        <f t="shared" si="105"/>
        <v>0</v>
      </c>
      <c r="AO437" s="50" t="b">
        <f t="shared" si="106"/>
        <v>0</v>
      </c>
    </row>
    <row r="438" spans="21:41" x14ac:dyDescent="0.2">
      <c r="U438" s="46">
        <f t="shared" si="97"/>
        <v>4312</v>
      </c>
      <c r="V438" s="46">
        <f t="shared" si="98"/>
        <v>4321</v>
      </c>
      <c r="W438" s="33" t="e">
        <f>IFERROR(AVERAGEIFS(data_brute!M:M,data_brute!J:J,"&lt;="&amp;V438,data_brute!J:J,"&gt;="&amp;U438),NA())</f>
        <v>#N/A</v>
      </c>
      <c r="X438" s="46" t="e">
        <f t="shared" si="99"/>
        <v>#N/A</v>
      </c>
      <c r="Y438" s="2" t="b">
        <f t="shared" si="100"/>
        <v>0</v>
      </c>
      <c r="Z438" s="2" t="b">
        <f t="shared" si="101"/>
        <v>0</v>
      </c>
      <c r="AE438" s="46">
        <f t="shared" si="94"/>
        <v>4312</v>
      </c>
      <c r="AF438" s="46">
        <f t="shared" si="95"/>
        <v>4321</v>
      </c>
      <c r="AG438" s="33" t="e">
        <f>IFERROR(AVERAGEIFS(data_brute!M:M,data_brute!J:J,"&gt;="&amp;AE438,data_brute!J:J,"&lt;="&amp;AF438),NA())</f>
        <v>#N/A</v>
      </c>
      <c r="AH438" s="46" t="e">
        <f t="shared" si="96"/>
        <v>#N/A</v>
      </c>
      <c r="AJ438" s="46">
        <f t="shared" si="102"/>
        <v>4312</v>
      </c>
      <c r="AK438" s="46">
        <f t="shared" si="103"/>
        <v>4321</v>
      </c>
      <c r="AL438" s="33">
        <f ca="1">IFERROR(AVERAGEIFS(data_brute!M:M,data_brute!J:J,"&lt;="&amp;AK438),NA())</f>
        <v>25.353524229074896</v>
      </c>
      <c r="AM438" s="46">
        <f t="shared" ca="1" si="104"/>
        <v>4320</v>
      </c>
      <c r="AN438" s="46" t="b">
        <f t="shared" si="105"/>
        <v>0</v>
      </c>
      <c r="AO438" s="50" t="b">
        <f t="shared" si="106"/>
        <v>0</v>
      </c>
    </row>
    <row r="439" spans="21:41" x14ac:dyDescent="0.2">
      <c r="U439" s="46">
        <f t="shared" si="97"/>
        <v>4322</v>
      </c>
      <c r="V439" s="46">
        <f t="shared" si="98"/>
        <v>4331</v>
      </c>
      <c r="W439" s="33" t="e">
        <f>IFERROR(AVERAGEIFS(data_brute!M:M,data_brute!J:J,"&lt;="&amp;V439,data_brute!J:J,"&gt;="&amp;U439),NA())</f>
        <v>#N/A</v>
      </c>
      <c r="X439" s="46" t="e">
        <f t="shared" si="99"/>
        <v>#N/A</v>
      </c>
      <c r="Y439" s="2" t="b">
        <f t="shared" si="100"/>
        <v>0</v>
      </c>
      <c r="Z439" s="2" t="b">
        <f t="shared" si="101"/>
        <v>0</v>
      </c>
      <c r="AE439" s="46">
        <f t="shared" si="94"/>
        <v>4322</v>
      </c>
      <c r="AF439" s="46">
        <f t="shared" si="95"/>
        <v>4331</v>
      </c>
      <c r="AG439" s="33" t="e">
        <f>IFERROR(AVERAGEIFS(data_brute!M:M,data_brute!J:J,"&gt;="&amp;AE439,data_brute!J:J,"&lt;="&amp;AF439),NA())</f>
        <v>#N/A</v>
      </c>
      <c r="AH439" s="46" t="e">
        <f t="shared" si="96"/>
        <v>#N/A</v>
      </c>
      <c r="AJ439" s="46">
        <f t="shared" si="102"/>
        <v>4322</v>
      </c>
      <c r="AK439" s="46">
        <f t="shared" si="103"/>
        <v>4331</v>
      </c>
      <c r="AL439" s="33">
        <f ca="1">IFERROR(AVERAGEIFS(data_brute!M:M,data_brute!J:J,"&lt;="&amp;AK439),NA())</f>
        <v>25.353524229074896</v>
      </c>
      <c r="AM439" s="46">
        <f t="shared" ca="1" si="104"/>
        <v>4330</v>
      </c>
      <c r="AN439" s="46" t="b">
        <f t="shared" si="105"/>
        <v>0</v>
      </c>
      <c r="AO439" s="50" t="b">
        <f t="shared" si="106"/>
        <v>0</v>
      </c>
    </row>
    <row r="440" spans="21:41" x14ac:dyDescent="0.2">
      <c r="U440" s="46">
        <f t="shared" si="97"/>
        <v>4332</v>
      </c>
      <c r="V440" s="46">
        <f t="shared" si="98"/>
        <v>4341</v>
      </c>
      <c r="W440" s="33" t="e">
        <f>IFERROR(AVERAGEIFS(data_brute!M:M,data_brute!J:J,"&lt;="&amp;V440,data_brute!J:J,"&gt;="&amp;U440),NA())</f>
        <v>#N/A</v>
      </c>
      <c r="X440" s="46" t="e">
        <f t="shared" si="99"/>
        <v>#N/A</v>
      </c>
      <c r="Y440" s="2" t="b">
        <f t="shared" si="100"/>
        <v>0</v>
      </c>
      <c r="Z440" s="2" t="b">
        <f t="shared" si="101"/>
        <v>0</v>
      </c>
      <c r="AE440" s="46">
        <f t="shared" si="94"/>
        <v>4332</v>
      </c>
      <c r="AF440" s="46">
        <f t="shared" si="95"/>
        <v>4341</v>
      </c>
      <c r="AG440" s="33" t="e">
        <f>IFERROR(AVERAGEIFS(data_brute!M:M,data_brute!J:J,"&gt;="&amp;AE440,data_brute!J:J,"&lt;="&amp;AF440),NA())</f>
        <v>#N/A</v>
      </c>
      <c r="AH440" s="46" t="e">
        <f t="shared" si="96"/>
        <v>#N/A</v>
      </c>
      <c r="AJ440" s="46">
        <f t="shared" si="102"/>
        <v>4332</v>
      </c>
      <c r="AK440" s="46">
        <f t="shared" si="103"/>
        <v>4341</v>
      </c>
      <c r="AL440" s="33">
        <f ca="1">IFERROR(AVERAGEIFS(data_brute!M:M,data_brute!J:J,"&lt;="&amp;AK440),NA())</f>
        <v>25.353524229074896</v>
      </c>
      <c r="AM440" s="46">
        <f t="shared" ca="1" si="104"/>
        <v>4340</v>
      </c>
      <c r="AN440" s="46" t="b">
        <f t="shared" si="105"/>
        <v>0</v>
      </c>
      <c r="AO440" s="50" t="b">
        <f t="shared" si="106"/>
        <v>0</v>
      </c>
    </row>
    <row r="441" spans="21:41" x14ac:dyDescent="0.2">
      <c r="U441" s="46">
        <f t="shared" si="97"/>
        <v>4342</v>
      </c>
      <c r="V441" s="46">
        <f t="shared" si="98"/>
        <v>4351</v>
      </c>
      <c r="W441" s="33" t="e">
        <f>IFERROR(AVERAGEIFS(data_brute!M:M,data_brute!J:J,"&lt;="&amp;V441,data_brute!J:J,"&gt;="&amp;U441),NA())</f>
        <v>#N/A</v>
      </c>
      <c r="X441" s="46" t="e">
        <f t="shared" si="99"/>
        <v>#N/A</v>
      </c>
      <c r="Y441" s="2" t="b">
        <f t="shared" si="100"/>
        <v>0</v>
      </c>
      <c r="Z441" s="2" t="b">
        <f t="shared" si="101"/>
        <v>0</v>
      </c>
      <c r="AE441" s="46">
        <f t="shared" si="94"/>
        <v>4342</v>
      </c>
      <c r="AF441" s="46">
        <f t="shared" si="95"/>
        <v>4351</v>
      </c>
      <c r="AG441" s="33" t="e">
        <f>IFERROR(AVERAGEIFS(data_brute!M:M,data_brute!J:J,"&gt;="&amp;AE441,data_brute!J:J,"&lt;="&amp;AF441),NA())</f>
        <v>#N/A</v>
      </c>
      <c r="AH441" s="46" t="e">
        <f t="shared" si="96"/>
        <v>#N/A</v>
      </c>
      <c r="AJ441" s="46">
        <f t="shared" si="102"/>
        <v>4342</v>
      </c>
      <c r="AK441" s="46">
        <f t="shared" si="103"/>
        <v>4351</v>
      </c>
      <c r="AL441" s="33">
        <f ca="1">IFERROR(AVERAGEIFS(data_brute!M:M,data_brute!J:J,"&lt;="&amp;AK441),NA())</f>
        <v>25.353524229074896</v>
      </c>
      <c r="AM441" s="46">
        <f t="shared" ca="1" si="104"/>
        <v>4350</v>
      </c>
      <c r="AN441" s="46" t="b">
        <f t="shared" si="105"/>
        <v>0</v>
      </c>
      <c r="AO441" s="50" t="b">
        <f t="shared" si="106"/>
        <v>0</v>
      </c>
    </row>
    <row r="442" spans="21:41" x14ac:dyDescent="0.2">
      <c r="U442" s="46">
        <f t="shared" si="97"/>
        <v>4352</v>
      </c>
      <c r="V442" s="46">
        <f t="shared" si="98"/>
        <v>4361</v>
      </c>
      <c r="W442" s="33" t="e">
        <f>IFERROR(AVERAGEIFS(data_brute!M:M,data_brute!J:J,"&lt;="&amp;V442,data_brute!J:J,"&gt;="&amp;U442),NA())</f>
        <v>#N/A</v>
      </c>
      <c r="X442" s="46" t="e">
        <f t="shared" si="99"/>
        <v>#N/A</v>
      </c>
      <c r="Y442" s="2" t="b">
        <f t="shared" si="100"/>
        <v>0</v>
      </c>
      <c r="Z442" s="2" t="b">
        <f t="shared" si="101"/>
        <v>0</v>
      </c>
      <c r="AE442" s="46">
        <f t="shared" si="94"/>
        <v>4352</v>
      </c>
      <c r="AF442" s="46">
        <f t="shared" si="95"/>
        <v>4361</v>
      </c>
      <c r="AG442" s="33" t="e">
        <f>IFERROR(AVERAGEIFS(data_brute!M:M,data_brute!J:J,"&gt;="&amp;AE442,data_brute!J:J,"&lt;="&amp;AF442),NA())</f>
        <v>#N/A</v>
      </c>
      <c r="AH442" s="46" t="e">
        <f t="shared" si="96"/>
        <v>#N/A</v>
      </c>
      <c r="AJ442" s="46">
        <f t="shared" si="102"/>
        <v>4352</v>
      </c>
      <c r="AK442" s="46">
        <f t="shared" si="103"/>
        <v>4361</v>
      </c>
      <c r="AL442" s="33">
        <f ca="1">IFERROR(AVERAGEIFS(data_brute!M:M,data_brute!J:J,"&lt;="&amp;AK442),NA())</f>
        <v>25.353524229074896</v>
      </c>
      <c r="AM442" s="46">
        <f t="shared" ca="1" si="104"/>
        <v>4360</v>
      </c>
      <c r="AN442" s="46" t="b">
        <f t="shared" si="105"/>
        <v>0</v>
      </c>
      <c r="AO442" s="50" t="b">
        <f t="shared" si="106"/>
        <v>0</v>
      </c>
    </row>
    <row r="443" spans="21:41" x14ac:dyDescent="0.2">
      <c r="U443" s="46">
        <f t="shared" si="97"/>
        <v>4362</v>
      </c>
      <c r="V443" s="46">
        <f t="shared" si="98"/>
        <v>4371</v>
      </c>
      <c r="W443" s="33" t="e">
        <f>IFERROR(AVERAGEIFS(data_brute!M:M,data_brute!J:J,"&lt;="&amp;V443,data_brute!J:J,"&gt;="&amp;U443),NA())</f>
        <v>#N/A</v>
      </c>
      <c r="X443" s="46" t="e">
        <f t="shared" si="99"/>
        <v>#N/A</v>
      </c>
      <c r="Y443" s="2" t="b">
        <f t="shared" si="100"/>
        <v>0</v>
      </c>
      <c r="Z443" s="2" t="b">
        <f t="shared" si="101"/>
        <v>0</v>
      </c>
      <c r="AE443" s="46">
        <f t="shared" si="94"/>
        <v>4362</v>
      </c>
      <c r="AF443" s="46">
        <f t="shared" si="95"/>
        <v>4371</v>
      </c>
      <c r="AG443" s="33" t="e">
        <f>IFERROR(AVERAGEIFS(data_brute!M:M,data_brute!J:J,"&gt;="&amp;AE443,data_brute!J:J,"&lt;="&amp;AF443),NA())</f>
        <v>#N/A</v>
      </c>
      <c r="AH443" s="46" t="e">
        <f t="shared" si="96"/>
        <v>#N/A</v>
      </c>
      <c r="AJ443" s="46">
        <f t="shared" si="102"/>
        <v>4362</v>
      </c>
      <c r="AK443" s="46">
        <f t="shared" si="103"/>
        <v>4371</v>
      </c>
      <c r="AL443" s="33">
        <f ca="1">IFERROR(AVERAGEIFS(data_brute!M:M,data_brute!J:J,"&lt;="&amp;AK443),NA())</f>
        <v>25.353524229074896</v>
      </c>
      <c r="AM443" s="46">
        <f t="shared" ca="1" si="104"/>
        <v>4370</v>
      </c>
      <c r="AN443" s="46" t="b">
        <f t="shared" si="105"/>
        <v>0</v>
      </c>
      <c r="AO443" s="50" t="b">
        <f t="shared" si="106"/>
        <v>0</v>
      </c>
    </row>
    <row r="444" spans="21:41" x14ac:dyDescent="0.2">
      <c r="U444" s="46">
        <f t="shared" si="97"/>
        <v>4372</v>
      </c>
      <c r="V444" s="46">
        <f t="shared" si="98"/>
        <v>4381</v>
      </c>
      <c r="W444" s="33" t="e">
        <f>IFERROR(AVERAGEIFS(data_brute!M:M,data_brute!J:J,"&lt;="&amp;V444,data_brute!J:J,"&gt;="&amp;U444),NA())</f>
        <v>#N/A</v>
      </c>
      <c r="X444" s="46" t="e">
        <f t="shared" si="99"/>
        <v>#N/A</v>
      </c>
      <c r="Y444" s="2" t="b">
        <f t="shared" si="100"/>
        <v>0</v>
      </c>
      <c r="Z444" s="2" t="b">
        <f t="shared" si="101"/>
        <v>0</v>
      </c>
      <c r="AE444" s="46">
        <f t="shared" si="94"/>
        <v>4372</v>
      </c>
      <c r="AF444" s="46">
        <f t="shared" si="95"/>
        <v>4381</v>
      </c>
      <c r="AG444" s="33" t="e">
        <f>IFERROR(AVERAGEIFS(data_brute!M:M,data_brute!J:J,"&gt;="&amp;AE444,data_brute!J:J,"&lt;="&amp;AF444),NA())</f>
        <v>#N/A</v>
      </c>
      <c r="AH444" s="46" t="e">
        <f t="shared" si="96"/>
        <v>#N/A</v>
      </c>
      <c r="AJ444" s="46">
        <f t="shared" si="102"/>
        <v>4372</v>
      </c>
      <c r="AK444" s="46">
        <f t="shared" si="103"/>
        <v>4381</v>
      </c>
      <c r="AL444" s="33">
        <f ca="1">IFERROR(AVERAGEIFS(data_brute!M:M,data_brute!J:J,"&lt;="&amp;AK444),NA())</f>
        <v>25.353524229074896</v>
      </c>
      <c r="AM444" s="46">
        <f t="shared" ca="1" si="104"/>
        <v>4380</v>
      </c>
      <c r="AN444" s="46" t="b">
        <f t="shared" si="105"/>
        <v>0</v>
      </c>
      <c r="AO444" s="50" t="b">
        <f t="shared" si="106"/>
        <v>0</v>
      </c>
    </row>
    <row r="445" spans="21:41" x14ac:dyDescent="0.2">
      <c r="U445" s="46">
        <f t="shared" si="97"/>
        <v>4382</v>
      </c>
      <c r="V445" s="46">
        <f t="shared" si="98"/>
        <v>4391</v>
      </c>
      <c r="W445" s="33" t="e">
        <f>IFERROR(AVERAGEIFS(data_brute!M:M,data_brute!J:J,"&lt;="&amp;V445,data_brute!J:J,"&gt;="&amp;U445),NA())</f>
        <v>#N/A</v>
      </c>
      <c r="X445" s="46" t="e">
        <f t="shared" si="99"/>
        <v>#N/A</v>
      </c>
      <c r="Y445" s="2" t="b">
        <f t="shared" si="100"/>
        <v>0</v>
      </c>
      <c r="Z445" s="2" t="b">
        <f t="shared" si="101"/>
        <v>0</v>
      </c>
      <c r="AE445" s="46">
        <f t="shared" si="94"/>
        <v>4382</v>
      </c>
      <c r="AF445" s="46">
        <f t="shared" si="95"/>
        <v>4391</v>
      </c>
      <c r="AG445" s="33" t="e">
        <f>IFERROR(AVERAGEIFS(data_brute!M:M,data_brute!J:J,"&gt;="&amp;AE445,data_brute!J:J,"&lt;="&amp;AF445),NA())</f>
        <v>#N/A</v>
      </c>
      <c r="AH445" s="46" t="e">
        <f t="shared" si="96"/>
        <v>#N/A</v>
      </c>
      <c r="AJ445" s="46">
        <f t="shared" si="102"/>
        <v>4382</v>
      </c>
      <c r="AK445" s="46">
        <f t="shared" si="103"/>
        <v>4391</v>
      </c>
      <c r="AL445" s="33">
        <f ca="1">IFERROR(AVERAGEIFS(data_brute!M:M,data_brute!J:J,"&lt;="&amp;AK445),NA())</f>
        <v>25.353524229074896</v>
      </c>
      <c r="AM445" s="46">
        <f t="shared" ca="1" si="104"/>
        <v>4390</v>
      </c>
      <c r="AN445" s="46" t="b">
        <f t="shared" si="105"/>
        <v>0</v>
      </c>
      <c r="AO445" s="50" t="b">
        <f t="shared" si="106"/>
        <v>0</v>
      </c>
    </row>
    <row r="446" spans="21:41" x14ac:dyDescent="0.2">
      <c r="U446" s="46">
        <f t="shared" si="97"/>
        <v>4392</v>
      </c>
      <c r="V446" s="46">
        <f t="shared" si="98"/>
        <v>4401</v>
      </c>
      <c r="W446" s="33" t="e">
        <f>IFERROR(AVERAGEIFS(data_brute!M:M,data_brute!J:J,"&lt;="&amp;V446,data_brute!J:J,"&gt;="&amp;U446),NA())</f>
        <v>#N/A</v>
      </c>
      <c r="X446" s="46" t="e">
        <f t="shared" si="99"/>
        <v>#N/A</v>
      </c>
      <c r="Y446" s="2" t="b">
        <f t="shared" si="100"/>
        <v>0</v>
      </c>
      <c r="Z446" s="2" t="b">
        <f t="shared" si="101"/>
        <v>0</v>
      </c>
      <c r="AE446" s="46">
        <f t="shared" si="94"/>
        <v>4392</v>
      </c>
      <c r="AF446" s="46">
        <f t="shared" si="95"/>
        <v>4401</v>
      </c>
      <c r="AG446" s="33" t="e">
        <f>IFERROR(AVERAGEIFS(data_brute!M:M,data_brute!J:J,"&gt;="&amp;AE446,data_brute!J:J,"&lt;="&amp;AF446),NA())</f>
        <v>#N/A</v>
      </c>
      <c r="AH446" s="46" t="e">
        <f t="shared" si="96"/>
        <v>#N/A</v>
      </c>
      <c r="AJ446" s="46">
        <f t="shared" si="102"/>
        <v>4392</v>
      </c>
      <c r="AK446" s="46">
        <f t="shared" si="103"/>
        <v>4401</v>
      </c>
      <c r="AL446" s="33">
        <f ca="1">IFERROR(AVERAGEIFS(data_brute!M:M,data_brute!J:J,"&lt;="&amp;AK446),NA())</f>
        <v>25.353524229074896</v>
      </c>
      <c r="AM446" s="46">
        <f t="shared" ca="1" si="104"/>
        <v>4400</v>
      </c>
      <c r="AN446" s="46" t="b">
        <f t="shared" si="105"/>
        <v>0</v>
      </c>
      <c r="AO446" s="50" t="b">
        <f t="shared" si="106"/>
        <v>0</v>
      </c>
    </row>
    <row r="447" spans="21:41" x14ac:dyDescent="0.2">
      <c r="U447" s="46">
        <f t="shared" si="97"/>
        <v>4402</v>
      </c>
      <c r="V447" s="46">
        <f t="shared" si="98"/>
        <v>4411</v>
      </c>
      <c r="W447" s="33" t="e">
        <f>IFERROR(AVERAGEIFS(data_brute!M:M,data_brute!J:J,"&lt;="&amp;V447,data_brute!J:J,"&gt;="&amp;U447),NA())</f>
        <v>#N/A</v>
      </c>
      <c r="X447" s="46" t="e">
        <f t="shared" si="99"/>
        <v>#N/A</v>
      </c>
      <c r="Y447" s="2" t="b">
        <f t="shared" si="100"/>
        <v>0</v>
      </c>
      <c r="Z447" s="2" t="b">
        <f t="shared" si="101"/>
        <v>0</v>
      </c>
      <c r="AE447" s="46">
        <f t="shared" si="94"/>
        <v>4402</v>
      </c>
      <c r="AF447" s="46">
        <f t="shared" si="95"/>
        <v>4411</v>
      </c>
      <c r="AG447" s="33" t="e">
        <f>IFERROR(AVERAGEIFS(data_brute!M:M,data_brute!J:J,"&gt;="&amp;AE447,data_brute!J:J,"&lt;="&amp;AF447),NA())</f>
        <v>#N/A</v>
      </c>
      <c r="AH447" s="46" t="e">
        <f t="shared" si="96"/>
        <v>#N/A</v>
      </c>
      <c r="AJ447" s="46">
        <f t="shared" si="102"/>
        <v>4402</v>
      </c>
      <c r="AK447" s="46">
        <f t="shared" si="103"/>
        <v>4411</v>
      </c>
      <c r="AL447" s="33">
        <f ca="1">IFERROR(AVERAGEIFS(data_brute!M:M,data_brute!J:J,"&lt;="&amp;AK447),NA())</f>
        <v>25.353524229074896</v>
      </c>
      <c r="AM447" s="46">
        <f t="shared" ca="1" si="104"/>
        <v>4410</v>
      </c>
      <c r="AN447" s="46" t="b">
        <f t="shared" si="105"/>
        <v>0</v>
      </c>
      <c r="AO447" s="50" t="b">
        <f t="shared" si="106"/>
        <v>0</v>
      </c>
    </row>
    <row r="448" spans="21:41" x14ac:dyDescent="0.2">
      <c r="U448" s="46">
        <f t="shared" si="97"/>
        <v>4412</v>
      </c>
      <c r="V448" s="46">
        <f t="shared" si="98"/>
        <v>4421</v>
      </c>
      <c r="W448" s="33" t="e">
        <f>IFERROR(AVERAGEIFS(data_brute!M:M,data_brute!J:J,"&lt;="&amp;V448,data_brute!J:J,"&gt;="&amp;U448),NA())</f>
        <v>#N/A</v>
      </c>
      <c r="X448" s="46" t="e">
        <f t="shared" si="99"/>
        <v>#N/A</v>
      </c>
      <c r="Y448" s="2" t="b">
        <f t="shared" si="100"/>
        <v>0</v>
      </c>
      <c r="Z448" s="2" t="b">
        <f t="shared" si="101"/>
        <v>0</v>
      </c>
      <c r="AE448" s="46">
        <f t="shared" si="94"/>
        <v>4412</v>
      </c>
      <c r="AF448" s="46">
        <f t="shared" si="95"/>
        <v>4421</v>
      </c>
      <c r="AG448" s="33" t="e">
        <f>IFERROR(AVERAGEIFS(data_brute!M:M,data_brute!J:J,"&gt;="&amp;AE448,data_brute!J:J,"&lt;="&amp;AF448),NA())</f>
        <v>#N/A</v>
      </c>
      <c r="AH448" s="46" t="e">
        <f t="shared" si="96"/>
        <v>#N/A</v>
      </c>
      <c r="AJ448" s="46">
        <f t="shared" si="102"/>
        <v>4412</v>
      </c>
      <c r="AK448" s="46">
        <f t="shared" si="103"/>
        <v>4421</v>
      </c>
      <c r="AL448" s="33">
        <f ca="1">IFERROR(AVERAGEIFS(data_brute!M:M,data_brute!J:J,"&lt;="&amp;AK448),NA())</f>
        <v>25.353524229074896</v>
      </c>
      <c r="AM448" s="46">
        <f t="shared" ca="1" si="104"/>
        <v>4420</v>
      </c>
      <c r="AN448" s="46" t="b">
        <f t="shared" si="105"/>
        <v>0</v>
      </c>
      <c r="AO448" s="50" t="b">
        <f t="shared" si="106"/>
        <v>0</v>
      </c>
    </row>
    <row r="449" spans="21:41" x14ac:dyDescent="0.2">
      <c r="U449" s="46">
        <f t="shared" si="97"/>
        <v>4422</v>
      </c>
      <c r="V449" s="46">
        <f t="shared" si="98"/>
        <v>4431</v>
      </c>
      <c r="W449" s="33" t="e">
        <f>IFERROR(AVERAGEIFS(data_brute!M:M,data_brute!J:J,"&lt;="&amp;V449,data_brute!J:J,"&gt;="&amp;U449),NA())</f>
        <v>#N/A</v>
      </c>
      <c r="X449" s="46" t="e">
        <f t="shared" si="99"/>
        <v>#N/A</v>
      </c>
      <c r="Y449" s="2" t="b">
        <f t="shared" si="100"/>
        <v>0</v>
      </c>
      <c r="Z449" s="2" t="b">
        <f t="shared" si="101"/>
        <v>0</v>
      </c>
      <c r="AE449" s="46">
        <f t="shared" si="94"/>
        <v>4422</v>
      </c>
      <c r="AF449" s="46">
        <f t="shared" si="95"/>
        <v>4431</v>
      </c>
      <c r="AG449" s="33" t="e">
        <f>IFERROR(AVERAGEIFS(data_brute!M:M,data_brute!J:J,"&gt;="&amp;AE449,data_brute!J:J,"&lt;="&amp;AF449),NA())</f>
        <v>#N/A</v>
      </c>
      <c r="AH449" s="46" t="e">
        <f t="shared" si="96"/>
        <v>#N/A</v>
      </c>
      <c r="AJ449" s="46">
        <f t="shared" si="102"/>
        <v>4422</v>
      </c>
      <c r="AK449" s="46">
        <f t="shared" si="103"/>
        <v>4431</v>
      </c>
      <c r="AL449" s="33">
        <f ca="1">IFERROR(AVERAGEIFS(data_brute!M:M,data_brute!J:J,"&lt;="&amp;AK449),NA())</f>
        <v>25.353524229074896</v>
      </c>
      <c r="AM449" s="46">
        <f t="shared" ca="1" si="104"/>
        <v>4430</v>
      </c>
      <c r="AN449" s="46" t="b">
        <f t="shared" si="105"/>
        <v>0</v>
      </c>
      <c r="AO449" s="50" t="b">
        <f t="shared" si="106"/>
        <v>0</v>
      </c>
    </row>
    <row r="450" spans="21:41" x14ac:dyDescent="0.2">
      <c r="U450" s="46">
        <f t="shared" si="97"/>
        <v>4432</v>
      </c>
      <c r="V450" s="46">
        <f t="shared" si="98"/>
        <v>4441</v>
      </c>
      <c r="W450" s="33" t="e">
        <f>IFERROR(AVERAGEIFS(data_brute!M:M,data_brute!J:J,"&lt;="&amp;V450,data_brute!J:J,"&gt;="&amp;U450),NA())</f>
        <v>#N/A</v>
      </c>
      <c r="X450" s="46" t="e">
        <f t="shared" si="99"/>
        <v>#N/A</v>
      </c>
      <c r="Y450" s="2" t="b">
        <f t="shared" si="100"/>
        <v>0</v>
      </c>
      <c r="Z450" s="2" t="b">
        <f t="shared" si="101"/>
        <v>0</v>
      </c>
      <c r="AE450" s="46">
        <f t="shared" si="94"/>
        <v>4432</v>
      </c>
      <c r="AF450" s="46">
        <f t="shared" si="95"/>
        <v>4441</v>
      </c>
      <c r="AG450" s="33" t="e">
        <f>IFERROR(AVERAGEIFS(data_brute!M:M,data_brute!J:J,"&gt;="&amp;AE450,data_brute!J:J,"&lt;="&amp;AF450),NA())</f>
        <v>#N/A</v>
      </c>
      <c r="AH450" s="46" t="e">
        <f t="shared" si="96"/>
        <v>#N/A</v>
      </c>
      <c r="AJ450" s="46">
        <f t="shared" si="102"/>
        <v>4432</v>
      </c>
      <c r="AK450" s="46">
        <f t="shared" si="103"/>
        <v>4441</v>
      </c>
      <c r="AL450" s="33">
        <f ca="1">IFERROR(AVERAGEIFS(data_brute!M:M,data_brute!J:J,"&lt;="&amp;AK450),NA())</f>
        <v>25.353524229074896</v>
      </c>
      <c r="AM450" s="46">
        <f t="shared" ca="1" si="104"/>
        <v>4440</v>
      </c>
      <c r="AN450" s="46" t="b">
        <f t="shared" si="105"/>
        <v>0</v>
      </c>
      <c r="AO450" s="50" t="b">
        <f t="shared" si="106"/>
        <v>0</v>
      </c>
    </row>
    <row r="451" spans="21:41" x14ac:dyDescent="0.2">
      <c r="U451" s="46">
        <f t="shared" si="97"/>
        <v>4442</v>
      </c>
      <c r="V451" s="46">
        <f t="shared" si="98"/>
        <v>4451</v>
      </c>
      <c r="W451" s="33" t="e">
        <f>IFERROR(AVERAGEIFS(data_brute!M:M,data_brute!J:J,"&lt;="&amp;V451,data_brute!J:J,"&gt;="&amp;U451),NA())</f>
        <v>#N/A</v>
      </c>
      <c r="X451" s="46" t="e">
        <f t="shared" si="99"/>
        <v>#N/A</v>
      </c>
      <c r="Y451" s="2" t="b">
        <f t="shared" si="100"/>
        <v>0</v>
      </c>
      <c r="Z451" s="2" t="b">
        <f t="shared" si="101"/>
        <v>0</v>
      </c>
      <c r="AE451" s="46">
        <f t="shared" si="94"/>
        <v>4442</v>
      </c>
      <c r="AF451" s="46">
        <f t="shared" si="95"/>
        <v>4451</v>
      </c>
      <c r="AG451" s="33" t="e">
        <f>IFERROR(AVERAGEIFS(data_brute!M:M,data_brute!J:J,"&gt;="&amp;AE451,data_brute!J:J,"&lt;="&amp;AF451),NA())</f>
        <v>#N/A</v>
      </c>
      <c r="AH451" s="46" t="e">
        <f t="shared" si="96"/>
        <v>#N/A</v>
      </c>
      <c r="AJ451" s="46">
        <f t="shared" si="102"/>
        <v>4442</v>
      </c>
      <c r="AK451" s="46">
        <f t="shared" si="103"/>
        <v>4451</v>
      </c>
      <c r="AL451" s="33">
        <f ca="1">IFERROR(AVERAGEIFS(data_brute!M:M,data_brute!J:J,"&lt;="&amp;AK451),NA())</f>
        <v>25.353524229074896</v>
      </c>
      <c r="AM451" s="46">
        <f t="shared" ca="1" si="104"/>
        <v>4450</v>
      </c>
      <c r="AN451" s="46" t="b">
        <f t="shared" si="105"/>
        <v>0</v>
      </c>
      <c r="AO451" s="50" t="b">
        <f t="shared" si="106"/>
        <v>0</v>
      </c>
    </row>
    <row r="452" spans="21:41" x14ac:dyDescent="0.2">
      <c r="U452" s="46">
        <f t="shared" si="97"/>
        <v>4452</v>
      </c>
      <c r="V452" s="46">
        <f t="shared" si="98"/>
        <v>4461</v>
      </c>
      <c r="W452" s="33" t="e">
        <f>IFERROR(AVERAGEIFS(data_brute!M:M,data_brute!J:J,"&lt;="&amp;V452,data_brute!J:J,"&gt;="&amp;U452),NA())</f>
        <v>#N/A</v>
      </c>
      <c r="X452" s="46" t="e">
        <f t="shared" si="99"/>
        <v>#N/A</v>
      </c>
      <c r="Y452" s="2" t="b">
        <f t="shared" si="100"/>
        <v>0</v>
      </c>
      <c r="Z452" s="2" t="b">
        <f t="shared" si="101"/>
        <v>0</v>
      </c>
      <c r="AE452" s="46">
        <f t="shared" si="94"/>
        <v>4452</v>
      </c>
      <c r="AF452" s="46">
        <f t="shared" si="95"/>
        <v>4461</v>
      </c>
      <c r="AG452" s="33" t="e">
        <f>IFERROR(AVERAGEIFS(data_brute!M:M,data_brute!J:J,"&gt;="&amp;AE452,data_brute!J:J,"&lt;="&amp;AF452),NA())</f>
        <v>#N/A</v>
      </c>
      <c r="AH452" s="46" t="e">
        <f t="shared" si="96"/>
        <v>#N/A</v>
      </c>
      <c r="AJ452" s="46">
        <f t="shared" si="102"/>
        <v>4452</v>
      </c>
      <c r="AK452" s="46">
        <f t="shared" si="103"/>
        <v>4461</v>
      </c>
      <c r="AL452" s="33">
        <f ca="1">IFERROR(AVERAGEIFS(data_brute!M:M,data_brute!J:J,"&lt;="&amp;AK452),NA())</f>
        <v>25.353524229074896</v>
      </c>
      <c r="AM452" s="46">
        <f t="shared" ca="1" si="104"/>
        <v>4460</v>
      </c>
      <c r="AN452" s="46" t="b">
        <f t="shared" si="105"/>
        <v>0</v>
      </c>
      <c r="AO452" s="50" t="b">
        <f t="shared" si="106"/>
        <v>0</v>
      </c>
    </row>
    <row r="453" spans="21:41" x14ac:dyDescent="0.2">
      <c r="U453" s="46">
        <f t="shared" si="97"/>
        <v>4462</v>
      </c>
      <c r="V453" s="46">
        <f t="shared" si="98"/>
        <v>4471</v>
      </c>
      <c r="W453" s="33" t="e">
        <f>IFERROR(AVERAGEIFS(data_brute!M:M,data_brute!J:J,"&lt;="&amp;V453,data_brute!J:J,"&gt;="&amp;U453),NA())</f>
        <v>#N/A</v>
      </c>
      <c r="X453" s="46" t="e">
        <f t="shared" si="99"/>
        <v>#N/A</v>
      </c>
      <c r="Y453" s="2" t="b">
        <f t="shared" si="100"/>
        <v>0</v>
      </c>
      <c r="Z453" s="2" t="b">
        <f t="shared" si="101"/>
        <v>0</v>
      </c>
      <c r="AE453" s="46">
        <f t="shared" si="94"/>
        <v>4462</v>
      </c>
      <c r="AF453" s="46">
        <f t="shared" si="95"/>
        <v>4471</v>
      </c>
      <c r="AG453" s="33" t="e">
        <f>IFERROR(AVERAGEIFS(data_brute!M:M,data_brute!J:J,"&gt;="&amp;AE453,data_brute!J:J,"&lt;="&amp;AF453),NA())</f>
        <v>#N/A</v>
      </c>
      <c r="AH453" s="46" t="e">
        <f t="shared" si="96"/>
        <v>#N/A</v>
      </c>
      <c r="AJ453" s="46">
        <f t="shared" si="102"/>
        <v>4462</v>
      </c>
      <c r="AK453" s="46">
        <f t="shared" si="103"/>
        <v>4471</v>
      </c>
      <c r="AL453" s="33">
        <f ca="1">IFERROR(AVERAGEIFS(data_brute!M:M,data_brute!J:J,"&lt;="&amp;AK453),NA())</f>
        <v>25.353524229074896</v>
      </c>
      <c r="AM453" s="46">
        <f t="shared" ca="1" si="104"/>
        <v>4470</v>
      </c>
      <c r="AN453" s="46" t="b">
        <f t="shared" si="105"/>
        <v>0</v>
      </c>
      <c r="AO453" s="50" t="b">
        <f t="shared" si="106"/>
        <v>0</v>
      </c>
    </row>
    <row r="454" spans="21:41" x14ac:dyDescent="0.2">
      <c r="U454" s="46">
        <f t="shared" si="97"/>
        <v>4472</v>
      </c>
      <c r="V454" s="46">
        <f t="shared" si="98"/>
        <v>4481</v>
      </c>
      <c r="W454" s="33" t="e">
        <f>IFERROR(AVERAGEIFS(data_brute!M:M,data_brute!J:J,"&lt;="&amp;V454,data_brute!J:J,"&gt;="&amp;U454),NA())</f>
        <v>#N/A</v>
      </c>
      <c r="X454" s="46" t="e">
        <f t="shared" si="99"/>
        <v>#N/A</v>
      </c>
      <c r="Y454" s="2" t="b">
        <f t="shared" si="100"/>
        <v>0</v>
      </c>
      <c r="Z454" s="2" t="b">
        <f t="shared" si="101"/>
        <v>0</v>
      </c>
      <c r="AE454" s="46">
        <f t="shared" si="94"/>
        <v>4472</v>
      </c>
      <c r="AF454" s="46">
        <f t="shared" si="95"/>
        <v>4481</v>
      </c>
      <c r="AG454" s="33" t="e">
        <f>IFERROR(AVERAGEIFS(data_brute!M:M,data_brute!J:J,"&gt;="&amp;AE454,data_brute!J:J,"&lt;="&amp;AF454),NA())</f>
        <v>#N/A</v>
      </c>
      <c r="AH454" s="46" t="e">
        <f t="shared" si="96"/>
        <v>#N/A</v>
      </c>
      <c r="AJ454" s="46">
        <f t="shared" si="102"/>
        <v>4472</v>
      </c>
      <c r="AK454" s="46">
        <f t="shared" si="103"/>
        <v>4481</v>
      </c>
      <c r="AL454" s="33">
        <f ca="1">IFERROR(AVERAGEIFS(data_brute!M:M,data_brute!J:J,"&lt;="&amp;AK454),NA())</f>
        <v>25.353524229074896</v>
      </c>
      <c r="AM454" s="46">
        <f t="shared" ca="1" si="104"/>
        <v>4480</v>
      </c>
      <c r="AN454" s="46" t="b">
        <f t="shared" si="105"/>
        <v>0</v>
      </c>
      <c r="AO454" s="50" t="b">
        <f t="shared" si="106"/>
        <v>0</v>
      </c>
    </row>
    <row r="455" spans="21:41" x14ac:dyDescent="0.2">
      <c r="U455" s="46">
        <f t="shared" si="97"/>
        <v>4482</v>
      </c>
      <c r="V455" s="46">
        <f t="shared" si="98"/>
        <v>4491</v>
      </c>
      <c r="W455" s="33" t="e">
        <f>IFERROR(AVERAGEIFS(data_brute!M:M,data_brute!J:J,"&lt;="&amp;V455,data_brute!J:J,"&gt;="&amp;U455),NA())</f>
        <v>#N/A</v>
      </c>
      <c r="X455" s="46" t="e">
        <f t="shared" si="99"/>
        <v>#N/A</v>
      </c>
      <c r="Y455" s="2" t="b">
        <f t="shared" si="100"/>
        <v>0</v>
      </c>
      <c r="Z455" s="2" t="b">
        <f t="shared" si="101"/>
        <v>0</v>
      </c>
      <c r="AE455" s="46">
        <f t="shared" si="94"/>
        <v>4482</v>
      </c>
      <c r="AF455" s="46">
        <f t="shared" si="95"/>
        <v>4491</v>
      </c>
      <c r="AG455" s="33" t="e">
        <f>IFERROR(AVERAGEIFS(data_brute!M:M,data_brute!J:J,"&gt;="&amp;AE455,data_brute!J:J,"&lt;="&amp;AF455),NA())</f>
        <v>#N/A</v>
      </c>
      <c r="AH455" s="46" t="e">
        <f t="shared" si="96"/>
        <v>#N/A</v>
      </c>
      <c r="AJ455" s="46">
        <f t="shared" si="102"/>
        <v>4482</v>
      </c>
      <c r="AK455" s="46">
        <f t="shared" si="103"/>
        <v>4491</v>
      </c>
      <c r="AL455" s="33">
        <f ca="1">IFERROR(AVERAGEIFS(data_brute!M:M,data_brute!J:J,"&lt;="&amp;AK455),NA())</f>
        <v>25.353524229074896</v>
      </c>
      <c r="AM455" s="46">
        <f t="shared" ca="1" si="104"/>
        <v>4490</v>
      </c>
      <c r="AN455" s="46" t="b">
        <f t="shared" si="105"/>
        <v>0</v>
      </c>
      <c r="AO455" s="50" t="b">
        <f t="shared" si="106"/>
        <v>0</v>
      </c>
    </row>
    <row r="456" spans="21:41" x14ac:dyDescent="0.2">
      <c r="U456" s="46">
        <f t="shared" si="97"/>
        <v>4492</v>
      </c>
      <c r="V456" s="46">
        <f t="shared" si="98"/>
        <v>4501</v>
      </c>
      <c r="W456" s="33" t="e">
        <f>IFERROR(AVERAGEIFS(data_brute!M:M,data_brute!J:J,"&lt;="&amp;V456,data_brute!J:J,"&gt;="&amp;U456),NA())</f>
        <v>#N/A</v>
      </c>
      <c r="X456" s="46" t="e">
        <f t="shared" si="99"/>
        <v>#N/A</v>
      </c>
      <c r="Y456" s="2" t="b">
        <f t="shared" si="100"/>
        <v>0</v>
      </c>
      <c r="Z456" s="2" t="b">
        <f t="shared" si="101"/>
        <v>0</v>
      </c>
      <c r="AE456" s="46">
        <f t="shared" si="94"/>
        <v>4492</v>
      </c>
      <c r="AF456" s="46">
        <f t="shared" si="95"/>
        <v>4501</v>
      </c>
      <c r="AG456" s="33" t="e">
        <f>IFERROR(AVERAGEIFS(data_brute!M:M,data_brute!J:J,"&gt;="&amp;AE456,data_brute!J:J,"&lt;="&amp;AF456),NA())</f>
        <v>#N/A</v>
      </c>
      <c r="AH456" s="46" t="e">
        <f t="shared" si="96"/>
        <v>#N/A</v>
      </c>
      <c r="AJ456" s="46">
        <f t="shared" si="102"/>
        <v>4492</v>
      </c>
      <c r="AK456" s="46">
        <f t="shared" si="103"/>
        <v>4501</v>
      </c>
      <c r="AL456" s="33">
        <f ca="1">IFERROR(AVERAGEIFS(data_brute!M:M,data_brute!J:J,"&lt;="&amp;AK456),NA())</f>
        <v>25.353524229074896</v>
      </c>
      <c r="AM456" s="46">
        <f t="shared" ca="1" si="104"/>
        <v>4500</v>
      </c>
      <c r="AN456" s="46" t="b">
        <f t="shared" si="105"/>
        <v>0</v>
      </c>
      <c r="AO456" s="50" t="b">
        <f t="shared" si="106"/>
        <v>0</v>
      </c>
    </row>
    <row r="457" spans="21:41" x14ac:dyDescent="0.2">
      <c r="U457" s="46">
        <f t="shared" si="97"/>
        <v>4502</v>
      </c>
      <c r="V457" s="46">
        <f t="shared" si="98"/>
        <v>4511</v>
      </c>
      <c r="W457" s="33" t="e">
        <f>IFERROR(AVERAGEIFS(data_brute!M:M,data_brute!J:J,"&lt;="&amp;V457,data_brute!J:J,"&gt;="&amp;U457),NA())</f>
        <v>#N/A</v>
      </c>
      <c r="X457" s="46" t="e">
        <f t="shared" si="99"/>
        <v>#N/A</v>
      </c>
      <c r="Y457" s="2" t="b">
        <f t="shared" si="100"/>
        <v>0</v>
      </c>
      <c r="Z457" s="2" t="b">
        <f t="shared" si="101"/>
        <v>0</v>
      </c>
      <c r="AE457" s="46">
        <f t="shared" si="94"/>
        <v>4502</v>
      </c>
      <c r="AF457" s="46">
        <f t="shared" si="95"/>
        <v>4511</v>
      </c>
      <c r="AG457" s="33" t="e">
        <f>IFERROR(AVERAGEIFS(data_brute!M:M,data_brute!J:J,"&gt;="&amp;AE457,data_brute!J:J,"&lt;="&amp;AF457),NA())</f>
        <v>#N/A</v>
      </c>
      <c r="AH457" s="46" t="e">
        <f t="shared" si="96"/>
        <v>#N/A</v>
      </c>
      <c r="AJ457" s="46">
        <f t="shared" si="102"/>
        <v>4502</v>
      </c>
      <c r="AK457" s="46">
        <f t="shared" si="103"/>
        <v>4511</v>
      </c>
      <c r="AL457" s="33">
        <f ca="1">IFERROR(AVERAGEIFS(data_brute!M:M,data_brute!J:J,"&lt;="&amp;AK457),NA())</f>
        <v>25.353524229074896</v>
      </c>
      <c r="AM457" s="46">
        <f t="shared" ca="1" si="104"/>
        <v>4510</v>
      </c>
      <c r="AN457" s="46" t="b">
        <f t="shared" si="105"/>
        <v>0</v>
      </c>
      <c r="AO457" s="50" t="b">
        <f t="shared" si="106"/>
        <v>0</v>
      </c>
    </row>
    <row r="458" spans="21:41" x14ac:dyDescent="0.2">
      <c r="U458" s="46">
        <f t="shared" si="97"/>
        <v>4512</v>
      </c>
      <c r="V458" s="46">
        <f t="shared" si="98"/>
        <v>4521</v>
      </c>
      <c r="W458" s="33" t="e">
        <f>IFERROR(AVERAGEIFS(data_brute!M:M,data_brute!J:J,"&lt;="&amp;V458,data_brute!J:J,"&gt;="&amp;U458),NA())</f>
        <v>#N/A</v>
      </c>
      <c r="X458" s="46" t="e">
        <f t="shared" si="99"/>
        <v>#N/A</v>
      </c>
      <c r="Y458" s="2" t="b">
        <f t="shared" si="100"/>
        <v>0</v>
      </c>
      <c r="Z458" s="2" t="b">
        <f t="shared" si="101"/>
        <v>0</v>
      </c>
      <c r="AE458" s="46">
        <f t="shared" si="94"/>
        <v>4512</v>
      </c>
      <c r="AF458" s="46">
        <f t="shared" si="95"/>
        <v>4521</v>
      </c>
      <c r="AG458" s="33" t="e">
        <f>IFERROR(AVERAGEIFS(data_brute!M:M,data_brute!J:J,"&gt;="&amp;AE458,data_brute!J:J,"&lt;="&amp;AF458),NA())</f>
        <v>#N/A</v>
      </c>
      <c r="AH458" s="46" t="e">
        <f t="shared" si="96"/>
        <v>#N/A</v>
      </c>
      <c r="AJ458" s="46">
        <f t="shared" si="102"/>
        <v>4512</v>
      </c>
      <c r="AK458" s="46">
        <f t="shared" si="103"/>
        <v>4521</v>
      </c>
      <c r="AL458" s="33">
        <f ca="1">IFERROR(AVERAGEIFS(data_brute!M:M,data_brute!J:J,"&lt;="&amp;AK458),NA())</f>
        <v>25.353524229074896</v>
      </c>
      <c r="AM458" s="46">
        <f t="shared" ca="1" si="104"/>
        <v>4520</v>
      </c>
      <c r="AN458" s="46" t="b">
        <f t="shared" si="105"/>
        <v>0</v>
      </c>
      <c r="AO458" s="50" t="b">
        <f t="shared" si="106"/>
        <v>0</v>
      </c>
    </row>
    <row r="459" spans="21:41" x14ac:dyDescent="0.2">
      <c r="U459" s="46">
        <f t="shared" si="97"/>
        <v>4522</v>
      </c>
      <c r="V459" s="46">
        <f t="shared" si="98"/>
        <v>4531</v>
      </c>
      <c r="W459" s="33" t="e">
        <f>IFERROR(AVERAGEIFS(data_brute!M:M,data_brute!J:J,"&lt;="&amp;V459,data_brute!J:J,"&gt;="&amp;U459),NA())</f>
        <v>#N/A</v>
      </c>
      <c r="X459" s="46" t="e">
        <f t="shared" si="99"/>
        <v>#N/A</v>
      </c>
      <c r="Y459" s="2" t="b">
        <f t="shared" si="100"/>
        <v>0</v>
      </c>
      <c r="Z459" s="2" t="b">
        <f t="shared" si="101"/>
        <v>0</v>
      </c>
      <c r="AE459" s="46">
        <f t="shared" si="94"/>
        <v>4522</v>
      </c>
      <c r="AF459" s="46">
        <f t="shared" si="95"/>
        <v>4531</v>
      </c>
      <c r="AG459" s="33" t="e">
        <f>IFERROR(AVERAGEIFS(data_brute!M:M,data_brute!J:J,"&gt;="&amp;AE459,data_brute!J:J,"&lt;="&amp;AF459),NA())</f>
        <v>#N/A</v>
      </c>
      <c r="AH459" s="46" t="e">
        <f t="shared" si="96"/>
        <v>#N/A</v>
      </c>
      <c r="AJ459" s="46">
        <f t="shared" si="102"/>
        <v>4522</v>
      </c>
      <c r="AK459" s="46">
        <f t="shared" si="103"/>
        <v>4531</v>
      </c>
      <c r="AL459" s="33">
        <f ca="1">IFERROR(AVERAGEIFS(data_brute!M:M,data_brute!J:J,"&lt;="&amp;AK459),NA())</f>
        <v>25.353524229074896</v>
      </c>
      <c r="AM459" s="46">
        <f t="shared" ca="1" si="104"/>
        <v>4530</v>
      </c>
      <c r="AN459" s="46" t="b">
        <f t="shared" si="105"/>
        <v>0</v>
      </c>
      <c r="AO459" s="50" t="b">
        <f t="shared" si="106"/>
        <v>0</v>
      </c>
    </row>
    <row r="460" spans="21:41" x14ac:dyDescent="0.2">
      <c r="U460" s="46">
        <f t="shared" si="97"/>
        <v>4532</v>
      </c>
      <c r="V460" s="46">
        <f t="shared" si="98"/>
        <v>4541</v>
      </c>
      <c r="W460" s="33" t="e">
        <f>IFERROR(AVERAGEIFS(data_brute!M:M,data_brute!J:J,"&lt;="&amp;V460,data_brute!J:J,"&gt;="&amp;U460),NA())</f>
        <v>#N/A</v>
      </c>
      <c r="X460" s="46" t="e">
        <f t="shared" si="99"/>
        <v>#N/A</v>
      </c>
      <c r="Y460" s="2" t="b">
        <f t="shared" si="100"/>
        <v>0</v>
      </c>
      <c r="Z460" s="2" t="b">
        <f t="shared" si="101"/>
        <v>0</v>
      </c>
      <c r="AE460" s="46">
        <f t="shared" si="94"/>
        <v>4532</v>
      </c>
      <c r="AF460" s="46">
        <f t="shared" si="95"/>
        <v>4541</v>
      </c>
      <c r="AG460" s="33" t="e">
        <f>IFERROR(AVERAGEIFS(data_brute!M:M,data_brute!J:J,"&gt;="&amp;AE460,data_brute!J:J,"&lt;="&amp;AF460),NA())</f>
        <v>#N/A</v>
      </c>
      <c r="AH460" s="46" t="e">
        <f t="shared" si="96"/>
        <v>#N/A</v>
      </c>
      <c r="AJ460" s="46">
        <f t="shared" si="102"/>
        <v>4532</v>
      </c>
      <c r="AK460" s="46">
        <f t="shared" si="103"/>
        <v>4541</v>
      </c>
      <c r="AL460" s="33">
        <f ca="1">IFERROR(AVERAGEIFS(data_brute!M:M,data_brute!J:J,"&lt;="&amp;AK460),NA())</f>
        <v>25.353524229074896</v>
      </c>
      <c r="AM460" s="46">
        <f t="shared" ca="1" si="104"/>
        <v>4540</v>
      </c>
      <c r="AN460" s="46" t="b">
        <f t="shared" si="105"/>
        <v>0</v>
      </c>
      <c r="AO460" s="50" t="b">
        <f t="shared" si="106"/>
        <v>0</v>
      </c>
    </row>
    <row r="461" spans="21:41" x14ac:dyDescent="0.2">
      <c r="U461" s="46">
        <f t="shared" si="97"/>
        <v>4542</v>
      </c>
      <c r="V461" s="46">
        <f t="shared" si="98"/>
        <v>4551</v>
      </c>
      <c r="W461" s="33" t="e">
        <f>IFERROR(AVERAGEIFS(data_brute!M:M,data_brute!J:J,"&lt;="&amp;V461,data_brute!J:J,"&gt;="&amp;U461),NA())</f>
        <v>#N/A</v>
      </c>
      <c r="X461" s="46" t="e">
        <f t="shared" si="99"/>
        <v>#N/A</v>
      </c>
      <c r="Y461" s="2" t="b">
        <f t="shared" si="100"/>
        <v>0</v>
      </c>
      <c r="Z461" s="2" t="b">
        <f t="shared" si="101"/>
        <v>0</v>
      </c>
      <c r="AE461" s="46">
        <f t="shared" si="94"/>
        <v>4542</v>
      </c>
      <c r="AF461" s="46">
        <f t="shared" si="95"/>
        <v>4551</v>
      </c>
      <c r="AG461" s="33" t="e">
        <f>IFERROR(AVERAGEIFS(data_brute!M:M,data_brute!J:J,"&gt;="&amp;AE461,data_brute!J:J,"&lt;="&amp;AF461),NA())</f>
        <v>#N/A</v>
      </c>
      <c r="AH461" s="46" t="e">
        <f t="shared" si="96"/>
        <v>#N/A</v>
      </c>
      <c r="AJ461" s="46">
        <f t="shared" si="102"/>
        <v>4542</v>
      </c>
      <c r="AK461" s="46">
        <f t="shared" si="103"/>
        <v>4551</v>
      </c>
      <c r="AL461" s="33">
        <f ca="1">IFERROR(AVERAGEIFS(data_brute!M:M,data_brute!J:J,"&lt;="&amp;AK461),NA())</f>
        <v>25.353524229074896</v>
      </c>
      <c r="AM461" s="46">
        <f t="shared" ca="1" si="104"/>
        <v>4550</v>
      </c>
      <c r="AN461" s="46" t="b">
        <f t="shared" si="105"/>
        <v>0</v>
      </c>
      <c r="AO461" s="50" t="b">
        <f t="shared" si="106"/>
        <v>0</v>
      </c>
    </row>
    <row r="462" spans="21:41" x14ac:dyDescent="0.2">
      <c r="U462" s="46">
        <f t="shared" si="97"/>
        <v>4552</v>
      </c>
      <c r="V462" s="46">
        <f t="shared" si="98"/>
        <v>4561</v>
      </c>
      <c r="W462" s="33" t="e">
        <f>IFERROR(AVERAGEIFS(data_brute!M:M,data_brute!J:J,"&lt;="&amp;V462,data_brute!J:J,"&gt;="&amp;U462),NA())</f>
        <v>#N/A</v>
      </c>
      <c r="X462" s="46" t="e">
        <f t="shared" si="99"/>
        <v>#N/A</v>
      </c>
      <c r="Y462" s="2" t="b">
        <f t="shared" si="100"/>
        <v>0</v>
      </c>
      <c r="Z462" s="2" t="b">
        <f t="shared" si="101"/>
        <v>0</v>
      </c>
      <c r="AE462" s="46">
        <f t="shared" si="94"/>
        <v>4552</v>
      </c>
      <c r="AF462" s="46">
        <f t="shared" si="95"/>
        <v>4561</v>
      </c>
      <c r="AG462" s="33" t="e">
        <f>IFERROR(AVERAGEIFS(data_brute!M:M,data_brute!J:J,"&gt;="&amp;AE462,data_brute!J:J,"&lt;="&amp;AF462),NA())</f>
        <v>#N/A</v>
      </c>
      <c r="AH462" s="46" t="e">
        <f t="shared" si="96"/>
        <v>#N/A</v>
      </c>
      <c r="AJ462" s="46">
        <f t="shared" si="102"/>
        <v>4552</v>
      </c>
      <c r="AK462" s="46">
        <f t="shared" si="103"/>
        <v>4561</v>
      </c>
      <c r="AL462" s="33">
        <f ca="1">IFERROR(AVERAGEIFS(data_brute!M:M,data_brute!J:J,"&lt;="&amp;AK462),NA())</f>
        <v>25.353524229074896</v>
      </c>
      <c r="AM462" s="46">
        <f t="shared" ca="1" si="104"/>
        <v>4560</v>
      </c>
      <c r="AN462" s="46" t="b">
        <f t="shared" si="105"/>
        <v>0</v>
      </c>
      <c r="AO462" s="50" t="b">
        <f t="shared" si="106"/>
        <v>0</v>
      </c>
    </row>
    <row r="463" spans="21:41" x14ac:dyDescent="0.2">
      <c r="U463" s="46">
        <f t="shared" si="97"/>
        <v>4562</v>
      </c>
      <c r="V463" s="46">
        <f t="shared" si="98"/>
        <v>4571</v>
      </c>
      <c r="W463" s="33" t="e">
        <f>IFERROR(AVERAGEIFS(data_brute!M:M,data_brute!J:J,"&lt;="&amp;V463,data_brute!J:J,"&gt;="&amp;U463),NA())</f>
        <v>#N/A</v>
      </c>
      <c r="X463" s="46" t="e">
        <f t="shared" si="99"/>
        <v>#N/A</v>
      </c>
      <c r="Y463" s="2" t="b">
        <f t="shared" si="100"/>
        <v>0</v>
      </c>
      <c r="Z463" s="2" t="b">
        <f t="shared" si="101"/>
        <v>0</v>
      </c>
      <c r="AE463" s="46">
        <f t="shared" si="94"/>
        <v>4562</v>
      </c>
      <c r="AF463" s="46">
        <f t="shared" si="95"/>
        <v>4571</v>
      </c>
      <c r="AG463" s="33" t="e">
        <f>IFERROR(AVERAGEIFS(data_brute!M:M,data_brute!J:J,"&gt;="&amp;AE463,data_brute!J:J,"&lt;="&amp;AF463),NA())</f>
        <v>#N/A</v>
      </c>
      <c r="AH463" s="46" t="e">
        <f t="shared" si="96"/>
        <v>#N/A</v>
      </c>
      <c r="AJ463" s="46">
        <f t="shared" si="102"/>
        <v>4562</v>
      </c>
      <c r="AK463" s="46">
        <f t="shared" si="103"/>
        <v>4571</v>
      </c>
      <c r="AL463" s="33">
        <f ca="1">IFERROR(AVERAGEIFS(data_brute!M:M,data_brute!J:J,"&lt;="&amp;AK463),NA())</f>
        <v>25.353524229074896</v>
      </c>
      <c r="AM463" s="46">
        <f t="shared" ca="1" si="104"/>
        <v>4570</v>
      </c>
      <c r="AN463" s="46" t="b">
        <f t="shared" si="105"/>
        <v>0</v>
      </c>
      <c r="AO463" s="50" t="b">
        <f t="shared" si="106"/>
        <v>0</v>
      </c>
    </row>
    <row r="464" spans="21:41" x14ac:dyDescent="0.2">
      <c r="U464" s="46">
        <f t="shared" si="97"/>
        <v>4572</v>
      </c>
      <c r="V464" s="46">
        <f t="shared" si="98"/>
        <v>4581</v>
      </c>
      <c r="W464" s="33" t="e">
        <f>IFERROR(AVERAGEIFS(data_brute!M:M,data_brute!J:J,"&lt;="&amp;V464,data_brute!J:J,"&gt;="&amp;U464),NA())</f>
        <v>#N/A</v>
      </c>
      <c r="X464" s="46" t="e">
        <f t="shared" si="99"/>
        <v>#N/A</v>
      </c>
      <c r="Y464" s="2" t="b">
        <f t="shared" si="100"/>
        <v>0</v>
      </c>
      <c r="Z464" s="2" t="b">
        <f t="shared" si="101"/>
        <v>0</v>
      </c>
      <c r="AE464" s="46">
        <f t="shared" si="94"/>
        <v>4572</v>
      </c>
      <c r="AF464" s="46">
        <f t="shared" si="95"/>
        <v>4581</v>
      </c>
      <c r="AG464" s="33" t="e">
        <f>IFERROR(AVERAGEIFS(data_brute!M:M,data_brute!J:J,"&gt;="&amp;AE464,data_brute!J:J,"&lt;="&amp;AF464),NA())</f>
        <v>#N/A</v>
      </c>
      <c r="AH464" s="46" t="e">
        <f t="shared" si="96"/>
        <v>#N/A</v>
      </c>
      <c r="AJ464" s="46">
        <f t="shared" si="102"/>
        <v>4572</v>
      </c>
      <c r="AK464" s="46">
        <f t="shared" si="103"/>
        <v>4581</v>
      </c>
      <c r="AL464" s="33">
        <f ca="1">IFERROR(AVERAGEIFS(data_brute!M:M,data_brute!J:J,"&lt;="&amp;AK464),NA())</f>
        <v>25.353524229074896</v>
      </c>
      <c r="AM464" s="46">
        <f t="shared" ca="1" si="104"/>
        <v>4580</v>
      </c>
      <c r="AN464" s="46" t="b">
        <f t="shared" si="105"/>
        <v>0</v>
      </c>
      <c r="AO464" s="50" t="b">
        <f t="shared" si="106"/>
        <v>0</v>
      </c>
    </row>
    <row r="465" spans="21:41" x14ac:dyDescent="0.2">
      <c r="U465" s="46">
        <f t="shared" si="97"/>
        <v>4582</v>
      </c>
      <c r="V465" s="46">
        <f t="shared" si="98"/>
        <v>4591</v>
      </c>
      <c r="W465" s="33" t="e">
        <f>IFERROR(AVERAGEIFS(data_brute!M:M,data_brute!J:J,"&lt;="&amp;V465,data_brute!J:J,"&gt;="&amp;U465),NA())</f>
        <v>#N/A</v>
      </c>
      <c r="X465" s="46" t="e">
        <f t="shared" si="99"/>
        <v>#N/A</v>
      </c>
      <c r="Y465" s="2" t="b">
        <f t="shared" si="100"/>
        <v>0</v>
      </c>
      <c r="Z465" s="2" t="b">
        <f t="shared" si="101"/>
        <v>0</v>
      </c>
      <c r="AE465" s="46">
        <f t="shared" si="94"/>
        <v>4582</v>
      </c>
      <c r="AF465" s="46">
        <f t="shared" si="95"/>
        <v>4591</v>
      </c>
      <c r="AG465" s="33" t="e">
        <f>IFERROR(AVERAGEIFS(data_brute!M:M,data_brute!J:J,"&gt;="&amp;AE465,data_brute!J:J,"&lt;="&amp;AF465),NA())</f>
        <v>#N/A</v>
      </c>
      <c r="AH465" s="46" t="e">
        <f t="shared" si="96"/>
        <v>#N/A</v>
      </c>
      <c r="AJ465" s="46">
        <f t="shared" si="102"/>
        <v>4582</v>
      </c>
      <c r="AK465" s="46">
        <f t="shared" si="103"/>
        <v>4591</v>
      </c>
      <c r="AL465" s="33">
        <f ca="1">IFERROR(AVERAGEIFS(data_brute!M:M,data_brute!J:J,"&lt;="&amp;AK465),NA())</f>
        <v>25.353524229074896</v>
      </c>
      <c r="AM465" s="46">
        <f t="shared" ca="1" si="104"/>
        <v>4590</v>
      </c>
      <c r="AN465" s="46" t="b">
        <f t="shared" si="105"/>
        <v>0</v>
      </c>
      <c r="AO465" s="50" t="b">
        <f t="shared" si="106"/>
        <v>0</v>
      </c>
    </row>
    <row r="466" spans="21:41" x14ac:dyDescent="0.2">
      <c r="U466" s="46">
        <f t="shared" si="97"/>
        <v>4592</v>
      </c>
      <c r="V466" s="46">
        <f t="shared" si="98"/>
        <v>4601</v>
      </c>
      <c r="W466" s="33" t="e">
        <f>IFERROR(AVERAGEIFS(data_brute!M:M,data_brute!J:J,"&lt;="&amp;V466,data_brute!J:J,"&gt;="&amp;U466),NA())</f>
        <v>#N/A</v>
      </c>
      <c r="X466" s="46" t="e">
        <f t="shared" si="99"/>
        <v>#N/A</v>
      </c>
      <c r="Y466" s="2" t="b">
        <f t="shared" si="100"/>
        <v>0</v>
      </c>
      <c r="Z466" s="2" t="b">
        <f t="shared" si="101"/>
        <v>0</v>
      </c>
      <c r="AE466" s="46">
        <f t="shared" si="94"/>
        <v>4592</v>
      </c>
      <c r="AF466" s="46">
        <f t="shared" si="95"/>
        <v>4601</v>
      </c>
      <c r="AG466" s="33" t="e">
        <f>IFERROR(AVERAGEIFS(data_brute!M:M,data_brute!J:J,"&gt;="&amp;AE466,data_brute!J:J,"&lt;="&amp;AF466),NA())</f>
        <v>#N/A</v>
      </c>
      <c r="AH466" s="46" t="e">
        <f t="shared" si="96"/>
        <v>#N/A</v>
      </c>
      <c r="AJ466" s="46">
        <f t="shared" si="102"/>
        <v>4592</v>
      </c>
      <c r="AK466" s="46">
        <f t="shared" si="103"/>
        <v>4601</v>
      </c>
      <c r="AL466" s="33">
        <f ca="1">IFERROR(AVERAGEIFS(data_brute!M:M,data_brute!J:J,"&lt;="&amp;AK466),NA())</f>
        <v>25.353524229074896</v>
      </c>
      <c r="AM466" s="46">
        <f t="shared" ca="1" si="104"/>
        <v>4600</v>
      </c>
      <c r="AN466" s="46" t="b">
        <f t="shared" si="105"/>
        <v>0</v>
      </c>
      <c r="AO466" s="50" t="b">
        <f t="shared" si="106"/>
        <v>0</v>
      </c>
    </row>
    <row r="467" spans="21:41" x14ac:dyDescent="0.2">
      <c r="U467" s="46">
        <f t="shared" si="97"/>
        <v>4602</v>
      </c>
      <c r="V467" s="46">
        <f t="shared" si="98"/>
        <v>4611</v>
      </c>
      <c r="W467" s="33" t="e">
        <f>IFERROR(AVERAGEIFS(data_brute!M:M,data_brute!J:J,"&lt;="&amp;V467,data_brute!J:J,"&gt;="&amp;U467),NA())</f>
        <v>#N/A</v>
      </c>
      <c r="X467" s="46" t="e">
        <f t="shared" si="99"/>
        <v>#N/A</v>
      </c>
      <c r="Y467" s="2" t="b">
        <f t="shared" si="100"/>
        <v>0</v>
      </c>
      <c r="Z467" s="2" t="b">
        <f t="shared" si="101"/>
        <v>0</v>
      </c>
      <c r="AE467" s="46">
        <f t="shared" si="94"/>
        <v>4602</v>
      </c>
      <c r="AF467" s="46">
        <f t="shared" si="95"/>
        <v>4611</v>
      </c>
      <c r="AG467" s="33" t="e">
        <f>IFERROR(AVERAGEIFS(data_brute!M:M,data_brute!J:J,"&gt;="&amp;AE467,data_brute!J:J,"&lt;="&amp;AF467),NA())</f>
        <v>#N/A</v>
      </c>
      <c r="AH467" s="46" t="e">
        <f t="shared" si="96"/>
        <v>#N/A</v>
      </c>
      <c r="AJ467" s="46">
        <f t="shared" si="102"/>
        <v>4602</v>
      </c>
      <c r="AK467" s="46">
        <f t="shared" si="103"/>
        <v>4611</v>
      </c>
      <c r="AL467" s="33">
        <f ca="1">IFERROR(AVERAGEIFS(data_brute!M:M,data_brute!J:J,"&lt;="&amp;AK467),NA())</f>
        <v>25.353524229074896</v>
      </c>
      <c r="AM467" s="46">
        <f t="shared" ca="1" si="104"/>
        <v>4610</v>
      </c>
      <c r="AN467" s="46" t="b">
        <f t="shared" si="105"/>
        <v>0</v>
      </c>
      <c r="AO467" s="50" t="b">
        <f t="shared" si="106"/>
        <v>0</v>
      </c>
    </row>
    <row r="468" spans="21:41" x14ac:dyDescent="0.2">
      <c r="U468" s="46">
        <f t="shared" si="97"/>
        <v>4612</v>
      </c>
      <c r="V468" s="46">
        <f t="shared" si="98"/>
        <v>4621</v>
      </c>
      <c r="W468" s="33" t="e">
        <f>IFERROR(AVERAGEIFS(data_brute!M:M,data_brute!J:J,"&lt;="&amp;V468,data_brute!J:J,"&gt;="&amp;U468),NA())</f>
        <v>#N/A</v>
      </c>
      <c r="X468" s="46" t="e">
        <f t="shared" si="99"/>
        <v>#N/A</v>
      </c>
      <c r="Y468" s="2" t="b">
        <f t="shared" si="100"/>
        <v>0</v>
      </c>
      <c r="Z468" s="2" t="b">
        <f t="shared" si="101"/>
        <v>0</v>
      </c>
      <c r="AE468" s="46">
        <f t="shared" si="94"/>
        <v>4612</v>
      </c>
      <c r="AF468" s="46">
        <f t="shared" si="95"/>
        <v>4621</v>
      </c>
      <c r="AG468" s="33" t="e">
        <f>IFERROR(AVERAGEIFS(data_brute!M:M,data_brute!J:J,"&gt;="&amp;AE468,data_brute!J:J,"&lt;="&amp;AF468),NA())</f>
        <v>#N/A</v>
      </c>
      <c r="AH468" s="46" t="e">
        <f t="shared" si="96"/>
        <v>#N/A</v>
      </c>
      <c r="AJ468" s="46">
        <f t="shared" si="102"/>
        <v>4612</v>
      </c>
      <c r="AK468" s="46">
        <f t="shared" si="103"/>
        <v>4621</v>
      </c>
      <c r="AL468" s="33">
        <f ca="1">IFERROR(AVERAGEIFS(data_brute!M:M,data_brute!J:J,"&lt;="&amp;AK468),NA())</f>
        <v>25.353524229074896</v>
      </c>
      <c r="AM468" s="46">
        <f t="shared" ca="1" si="104"/>
        <v>4620</v>
      </c>
      <c r="AN468" s="46" t="b">
        <f t="shared" si="105"/>
        <v>0</v>
      </c>
      <c r="AO468" s="50" t="b">
        <f t="shared" si="106"/>
        <v>0</v>
      </c>
    </row>
    <row r="469" spans="21:41" x14ac:dyDescent="0.2">
      <c r="U469" s="46">
        <f t="shared" si="97"/>
        <v>4622</v>
      </c>
      <c r="V469" s="46">
        <f t="shared" si="98"/>
        <v>4631</v>
      </c>
      <c r="W469" s="33" t="e">
        <f>IFERROR(AVERAGEIFS(data_brute!M:M,data_brute!J:J,"&lt;="&amp;V469,data_brute!J:J,"&gt;="&amp;U469),NA())</f>
        <v>#N/A</v>
      </c>
      <c r="X469" s="46" t="e">
        <f t="shared" si="99"/>
        <v>#N/A</v>
      </c>
      <c r="Y469" s="2" t="b">
        <f t="shared" si="100"/>
        <v>0</v>
      </c>
      <c r="Z469" s="2" t="b">
        <f t="shared" si="101"/>
        <v>0</v>
      </c>
      <c r="AE469" s="46">
        <f t="shared" si="94"/>
        <v>4622</v>
      </c>
      <c r="AF469" s="46">
        <f t="shared" si="95"/>
        <v>4631</v>
      </c>
      <c r="AG469" s="33" t="e">
        <f>IFERROR(AVERAGEIFS(data_brute!M:M,data_brute!J:J,"&gt;="&amp;AE469,data_brute!J:J,"&lt;="&amp;AF469),NA())</f>
        <v>#N/A</v>
      </c>
      <c r="AH469" s="46" t="e">
        <f t="shared" si="96"/>
        <v>#N/A</v>
      </c>
      <c r="AJ469" s="46">
        <f t="shared" si="102"/>
        <v>4622</v>
      </c>
      <c r="AK469" s="46">
        <f t="shared" si="103"/>
        <v>4631</v>
      </c>
      <c r="AL469" s="33">
        <f ca="1">IFERROR(AVERAGEIFS(data_brute!M:M,data_brute!J:J,"&lt;="&amp;AK469),NA())</f>
        <v>25.353524229074896</v>
      </c>
      <c r="AM469" s="46">
        <f t="shared" ca="1" si="104"/>
        <v>4630</v>
      </c>
      <c r="AN469" s="46" t="b">
        <f t="shared" si="105"/>
        <v>0</v>
      </c>
      <c r="AO469" s="50" t="b">
        <f t="shared" si="106"/>
        <v>0</v>
      </c>
    </row>
    <row r="470" spans="21:41" x14ac:dyDescent="0.2">
      <c r="U470" s="46">
        <f t="shared" si="97"/>
        <v>4632</v>
      </c>
      <c r="V470" s="46">
        <f t="shared" si="98"/>
        <v>4641</v>
      </c>
      <c r="W470" s="33" t="e">
        <f>IFERROR(AVERAGEIFS(data_brute!M:M,data_brute!J:J,"&lt;="&amp;V470,data_brute!J:J,"&gt;="&amp;U470),NA())</f>
        <v>#N/A</v>
      </c>
      <c r="X470" s="46" t="e">
        <f t="shared" si="99"/>
        <v>#N/A</v>
      </c>
      <c r="Y470" s="2" t="b">
        <f t="shared" si="100"/>
        <v>0</v>
      </c>
      <c r="Z470" s="2" t="b">
        <f t="shared" si="101"/>
        <v>0</v>
      </c>
      <c r="AE470" s="46">
        <f t="shared" si="94"/>
        <v>4632</v>
      </c>
      <c r="AF470" s="46">
        <f t="shared" si="95"/>
        <v>4641</v>
      </c>
      <c r="AG470" s="33" t="e">
        <f>IFERROR(AVERAGEIFS(data_brute!M:M,data_brute!J:J,"&gt;="&amp;AE470,data_brute!J:J,"&lt;="&amp;AF470),NA())</f>
        <v>#N/A</v>
      </c>
      <c r="AH470" s="46" t="e">
        <f t="shared" si="96"/>
        <v>#N/A</v>
      </c>
      <c r="AJ470" s="46">
        <f t="shared" si="102"/>
        <v>4632</v>
      </c>
      <c r="AK470" s="46">
        <f t="shared" si="103"/>
        <v>4641</v>
      </c>
      <c r="AL470" s="33">
        <f ca="1">IFERROR(AVERAGEIFS(data_brute!M:M,data_brute!J:J,"&lt;="&amp;AK470),NA())</f>
        <v>25.353524229074896</v>
      </c>
      <c r="AM470" s="46">
        <f t="shared" ca="1" si="104"/>
        <v>4640</v>
      </c>
      <c r="AN470" s="46" t="b">
        <f t="shared" si="105"/>
        <v>0</v>
      </c>
      <c r="AO470" s="50" t="b">
        <f t="shared" si="106"/>
        <v>0</v>
      </c>
    </row>
    <row r="471" spans="21:41" x14ac:dyDescent="0.2">
      <c r="U471" s="46">
        <f t="shared" si="97"/>
        <v>4642</v>
      </c>
      <c r="V471" s="46">
        <f t="shared" si="98"/>
        <v>4651</v>
      </c>
      <c r="W471" s="33" t="e">
        <f>IFERROR(AVERAGEIFS(data_brute!M:M,data_brute!J:J,"&lt;="&amp;V471,data_brute!J:J,"&gt;="&amp;U471),NA())</f>
        <v>#N/A</v>
      </c>
      <c r="X471" s="46" t="e">
        <f t="shared" si="99"/>
        <v>#N/A</v>
      </c>
      <c r="Y471" s="2" t="b">
        <f t="shared" si="100"/>
        <v>0</v>
      </c>
      <c r="Z471" s="2" t="b">
        <f t="shared" si="101"/>
        <v>0</v>
      </c>
      <c r="AE471" s="46">
        <f t="shared" si="94"/>
        <v>4642</v>
      </c>
      <c r="AF471" s="46">
        <f t="shared" si="95"/>
        <v>4651</v>
      </c>
      <c r="AG471" s="33" t="e">
        <f>IFERROR(AVERAGEIFS(data_brute!M:M,data_brute!J:J,"&gt;="&amp;AE471,data_brute!J:J,"&lt;="&amp;AF471),NA())</f>
        <v>#N/A</v>
      </c>
      <c r="AH471" s="46" t="e">
        <f t="shared" si="96"/>
        <v>#N/A</v>
      </c>
      <c r="AJ471" s="46">
        <f t="shared" si="102"/>
        <v>4642</v>
      </c>
      <c r="AK471" s="46">
        <f t="shared" si="103"/>
        <v>4651</v>
      </c>
      <c r="AL471" s="33">
        <f ca="1">IFERROR(AVERAGEIFS(data_brute!M:M,data_brute!J:J,"&lt;="&amp;AK471),NA())</f>
        <v>25.353524229074896</v>
      </c>
      <c r="AM471" s="46">
        <f t="shared" ca="1" si="104"/>
        <v>4650</v>
      </c>
      <c r="AN471" s="46" t="b">
        <f t="shared" si="105"/>
        <v>0</v>
      </c>
      <c r="AO471" s="50" t="b">
        <f t="shared" si="106"/>
        <v>0</v>
      </c>
    </row>
    <row r="472" spans="21:41" x14ac:dyDescent="0.2">
      <c r="U472" s="46">
        <f t="shared" si="97"/>
        <v>4652</v>
      </c>
      <c r="V472" s="46">
        <f t="shared" si="98"/>
        <v>4661</v>
      </c>
      <c r="W472" s="33" t="e">
        <f>IFERROR(AVERAGEIFS(data_brute!M:M,data_brute!J:J,"&lt;="&amp;V472,data_brute!J:J,"&gt;="&amp;U472),NA())</f>
        <v>#N/A</v>
      </c>
      <c r="X472" s="46" t="e">
        <f t="shared" si="99"/>
        <v>#N/A</v>
      </c>
      <c r="Y472" s="2" t="b">
        <f t="shared" si="100"/>
        <v>0</v>
      </c>
      <c r="Z472" s="2" t="b">
        <f t="shared" si="101"/>
        <v>0</v>
      </c>
      <c r="AE472" s="46">
        <f t="shared" ref="AE472:AE535" si="107">AF471+1</f>
        <v>4652</v>
      </c>
      <c r="AF472" s="46">
        <f t="shared" ref="AF472:AF535" si="108">AE472+$AG$2-1</f>
        <v>4661</v>
      </c>
      <c r="AG472" s="33" t="e">
        <f>IFERROR(AVERAGEIFS(data_brute!M:M,data_brute!J:J,"&gt;="&amp;AE472,data_brute!J:J,"&lt;="&amp;AF472),NA())</f>
        <v>#N/A</v>
      </c>
      <c r="AH472" s="46" t="e">
        <f t="shared" ref="AH472:AH535" si="109">IF(AG472&lt;&gt;"",$AG$2*(ROW()-ROW($AH$6)),NA())</f>
        <v>#N/A</v>
      </c>
      <c r="AJ472" s="46">
        <f t="shared" si="102"/>
        <v>4652</v>
      </c>
      <c r="AK472" s="46">
        <f t="shared" si="103"/>
        <v>4661</v>
      </c>
      <c r="AL472" s="33">
        <f ca="1">IFERROR(AVERAGEIFS(data_brute!M:M,data_brute!J:J,"&lt;="&amp;AK472),NA())</f>
        <v>25.353524229074896</v>
      </c>
      <c r="AM472" s="46">
        <f t="shared" ca="1" si="104"/>
        <v>4660</v>
      </c>
      <c r="AN472" s="46" t="b">
        <f t="shared" si="105"/>
        <v>0</v>
      </c>
      <c r="AO472" s="50" t="b">
        <f t="shared" si="106"/>
        <v>0</v>
      </c>
    </row>
    <row r="473" spans="21:41" x14ac:dyDescent="0.2">
      <c r="U473" s="46">
        <f t="shared" si="97"/>
        <v>4662</v>
      </c>
      <c r="V473" s="46">
        <f t="shared" si="98"/>
        <v>4671</v>
      </c>
      <c r="W473" s="33" t="e">
        <f>IFERROR(AVERAGEIFS(data_brute!M:M,data_brute!J:J,"&lt;="&amp;V473,data_brute!J:J,"&gt;="&amp;U473),NA())</f>
        <v>#N/A</v>
      </c>
      <c r="X473" s="46" t="e">
        <f t="shared" si="99"/>
        <v>#N/A</v>
      </c>
      <c r="Y473" s="2" t="b">
        <f t="shared" si="100"/>
        <v>0</v>
      </c>
      <c r="Z473" s="2" t="b">
        <f t="shared" si="101"/>
        <v>0</v>
      </c>
      <c r="AE473" s="46">
        <f t="shared" si="107"/>
        <v>4662</v>
      </c>
      <c r="AF473" s="46">
        <f t="shared" si="108"/>
        <v>4671</v>
      </c>
      <c r="AG473" s="33" t="e">
        <f>IFERROR(AVERAGEIFS(data_brute!M:M,data_brute!J:J,"&gt;="&amp;AE473,data_brute!J:J,"&lt;="&amp;AF473),NA())</f>
        <v>#N/A</v>
      </c>
      <c r="AH473" s="46" t="e">
        <f t="shared" si="109"/>
        <v>#N/A</v>
      </c>
      <c r="AJ473" s="46">
        <f t="shared" si="102"/>
        <v>4662</v>
      </c>
      <c r="AK473" s="46">
        <f t="shared" si="103"/>
        <v>4671</v>
      </c>
      <c r="AL473" s="33">
        <f ca="1">IFERROR(AVERAGEIFS(data_brute!M:M,data_brute!J:J,"&lt;="&amp;AK473),NA())</f>
        <v>25.353524229074896</v>
      </c>
      <c r="AM473" s="46">
        <f t="shared" ca="1" si="104"/>
        <v>4670</v>
      </c>
      <c r="AN473" s="46" t="b">
        <f t="shared" si="105"/>
        <v>0</v>
      </c>
      <c r="AO473" s="50" t="b">
        <f t="shared" si="106"/>
        <v>0</v>
      </c>
    </row>
    <row r="474" spans="21:41" x14ac:dyDescent="0.2">
      <c r="U474" s="46">
        <f t="shared" si="97"/>
        <v>4672</v>
      </c>
      <c r="V474" s="46">
        <f t="shared" si="98"/>
        <v>4681</v>
      </c>
      <c r="W474" s="33" t="e">
        <f>IFERROR(AVERAGEIFS(data_brute!M:M,data_brute!J:J,"&lt;="&amp;V474,data_brute!J:J,"&gt;="&amp;U474),NA())</f>
        <v>#N/A</v>
      </c>
      <c r="X474" s="46" t="e">
        <f t="shared" si="99"/>
        <v>#N/A</v>
      </c>
      <c r="Y474" s="2" t="b">
        <f t="shared" si="100"/>
        <v>0</v>
      </c>
      <c r="Z474" s="2" t="b">
        <f t="shared" si="101"/>
        <v>0</v>
      </c>
      <c r="AE474" s="46">
        <f t="shared" si="107"/>
        <v>4672</v>
      </c>
      <c r="AF474" s="46">
        <f t="shared" si="108"/>
        <v>4681</v>
      </c>
      <c r="AG474" s="33" t="e">
        <f>IFERROR(AVERAGEIFS(data_brute!M:M,data_brute!J:J,"&gt;="&amp;AE474,data_brute!J:J,"&lt;="&amp;AF474),NA())</f>
        <v>#N/A</v>
      </c>
      <c r="AH474" s="46" t="e">
        <f t="shared" si="109"/>
        <v>#N/A</v>
      </c>
      <c r="AJ474" s="46">
        <f t="shared" si="102"/>
        <v>4672</v>
      </c>
      <c r="AK474" s="46">
        <f t="shared" si="103"/>
        <v>4681</v>
      </c>
      <c r="AL474" s="33">
        <f ca="1">IFERROR(AVERAGEIFS(data_brute!M:M,data_brute!J:J,"&lt;="&amp;AK474),NA())</f>
        <v>25.353524229074896</v>
      </c>
      <c r="AM474" s="46">
        <f t="shared" ca="1" si="104"/>
        <v>4680</v>
      </c>
      <c r="AN474" s="46" t="b">
        <f t="shared" si="105"/>
        <v>0</v>
      </c>
      <c r="AO474" s="50" t="b">
        <f t="shared" si="106"/>
        <v>0</v>
      </c>
    </row>
    <row r="475" spans="21:41" x14ac:dyDescent="0.2">
      <c r="U475" s="46">
        <f t="shared" si="97"/>
        <v>4682</v>
      </c>
      <c r="V475" s="46">
        <f t="shared" si="98"/>
        <v>4691</v>
      </c>
      <c r="W475" s="33" t="e">
        <f>IFERROR(AVERAGEIFS(data_brute!M:M,data_brute!J:J,"&lt;="&amp;V475,data_brute!J:J,"&gt;="&amp;U475),NA())</f>
        <v>#N/A</v>
      </c>
      <c r="X475" s="46" t="e">
        <f t="shared" si="99"/>
        <v>#N/A</v>
      </c>
      <c r="Y475" s="2" t="b">
        <f t="shared" si="100"/>
        <v>0</v>
      </c>
      <c r="Z475" s="2" t="b">
        <f t="shared" si="101"/>
        <v>0</v>
      </c>
      <c r="AE475" s="46">
        <f t="shared" si="107"/>
        <v>4682</v>
      </c>
      <c r="AF475" s="46">
        <f t="shared" si="108"/>
        <v>4691</v>
      </c>
      <c r="AG475" s="33" t="e">
        <f>IFERROR(AVERAGEIFS(data_brute!M:M,data_brute!J:J,"&gt;="&amp;AE475,data_brute!J:J,"&lt;="&amp;AF475),NA())</f>
        <v>#N/A</v>
      </c>
      <c r="AH475" s="46" t="e">
        <f t="shared" si="109"/>
        <v>#N/A</v>
      </c>
      <c r="AJ475" s="46">
        <f t="shared" si="102"/>
        <v>4682</v>
      </c>
      <c r="AK475" s="46">
        <f t="shared" si="103"/>
        <v>4691</v>
      </c>
      <c r="AL475" s="33">
        <f ca="1">IFERROR(AVERAGEIFS(data_brute!M:M,data_brute!J:J,"&lt;="&amp;AK475),NA())</f>
        <v>25.353524229074896</v>
      </c>
      <c r="AM475" s="46">
        <f t="shared" ca="1" si="104"/>
        <v>4690</v>
      </c>
      <c r="AN475" s="46" t="b">
        <f t="shared" si="105"/>
        <v>0</v>
      </c>
      <c r="AO475" s="50" t="b">
        <f t="shared" si="106"/>
        <v>0</v>
      </c>
    </row>
    <row r="476" spans="21:41" x14ac:dyDescent="0.2">
      <c r="U476" s="46">
        <f t="shared" si="97"/>
        <v>4692</v>
      </c>
      <c r="V476" s="46">
        <f t="shared" si="98"/>
        <v>4701</v>
      </c>
      <c r="W476" s="33" t="e">
        <f>IFERROR(AVERAGEIFS(data_brute!M:M,data_brute!J:J,"&lt;="&amp;V476,data_brute!J:J,"&gt;="&amp;U476),NA())</f>
        <v>#N/A</v>
      </c>
      <c r="X476" s="46" t="e">
        <f t="shared" si="99"/>
        <v>#N/A</v>
      </c>
      <c r="Y476" s="2" t="b">
        <f t="shared" si="100"/>
        <v>0</v>
      </c>
      <c r="Z476" s="2" t="b">
        <f t="shared" si="101"/>
        <v>0</v>
      </c>
      <c r="AE476" s="46">
        <f t="shared" si="107"/>
        <v>4692</v>
      </c>
      <c r="AF476" s="46">
        <f t="shared" si="108"/>
        <v>4701</v>
      </c>
      <c r="AG476" s="33" t="e">
        <f>IFERROR(AVERAGEIFS(data_brute!M:M,data_brute!J:J,"&gt;="&amp;AE476,data_brute!J:J,"&lt;="&amp;AF476),NA())</f>
        <v>#N/A</v>
      </c>
      <c r="AH476" s="46" t="e">
        <f t="shared" si="109"/>
        <v>#N/A</v>
      </c>
      <c r="AJ476" s="46">
        <f t="shared" si="102"/>
        <v>4692</v>
      </c>
      <c r="AK476" s="46">
        <f t="shared" si="103"/>
        <v>4701</v>
      </c>
      <c r="AL476" s="33">
        <f ca="1">IFERROR(AVERAGEIFS(data_brute!M:M,data_brute!J:J,"&lt;="&amp;AK476),NA())</f>
        <v>25.353524229074896</v>
      </c>
      <c r="AM476" s="46">
        <f t="shared" ca="1" si="104"/>
        <v>4700</v>
      </c>
      <c r="AN476" s="46" t="b">
        <f t="shared" si="105"/>
        <v>0</v>
      </c>
      <c r="AO476" s="50" t="b">
        <f t="shared" si="106"/>
        <v>0</v>
      </c>
    </row>
    <row r="477" spans="21:41" x14ac:dyDescent="0.2">
      <c r="U477" s="46">
        <f t="shared" si="97"/>
        <v>4702</v>
      </c>
      <c r="V477" s="46">
        <f t="shared" si="98"/>
        <v>4711</v>
      </c>
      <c r="W477" s="33" t="e">
        <f>IFERROR(AVERAGEIFS(data_brute!M:M,data_brute!J:J,"&lt;="&amp;V477,data_brute!J:J,"&gt;="&amp;U477),NA())</f>
        <v>#N/A</v>
      </c>
      <c r="X477" s="46" t="e">
        <f t="shared" si="99"/>
        <v>#N/A</v>
      </c>
      <c r="Y477" s="2" t="b">
        <f t="shared" si="100"/>
        <v>0</v>
      </c>
      <c r="Z477" s="2" t="b">
        <f t="shared" si="101"/>
        <v>0</v>
      </c>
      <c r="AE477" s="46">
        <f t="shared" si="107"/>
        <v>4702</v>
      </c>
      <c r="AF477" s="46">
        <f t="shared" si="108"/>
        <v>4711</v>
      </c>
      <c r="AG477" s="33" t="e">
        <f>IFERROR(AVERAGEIFS(data_brute!M:M,data_brute!J:J,"&gt;="&amp;AE477,data_brute!J:J,"&lt;="&amp;AF477),NA())</f>
        <v>#N/A</v>
      </c>
      <c r="AH477" s="46" t="e">
        <f t="shared" si="109"/>
        <v>#N/A</v>
      </c>
      <c r="AJ477" s="46">
        <f t="shared" si="102"/>
        <v>4702</v>
      </c>
      <c r="AK477" s="46">
        <f t="shared" si="103"/>
        <v>4711</v>
      </c>
      <c r="AL477" s="33">
        <f ca="1">IFERROR(AVERAGEIFS(data_brute!M:M,data_brute!J:J,"&lt;="&amp;AK477),NA())</f>
        <v>25.353524229074896</v>
      </c>
      <c r="AM477" s="46">
        <f t="shared" ca="1" si="104"/>
        <v>4710</v>
      </c>
      <c r="AN477" s="46" t="b">
        <f t="shared" si="105"/>
        <v>0</v>
      </c>
      <c r="AO477" s="50" t="b">
        <f t="shared" si="106"/>
        <v>0</v>
      </c>
    </row>
    <row r="478" spans="21:41" x14ac:dyDescent="0.2">
      <c r="U478" s="46">
        <f t="shared" si="97"/>
        <v>4712</v>
      </c>
      <c r="V478" s="46">
        <f t="shared" si="98"/>
        <v>4721</v>
      </c>
      <c r="W478" s="33" t="e">
        <f>IFERROR(AVERAGEIFS(data_brute!M:M,data_brute!J:J,"&lt;="&amp;V478,data_brute!J:J,"&gt;="&amp;U478),NA())</f>
        <v>#N/A</v>
      </c>
      <c r="X478" s="46" t="e">
        <f t="shared" si="99"/>
        <v>#N/A</v>
      </c>
      <c r="Y478" s="2" t="b">
        <f t="shared" si="100"/>
        <v>0</v>
      </c>
      <c r="Z478" s="2" t="b">
        <f t="shared" si="101"/>
        <v>0</v>
      </c>
      <c r="AE478" s="46">
        <f t="shared" si="107"/>
        <v>4712</v>
      </c>
      <c r="AF478" s="46">
        <f t="shared" si="108"/>
        <v>4721</v>
      </c>
      <c r="AG478" s="33" t="e">
        <f>IFERROR(AVERAGEIFS(data_brute!M:M,data_brute!J:J,"&gt;="&amp;AE478,data_brute!J:J,"&lt;="&amp;AF478),NA())</f>
        <v>#N/A</v>
      </c>
      <c r="AH478" s="46" t="e">
        <f t="shared" si="109"/>
        <v>#N/A</v>
      </c>
      <c r="AJ478" s="46">
        <f t="shared" si="102"/>
        <v>4712</v>
      </c>
      <c r="AK478" s="46">
        <f t="shared" si="103"/>
        <v>4721</v>
      </c>
      <c r="AL478" s="33">
        <f ca="1">IFERROR(AVERAGEIFS(data_brute!M:M,data_brute!J:J,"&lt;="&amp;AK478),NA())</f>
        <v>25.353524229074896</v>
      </c>
      <c r="AM478" s="46">
        <f t="shared" ca="1" si="104"/>
        <v>4720</v>
      </c>
      <c r="AN478" s="46" t="b">
        <f t="shared" si="105"/>
        <v>0</v>
      </c>
      <c r="AO478" s="50" t="b">
        <f t="shared" si="106"/>
        <v>0</v>
      </c>
    </row>
    <row r="479" spans="21:41" x14ac:dyDescent="0.2">
      <c r="U479" s="46">
        <f t="shared" si="97"/>
        <v>4722</v>
      </c>
      <c r="V479" s="46">
        <f t="shared" si="98"/>
        <v>4731</v>
      </c>
      <c r="W479" s="33" t="e">
        <f>IFERROR(AVERAGEIFS(data_brute!M:M,data_brute!J:J,"&lt;="&amp;V479,data_brute!J:J,"&gt;="&amp;U479),NA())</f>
        <v>#N/A</v>
      </c>
      <c r="X479" s="46" t="e">
        <f t="shared" si="99"/>
        <v>#N/A</v>
      </c>
      <c r="Y479" s="2" t="b">
        <f t="shared" si="100"/>
        <v>0</v>
      </c>
      <c r="Z479" s="2" t="b">
        <f t="shared" si="101"/>
        <v>0</v>
      </c>
      <c r="AE479" s="46">
        <f t="shared" si="107"/>
        <v>4722</v>
      </c>
      <c r="AF479" s="46">
        <f t="shared" si="108"/>
        <v>4731</v>
      </c>
      <c r="AG479" s="33" t="e">
        <f>IFERROR(AVERAGEIFS(data_brute!M:M,data_brute!J:J,"&gt;="&amp;AE479,data_brute!J:J,"&lt;="&amp;AF479),NA())</f>
        <v>#N/A</v>
      </c>
      <c r="AH479" s="46" t="e">
        <f t="shared" si="109"/>
        <v>#N/A</v>
      </c>
      <c r="AJ479" s="46">
        <f t="shared" si="102"/>
        <v>4722</v>
      </c>
      <c r="AK479" s="46">
        <f t="shared" si="103"/>
        <v>4731</v>
      </c>
      <c r="AL479" s="33">
        <f ca="1">IFERROR(AVERAGEIFS(data_brute!M:M,data_brute!J:J,"&lt;="&amp;AK479),NA())</f>
        <v>25.353524229074896</v>
      </c>
      <c r="AM479" s="46">
        <f t="shared" ca="1" si="104"/>
        <v>4730</v>
      </c>
      <c r="AN479" s="46" t="b">
        <f t="shared" si="105"/>
        <v>0</v>
      </c>
      <c r="AO479" s="50" t="b">
        <f t="shared" si="106"/>
        <v>0</v>
      </c>
    </row>
    <row r="480" spans="21:41" x14ac:dyDescent="0.2">
      <c r="U480" s="46">
        <f t="shared" si="97"/>
        <v>4732</v>
      </c>
      <c r="V480" s="46">
        <f t="shared" si="98"/>
        <v>4741</v>
      </c>
      <c r="W480" s="33" t="e">
        <f>IFERROR(AVERAGEIFS(data_brute!M:M,data_brute!J:J,"&lt;="&amp;V480,data_brute!J:J,"&gt;="&amp;U480),NA())</f>
        <v>#N/A</v>
      </c>
      <c r="X480" s="46" t="e">
        <f t="shared" si="99"/>
        <v>#N/A</v>
      </c>
      <c r="Y480" s="2" t="b">
        <f t="shared" si="100"/>
        <v>0</v>
      </c>
      <c r="Z480" s="2" t="b">
        <f t="shared" si="101"/>
        <v>0</v>
      </c>
      <c r="AE480" s="46">
        <f t="shared" si="107"/>
        <v>4732</v>
      </c>
      <c r="AF480" s="46">
        <f t="shared" si="108"/>
        <v>4741</v>
      </c>
      <c r="AG480" s="33" t="e">
        <f>IFERROR(AVERAGEIFS(data_brute!M:M,data_brute!J:J,"&gt;="&amp;AE480,data_brute!J:J,"&lt;="&amp;AF480),NA())</f>
        <v>#N/A</v>
      </c>
      <c r="AH480" s="46" t="e">
        <f t="shared" si="109"/>
        <v>#N/A</v>
      </c>
      <c r="AJ480" s="46">
        <f t="shared" si="102"/>
        <v>4732</v>
      </c>
      <c r="AK480" s="46">
        <f t="shared" si="103"/>
        <v>4741</v>
      </c>
      <c r="AL480" s="33">
        <f ca="1">IFERROR(AVERAGEIFS(data_brute!M:M,data_brute!J:J,"&lt;="&amp;AK480),NA())</f>
        <v>25.353524229074896</v>
      </c>
      <c r="AM480" s="46">
        <f t="shared" ca="1" si="104"/>
        <v>4740</v>
      </c>
      <c r="AN480" s="46" t="b">
        <f t="shared" si="105"/>
        <v>0</v>
      </c>
      <c r="AO480" s="50" t="b">
        <f t="shared" si="106"/>
        <v>0</v>
      </c>
    </row>
    <row r="481" spans="21:41" x14ac:dyDescent="0.2">
      <c r="U481" s="46">
        <f t="shared" si="97"/>
        <v>4742</v>
      </c>
      <c r="V481" s="46">
        <f t="shared" si="98"/>
        <v>4751</v>
      </c>
      <c r="W481" s="33" t="e">
        <f>IFERROR(AVERAGEIFS(data_brute!M:M,data_brute!J:J,"&lt;="&amp;V481,data_brute!J:J,"&gt;="&amp;U481),NA())</f>
        <v>#N/A</v>
      </c>
      <c r="X481" s="46" t="e">
        <f t="shared" si="99"/>
        <v>#N/A</v>
      </c>
      <c r="Y481" s="2" t="b">
        <f t="shared" si="100"/>
        <v>0</v>
      </c>
      <c r="Z481" s="2" t="b">
        <f t="shared" si="101"/>
        <v>0</v>
      </c>
      <c r="AE481" s="46">
        <f t="shared" si="107"/>
        <v>4742</v>
      </c>
      <c r="AF481" s="46">
        <f t="shared" si="108"/>
        <v>4751</v>
      </c>
      <c r="AG481" s="33" t="e">
        <f>IFERROR(AVERAGEIFS(data_brute!M:M,data_brute!J:J,"&gt;="&amp;AE481,data_brute!J:J,"&lt;="&amp;AF481),NA())</f>
        <v>#N/A</v>
      </c>
      <c r="AH481" s="46" t="e">
        <f t="shared" si="109"/>
        <v>#N/A</v>
      </c>
      <c r="AJ481" s="46">
        <f t="shared" si="102"/>
        <v>4742</v>
      </c>
      <c r="AK481" s="46">
        <f t="shared" si="103"/>
        <v>4751</v>
      </c>
      <c r="AL481" s="33">
        <f ca="1">IFERROR(AVERAGEIFS(data_brute!M:M,data_brute!J:J,"&lt;="&amp;AK481),NA())</f>
        <v>25.353524229074896</v>
      </c>
      <c r="AM481" s="46">
        <f t="shared" ca="1" si="104"/>
        <v>4750</v>
      </c>
      <c r="AN481" s="46" t="b">
        <f t="shared" si="105"/>
        <v>0</v>
      </c>
      <c r="AO481" s="50" t="b">
        <f t="shared" si="106"/>
        <v>0</v>
      </c>
    </row>
    <row r="482" spans="21:41" x14ac:dyDescent="0.2">
      <c r="U482" s="46">
        <f t="shared" si="97"/>
        <v>4752</v>
      </c>
      <c r="V482" s="46">
        <f t="shared" si="98"/>
        <v>4761</v>
      </c>
      <c r="W482" s="33" t="e">
        <f>IFERROR(AVERAGEIFS(data_brute!M:M,data_brute!J:J,"&lt;="&amp;V482,data_brute!J:J,"&gt;="&amp;U482),NA())</f>
        <v>#N/A</v>
      </c>
      <c r="X482" s="46" t="e">
        <f t="shared" si="99"/>
        <v>#N/A</v>
      </c>
      <c r="Y482" s="2" t="b">
        <f t="shared" si="100"/>
        <v>0</v>
      </c>
      <c r="Z482" s="2" t="b">
        <f t="shared" si="101"/>
        <v>0</v>
      </c>
      <c r="AE482" s="46">
        <f t="shared" si="107"/>
        <v>4752</v>
      </c>
      <c r="AF482" s="46">
        <f t="shared" si="108"/>
        <v>4761</v>
      </c>
      <c r="AG482" s="33" t="e">
        <f>IFERROR(AVERAGEIFS(data_brute!M:M,data_brute!J:J,"&gt;="&amp;AE482,data_brute!J:J,"&lt;="&amp;AF482),NA())</f>
        <v>#N/A</v>
      </c>
      <c r="AH482" s="46" t="e">
        <f t="shared" si="109"/>
        <v>#N/A</v>
      </c>
      <c r="AJ482" s="46">
        <f t="shared" si="102"/>
        <v>4752</v>
      </c>
      <c r="AK482" s="46">
        <f t="shared" si="103"/>
        <v>4761</v>
      </c>
      <c r="AL482" s="33">
        <f ca="1">IFERROR(AVERAGEIFS(data_brute!M:M,data_brute!J:J,"&lt;="&amp;AK482),NA())</f>
        <v>25.353524229074896</v>
      </c>
      <c r="AM482" s="46">
        <f t="shared" ca="1" si="104"/>
        <v>4760</v>
      </c>
      <c r="AN482" s="46" t="b">
        <f t="shared" si="105"/>
        <v>0</v>
      </c>
      <c r="AO482" s="50" t="b">
        <f t="shared" si="106"/>
        <v>0</v>
      </c>
    </row>
    <row r="483" spans="21:41" x14ac:dyDescent="0.2">
      <c r="U483" s="46">
        <f t="shared" ref="U483:U546" si="110">V482+1</f>
        <v>4762</v>
      </c>
      <c r="V483" s="46">
        <f t="shared" ref="V483:V546" si="111">U483+$AG$2-1</f>
        <v>4771</v>
      </c>
      <c r="W483" s="33" t="e">
        <f>IFERROR(AVERAGEIFS(data_brute!M:M,data_brute!J:J,"&lt;="&amp;V483,data_brute!J:J,"&gt;="&amp;U483),NA())</f>
        <v>#N/A</v>
      </c>
      <c r="X483" s="46" t="e">
        <f t="shared" ref="X483:X546" si="112">IF(W483&lt;&gt;"",$AG$2*(ROW()-ROW($AH$6)),NA())</f>
        <v>#N/A</v>
      </c>
      <c r="Y483" s="2" t="b">
        <f t="shared" ref="Y483:Y546" si="113">IF(AND($F$5&gt;=U483,$F$5&lt;=V483,V483=$F$5),TRUE,FALSE)</f>
        <v>0</v>
      </c>
      <c r="Z483" s="2" t="b">
        <f t="shared" ref="Z483:Z546" si="114">IF(AND($F$5&gt;=U483,$F$5&lt;=V483),TRUE,FALSE)</f>
        <v>0</v>
      </c>
      <c r="AE483" s="46">
        <f t="shared" si="107"/>
        <v>4762</v>
      </c>
      <c r="AF483" s="46">
        <f t="shared" si="108"/>
        <v>4771</v>
      </c>
      <c r="AG483" s="33" t="e">
        <f>IFERROR(AVERAGEIFS(data_brute!M:M,data_brute!J:J,"&gt;="&amp;AE483,data_brute!J:J,"&lt;="&amp;AF483),NA())</f>
        <v>#N/A</v>
      </c>
      <c r="AH483" s="46" t="e">
        <f t="shared" si="109"/>
        <v>#N/A</v>
      </c>
      <c r="AJ483" s="46">
        <f t="shared" si="102"/>
        <v>4762</v>
      </c>
      <c r="AK483" s="46">
        <f t="shared" si="103"/>
        <v>4771</v>
      </c>
      <c r="AL483" s="33">
        <f ca="1">IFERROR(AVERAGEIFS(data_brute!M:M,data_brute!J:J,"&lt;="&amp;AK483),NA())</f>
        <v>25.353524229074896</v>
      </c>
      <c r="AM483" s="46">
        <f t="shared" ca="1" si="104"/>
        <v>4770</v>
      </c>
      <c r="AN483" s="46" t="b">
        <f t="shared" si="105"/>
        <v>0</v>
      </c>
      <c r="AO483" s="50" t="b">
        <f t="shared" si="106"/>
        <v>0</v>
      </c>
    </row>
    <row r="484" spans="21:41" x14ac:dyDescent="0.2">
      <c r="U484" s="46">
        <f t="shared" si="110"/>
        <v>4772</v>
      </c>
      <c r="V484" s="46">
        <f t="shared" si="111"/>
        <v>4781</v>
      </c>
      <c r="W484" s="33" t="e">
        <f>IFERROR(AVERAGEIFS(data_brute!M:M,data_brute!J:J,"&lt;="&amp;V484,data_brute!J:J,"&gt;="&amp;U484),NA())</f>
        <v>#N/A</v>
      </c>
      <c r="X484" s="46" t="e">
        <f t="shared" si="112"/>
        <v>#N/A</v>
      </c>
      <c r="Y484" s="2" t="b">
        <f t="shared" si="113"/>
        <v>0</v>
      </c>
      <c r="Z484" s="2" t="b">
        <f t="shared" si="114"/>
        <v>0</v>
      </c>
      <c r="AE484" s="46">
        <f t="shared" si="107"/>
        <v>4772</v>
      </c>
      <c r="AF484" s="46">
        <f t="shared" si="108"/>
        <v>4781</v>
      </c>
      <c r="AG484" s="33" t="e">
        <f>IFERROR(AVERAGEIFS(data_brute!M:M,data_brute!J:J,"&gt;="&amp;AE484,data_brute!J:J,"&lt;="&amp;AF484),NA())</f>
        <v>#N/A</v>
      </c>
      <c r="AH484" s="46" t="e">
        <f t="shared" si="109"/>
        <v>#N/A</v>
      </c>
      <c r="AJ484" s="46">
        <f t="shared" ref="AJ484:AJ547" si="115">AK483+1</f>
        <v>4772</v>
      </c>
      <c r="AK484" s="46">
        <f t="shared" ref="AK484:AK547" si="116">AJ484+$AG$2-1</f>
        <v>4781</v>
      </c>
      <c r="AL484" s="33">
        <f ca="1">IFERROR(AVERAGEIFS(data_brute!M:M,data_brute!J:J,"&lt;="&amp;AK484),NA())</f>
        <v>25.353524229074896</v>
      </c>
      <c r="AM484" s="46">
        <f t="shared" ref="AM484:AM547" ca="1" si="117">IF(AL484&lt;&gt;"",$AG$2*(ROW()-ROW($AH$6)),NA())</f>
        <v>4780</v>
      </c>
      <c r="AN484" s="46" t="b">
        <f t="shared" ref="AN484:AN547" si="118">IF(AND($F$5&gt;=AJ484,$F$5&lt;=AK484,AK484=$F$5),TRUE,FALSE)</f>
        <v>0</v>
      </c>
      <c r="AO484" s="50" t="b">
        <f t="shared" ref="AO484:AO547" si="119">IF(AND($F$5&gt;=AJ484,$F$5&lt;=AK484),TRUE,FALSE)</f>
        <v>0</v>
      </c>
    </row>
    <row r="485" spans="21:41" x14ac:dyDescent="0.2">
      <c r="U485" s="46">
        <f t="shared" si="110"/>
        <v>4782</v>
      </c>
      <c r="V485" s="46">
        <f t="shared" si="111"/>
        <v>4791</v>
      </c>
      <c r="W485" s="33" t="e">
        <f>IFERROR(AVERAGEIFS(data_brute!M:M,data_brute!J:J,"&lt;="&amp;V485,data_brute!J:J,"&gt;="&amp;U485),NA())</f>
        <v>#N/A</v>
      </c>
      <c r="X485" s="46" t="e">
        <f t="shared" si="112"/>
        <v>#N/A</v>
      </c>
      <c r="Y485" s="2" t="b">
        <f t="shared" si="113"/>
        <v>0</v>
      </c>
      <c r="Z485" s="2" t="b">
        <f t="shared" si="114"/>
        <v>0</v>
      </c>
      <c r="AE485" s="46">
        <f t="shared" si="107"/>
        <v>4782</v>
      </c>
      <c r="AF485" s="46">
        <f t="shared" si="108"/>
        <v>4791</v>
      </c>
      <c r="AG485" s="33" t="e">
        <f>IFERROR(AVERAGEIFS(data_brute!M:M,data_brute!J:J,"&gt;="&amp;AE485,data_brute!J:J,"&lt;="&amp;AF485),NA())</f>
        <v>#N/A</v>
      </c>
      <c r="AH485" s="46" t="e">
        <f t="shared" si="109"/>
        <v>#N/A</v>
      </c>
      <c r="AJ485" s="46">
        <f t="shared" si="115"/>
        <v>4782</v>
      </c>
      <c r="AK485" s="46">
        <f t="shared" si="116"/>
        <v>4791</v>
      </c>
      <c r="AL485" s="33">
        <f ca="1">IFERROR(AVERAGEIFS(data_brute!M:M,data_brute!J:J,"&lt;="&amp;AK485),NA())</f>
        <v>25.353524229074896</v>
      </c>
      <c r="AM485" s="46">
        <f t="shared" ca="1" si="117"/>
        <v>4790</v>
      </c>
      <c r="AN485" s="46" t="b">
        <f t="shared" si="118"/>
        <v>0</v>
      </c>
      <c r="AO485" s="50" t="b">
        <f t="shared" si="119"/>
        <v>0</v>
      </c>
    </row>
    <row r="486" spans="21:41" x14ac:dyDescent="0.2">
      <c r="U486" s="46">
        <f t="shared" si="110"/>
        <v>4792</v>
      </c>
      <c r="V486" s="46">
        <f t="shared" si="111"/>
        <v>4801</v>
      </c>
      <c r="W486" s="33" t="e">
        <f>IFERROR(AVERAGEIFS(data_brute!M:M,data_brute!J:J,"&lt;="&amp;V486,data_brute!J:J,"&gt;="&amp;U486),NA())</f>
        <v>#N/A</v>
      </c>
      <c r="X486" s="46" t="e">
        <f t="shared" si="112"/>
        <v>#N/A</v>
      </c>
      <c r="Y486" s="2" t="b">
        <f t="shared" si="113"/>
        <v>0</v>
      </c>
      <c r="Z486" s="2" t="b">
        <f t="shared" si="114"/>
        <v>0</v>
      </c>
      <c r="AE486" s="46">
        <f t="shared" si="107"/>
        <v>4792</v>
      </c>
      <c r="AF486" s="46">
        <f t="shared" si="108"/>
        <v>4801</v>
      </c>
      <c r="AG486" s="33" t="e">
        <f>IFERROR(AVERAGEIFS(data_brute!M:M,data_brute!J:J,"&gt;="&amp;AE486,data_brute!J:J,"&lt;="&amp;AF486),NA())</f>
        <v>#N/A</v>
      </c>
      <c r="AH486" s="46" t="e">
        <f t="shared" si="109"/>
        <v>#N/A</v>
      </c>
      <c r="AJ486" s="46">
        <f t="shared" si="115"/>
        <v>4792</v>
      </c>
      <c r="AK486" s="46">
        <f t="shared" si="116"/>
        <v>4801</v>
      </c>
      <c r="AL486" s="33">
        <f ca="1">IFERROR(AVERAGEIFS(data_brute!M:M,data_brute!J:J,"&lt;="&amp;AK486),NA())</f>
        <v>25.353524229074896</v>
      </c>
      <c r="AM486" s="46">
        <f t="shared" ca="1" si="117"/>
        <v>4800</v>
      </c>
      <c r="AN486" s="46" t="b">
        <f t="shared" si="118"/>
        <v>0</v>
      </c>
      <c r="AO486" s="50" t="b">
        <f t="shared" si="119"/>
        <v>0</v>
      </c>
    </row>
    <row r="487" spans="21:41" x14ac:dyDescent="0.2">
      <c r="U487" s="46">
        <f t="shared" si="110"/>
        <v>4802</v>
      </c>
      <c r="V487" s="46">
        <f t="shared" si="111"/>
        <v>4811</v>
      </c>
      <c r="W487" s="33" t="e">
        <f>IFERROR(AVERAGEIFS(data_brute!M:M,data_brute!J:J,"&lt;="&amp;V487,data_brute!J:J,"&gt;="&amp;U487),NA())</f>
        <v>#N/A</v>
      </c>
      <c r="X487" s="46" t="e">
        <f t="shared" si="112"/>
        <v>#N/A</v>
      </c>
      <c r="Y487" s="2" t="b">
        <f t="shared" si="113"/>
        <v>0</v>
      </c>
      <c r="Z487" s="2" t="b">
        <f t="shared" si="114"/>
        <v>0</v>
      </c>
      <c r="AE487" s="46">
        <f t="shared" si="107"/>
        <v>4802</v>
      </c>
      <c r="AF487" s="46">
        <f t="shared" si="108"/>
        <v>4811</v>
      </c>
      <c r="AG487" s="33" t="e">
        <f>IFERROR(AVERAGEIFS(data_brute!M:M,data_brute!J:J,"&gt;="&amp;AE487,data_brute!J:J,"&lt;="&amp;AF487),NA())</f>
        <v>#N/A</v>
      </c>
      <c r="AH487" s="46" t="e">
        <f t="shared" si="109"/>
        <v>#N/A</v>
      </c>
      <c r="AJ487" s="46">
        <f t="shared" si="115"/>
        <v>4802</v>
      </c>
      <c r="AK487" s="46">
        <f t="shared" si="116"/>
        <v>4811</v>
      </c>
      <c r="AL487" s="33">
        <f ca="1">IFERROR(AVERAGEIFS(data_brute!M:M,data_brute!J:J,"&lt;="&amp;AK487),NA())</f>
        <v>25.353524229074896</v>
      </c>
      <c r="AM487" s="46">
        <f t="shared" ca="1" si="117"/>
        <v>4810</v>
      </c>
      <c r="AN487" s="46" t="b">
        <f t="shared" si="118"/>
        <v>0</v>
      </c>
      <c r="AO487" s="50" t="b">
        <f t="shared" si="119"/>
        <v>0</v>
      </c>
    </row>
    <row r="488" spans="21:41" x14ac:dyDescent="0.2">
      <c r="U488" s="46">
        <f t="shared" si="110"/>
        <v>4812</v>
      </c>
      <c r="V488" s="46">
        <f t="shared" si="111"/>
        <v>4821</v>
      </c>
      <c r="W488" s="33" t="e">
        <f>IFERROR(AVERAGEIFS(data_brute!M:M,data_brute!J:J,"&lt;="&amp;V488,data_brute!J:J,"&gt;="&amp;U488),NA())</f>
        <v>#N/A</v>
      </c>
      <c r="X488" s="46" t="e">
        <f t="shared" si="112"/>
        <v>#N/A</v>
      </c>
      <c r="Y488" s="2" t="b">
        <f t="shared" si="113"/>
        <v>0</v>
      </c>
      <c r="Z488" s="2" t="b">
        <f t="shared" si="114"/>
        <v>0</v>
      </c>
      <c r="AE488" s="46">
        <f t="shared" si="107"/>
        <v>4812</v>
      </c>
      <c r="AF488" s="46">
        <f t="shared" si="108"/>
        <v>4821</v>
      </c>
      <c r="AG488" s="33" t="e">
        <f>IFERROR(AVERAGEIFS(data_brute!M:M,data_brute!J:J,"&gt;="&amp;AE488,data_brute!J:J,"&lt;="&amp;AF488),NA())</f>
        <v>#N/A</v>
      </c>
      <c r="AH488" s="46" t="e">
        <f t="shared" si="109"/>
        <v>#N/A</v>
      </c>
      <c r="AJ488" s="46">
        <f t="shared" si="115"/>
        <v>4812</v>
      </c>
      <c r="AK488" s="46">
        <f t="shared" si="116"/>
        <v>4821</v>
      </c>
      <c r="AL488" s="33">
        <f ca="1">IFERROR(AVERAGEIFS(data_brute!M:M,data_brute!J:J,"&lt;="&amp;AK488),NA())</f>
        <v>25.353524229074896</v>
      </c>
      <c r="AM488" s="46">
        <f t="shared" ca="1" si="117"/>
        <v>4820</v>
      </c>
      <c r="AN488" s="46" t="b">
        <f t="shared" si="118"/>
        <v>0</v>
      </c>
      <c r="AO488" s="50" t="b">
        <f t="shared" si="119"/>
        <v>0</v>
      </c>
    </row>
    <row r="489" spans="21:41" x14ac:dyDescent="0.2">
      <c r="U489" s="46">
        <f t="shared" si="110"/>
        <v>4822</v>
      </c>
      <c r="V489" s="46">
        <f t="shared" si="111"/>
        <v>4831</v>
      </c>
      <c r="W489" s="33" t="e">
        <f>IFERROR(AVERAGEIFS(data_brute!M:M,data_brute!J:J,"&lt;="&amp;V489,data_brute!J:J,"&gt;="&amp;U489),NA())</f>
        <v>#N/A</v>
      </c>
      <c r="X489" s="46" t="e">
        <f t="shared" si="112"/>
        <v>#N/A</v>
      </c>
      <c r="Y489" s="2" t="b">
        <f t="shared" si="113"/>
        <v>0</v>
      </c>
      <c r="Z489" s="2" t="b">
        <f t="shared" si="114"/>
        <v>0</v>
      </c>
      <c r="AE489" s="46">
        <f t="shared" si="107"/>
        <v>4822</v>
      </c>
      <c r="AF489" s="46">
        <f t="shared" si="108"/>
        <v>4831</v>
      </c>
      <c r="AG489" s="33" t="e">
        <f>IFERROR(AVERAGEIFS(data_brute!M:M,data_brute!J:J,"&gt;="&amp;AE489,data_brute!J:J,"&lt;="&amp;AF489),NA())</f>
        <v>#N/A</v>
      </c>
      <c r="AH489" s="46" t="e">
        <f t="shared" si="109"/>
        <v>#N/A</v>
      </c>
      <c r="AJ489" s="46">
        <f t="shared" si="115"/>
        <v>4822</v>
      </c>
      <c r="AK489" s="46">
        <f t="shared" si="116"/>
        <v>4831</v>
      </c>
      <c r="AL489" s="33">
        <f ca="1">IFERROR(AVERAGEIFS(data_brute!M:M,data_brute!J:J,"&lt;="&amp;AK489),NA())</f>
        <v>25.353524229074896</v>
      </c>
      <c r="AM489" s="46">
        <f t="shared" ca="1" si="117"/>
        <v>4830</v>
      </c>
      <c r="AN489" s="46" t="b">
        <f t="shared" si="118"/>
        <v>0</v>
      </c>
      <c r="AO489" s="50" t="b">
        <f t="shared" si="119"/>
        <v>0</v>
      </c>
    </row>
    <row r="490" spans="21:41" x14ac:dyDescent="0.2">
      <c r="U490" s="46">
        <f t="shared" si="110"/>
        <v>4832</v>
      </c>
      <c r="V490" s="46">
        <f t="shared" si="111"/>
        <v>4841</v>
      </c>
      <c r="W490" s="33" t="e">
        <f>IFERROR(AVERAGEIFS(data_brute!M:M,data_brute!J:J,"&lt;="&amp;V490,data_brute!J:J,"&gt;="&amp;U490),NA())</f>
        <v>#N/A</v>
      </c>
      <c r="X490" s="46" t="e">
        <f t="shared" si="112"/>
        <v>#N/A</v>
      </c>
      <c r="Y490" s="2" t="b">
        <f t="shared" si="113"/>
        <v>0</v>
      </c>
      <c r="Z490" s="2" t="b">
        <f t="shared" si="114"/>
        <v>0</v>
      </c>
      <c r="AE490" s="46">
        <f t="shared" si="107"/>
        <v>4832</v>
      </c>
      <c r="AF490" s="46">
        <f t="shared" si="108"/>
        <v>4841</v>
      </c>
      <c r="AG490" s="33" t="e">
        <f>IFERROR(AVERAGEIFS(data_brute!M:M,data_brute!J:J,"&gt;="&amp;AE490,data_brute!J:J,"&lt;="&amp;AF490),NA())</f>
        <v>#N/A</v>
      </c>
      <c r="AH490" s="46" t="e">
        <f t="shared" si="109"/>
        <v>#N/A</v>
      </c>
      <c r="AJ490" s="46">
        <f t="shared" si="115"/>
        <v>4832</v>
      </c>
      <c r="AK490" s="46">
        <f t="shared" si="116"/>
        <v>4841</v>
      </c>
      <c r="AL490" s="33">
        <f ca="1">IFERROR(AVERAGEIFS(data_brute!M:M,data_brute!J:J,"&lt;="&amp;AK490),NA())</f>
        <v>25.353524229074896</v>
      </c>
      <c r="AM490" s="46">
        <f t="shared" ca="1" si="117"/>
        <v>4840</v>
      </c>
      <c r="AN490" s="46" t="b">
        <f t="shared" si="118"/>
        <v>0</v>
      </c>
      <c r="AO490" s="50" t="b">
        <f t="shared" si="119"/>
        <v>0</v>
      </c>
    </row>
    <row r="491" spans="21:41" x14ac:dyDescent="0.2">
      <c r="U491" s="46">
        <f t="shared" si="110"/>
        <v>4842</v>
      </c>
      <c r="V491" s="46">
        <f t="shared" si="111"/>
        <v>4851</v>
      </c>
      <c r="W491" s="33" t="e">
        <f>IFERROR(AVERAGEIFS(data_brute!M:M,data_brute!J:J,"&lt;="&amp;V491,data_brute!J:J,"&gt;="&amp;U491),NA())</f>
        <v>#N/A</v>
      </c>
      <c r="X491" s="46" t="e">
        <f t="shared" si="112"/>
        <v>#N/A</v>
      </c>
      <c r="Y491" s="2" t="b">
        <f t="shared" si="113"/>
        <v>0</v>
      </c>
      <c r="Z491" s="2" t="b">
        <f t="shared" si="114"/>
        <v>0</v>
      </c>
      <c r="AE491" s="46">
        <f t="shared" si="107"/>
        <v>4842</v>
      </c>
      <c r="AF491" s="46">
        <f t="shared" si="108"/>
        <v>4851</v>
      </c>
      <c r="AG491" s="33" t="e">
        <f>IFERROR(AVERAGEIFS(data_brute!M:M,data_brute!J:J,"&gt;="&amp;AE491,data_brute!J:J,"&lt;="&amp;AF491),NA())</f>
        <v>#N/A</v>
      </c>
      <c r="AH491" s="46" t="e">
        <f t="shared" si="109"/>
        <v>#N/A</v>
      </c>
      <c r="AJ491" s="46">
        <f t="shared" si="115"/>
        <v>4842</v>
      </c>
      <c r="AK491" s="46">
        <f t="shared" si="116"/>
        <v>4851</v>
      </c>
      <c r="AL491" s="33">
        <f ca="1">IFERROR(AVERAGEIFS(data_brute!M:M,data_brute!J:J,"&lt;="&amp;AK491),NA())</f>
        <v>25.353524229074896</v>
      </c>
      <c r="AM491" s="46">
        <f t="shared" ca="1" si="117"/>
        <v>4850</v>
      </c>
      <c r="AN491" s="46" t="b">
        <f t="shared" si="118"/>
        <v>0</v>
      </c>
      <c r="AO491" s="50" t="b">
        <f t="shared" si="119"/>
        <v>0</v>
      </c>
    </row>
    <row r="492" spans="21:41" x14ac:dyDescent="0.2">
      <c r="U492" s="46">
        <f t="shared" si="110"/>
        <v>4852</v>
      </c>
      <c r="V492" s="46">
        <f t="shared" si="111"/>
        <v>4861</v>
      </c>
      <c r="W492" s="33" t="e">
        <f>IFERROR(AVERAGEIFS(data_brute!M:M,data_brute!J:J,"&lt;="&amp;V492,data_brute!J:J,"&gt;="&amp;U492),NA())</f>
        <v>#N/A</v>
      </c>
      <c r="X492" s="46" t="e">
        <f t="shared" si="112"/>
        <v>#N/A</v>
      </c>
      <c r="Y492" s="2" t="b">
        <f t="shared" si="113"/>
        <v>0</v>
      </c>
      <c r="Z492" s="2" t="b">
        <f t="shared" si="114"/>
        <v>0</v>
      </c>
      <c r="AE492" s="46">
        <f t="shared" si="107"/>
        <v>4852</v>
      </c>
      <c r="AF492" s="46">
        <f t="shared" si="108"/>
        <v>4861</v>
      </c>
      <c r="AG492" s="33" t="e">
        <f>IFERROR(AVERAGEIFS(data_brute!M:M,data_brute!J:J,"&gt;="&amp;AE492,data_brute!J:J,"&lt;="&amp;AF492),NA())</f>
        <v>#N/A</v>
      </c>
      <c r="AH492" s="46" t="e">
        <f t="shared" si="109"/>
        <v>#N/A</v>
      </c>
      <c r="AJ492" s="46">
        <f t="shared" si="115"/>
        <v>4852</v>
      </c>
      <c r="AK492" s="46">
        <f t="shared" si="116"/>
        <v>4861</v>
      </c>
      <c r="AL492" s="33">
        <f ca="1">IFERROR(AVERAGEIFS(data_brute!M:M,data_brute!J:J,"&lt;="&amp;AK492),NA())</f>
        <v>25.353524229074896</v>
      </c>
      <c r="AM492" s="46">
        <f t="shared" ca="1" si="117"/>
        <v>4860</v>
      </c>
      <c r="AN492" s="46" t="b">
        <f t="shared" si="118"/>
        <v>0</v>
      </c>
      <c r="AO492" s="50" t="b">
        <f t="shared" si="119"/>
        <v>0</v>
      </c>
    </row>
    <row r="493" spans="21:41" x14ac:dyDescent="0.2">
      <c r="U493" s="46">
        <f t="shared" si="110"/>
        <v>4862</v>
      </c>
      <c r="V493" s="46">
        <f t="shared" si="111"/>
        <v>4871</v>
      </c>
      <c r="W493" s="33" t="e">
        <f>IFERROR(AVERAGEIFS(data_brute!M:M,data_brute!J:J,"&lt;="&amp;V493,data_brute!J:J,"&gt;="&amp;U493),NA())</f>
        <v>#N/A</v>
      </c>
      <c r="X493" s="46" t="e">
        <f t="shared" si="112"/>
        <v>#N/A</v>
      </c>
      <c r="Y493" s="2" t="b">
        <f t="shared" si="113"/>
        <v>0</v>
      </c>
      <c r="Z493" s="2" t="b">
        <f t="shared" si="114"/>
        <v>0</v>
      </c>
      <c r="AE493" s="46">
        <f t="shared" si="107"/>
        <v>4862</v>
      </c>
      <c r="AF493" s="46">
        <f t="shared" si="108"/>
        <v>4871</v>
      </c>
      <c r="AG493" s="33" t="e">
        <f>IFERROR(AVERAGEIFS(data_brute!M:M,data_brute!J:J,"&gt;="&amp;AE493,data_brute!J:J,"&lt;="&amp;AF493),NA())</f>
        <v>#N/A</v>
      </c>
      <c r="AH493" s="46" t="e">
        <f t="shared" si="109"/>
        <v>#N/A</v>
      </c>
      <c r="AJ493" s="46">
        <f t="shared" si="115"/>
        <v>4862</v>
      </c>
      <c r="AK493" s="46">
        <f t="shared" si="116"/>
        <v>4871</v>
      </c>
      <c r="AL493" s="33">
        <f ca="1">IFERROR(AVERAGEIFS(data_brute!M:M,data_brute!J:J,"&lt;="&amp;AK493),NA())</f>
        <v>25.353524229074896</v>
      </c>
      <c r="AM493" s="46">
        <f t="shared" ca="1" si="117"/>
        <v>4870</v>
      </c>
      <c r="AN493" s="46" t="b">
        <f t="shared" si="118"/>
        <v>0</v>
      </c>
      <c r="AO493" s="50" t="b">
        <f t="shared" si="119"/>
        <v>0</v>
      </c>
    </row>
    <row r="494" spans="21:41" x14ac:dyDescent="0.2">
      <c r="U494" s="46">
        <f t="shared" si="110"/>
        <v>4872</v>
      </c>
      <c r="V494" s="46">
        <f t="shared" si="111"/>
        <v>4881</v>
      </c>
      <c r="W494" s="33" t="e">
        <f>IFERROR(AVERAGEIFS(data_brute!M:M,data_brute!J:J,"&lt;="&amp;V494,data_brute!J:J,"&gt;="&amp;U494),NA())</f>
        <v>#N/A</v>
      </c>
      <c r="X494" s="46" t="e">
        <f t="shared" si="112"/>
        <v>#N/A</v>
      </c>
      <c r="Y494" s="2" t="b">
        <f t="shared" si="113"/>
        <v>0</v>
      </c>
      <c r="Z494" s="2" t="b">
        <f t="shared" si="114"/>
        <v>0</v>
      </c>
      <c r="AE494" s="46">
        <f t="shared" si="107"/>
        <v>4872</v>
      </c>
      <c r="AF494" s="46">
        <f t="shared" si="108"/>
        <v>4881</v>
      </c>
      <c r="AG494" s="33" t="e">
        <f>IFERROR(AVERAGEIFS(data_brute!M:M,data_brute!J:J,"&gt;="&amp;AE494,data_brute!J:J,"&lt;="&amp;AF494),NA())</f>
        <v>#N/A</v>
      </c>
      <c r="AH494" s="46" t="e">
        <f t="shared" si="109"/>
        <v>#N/A</v>
      </c>
      <c r="AJ494" s="46">
        <f t="shared" si="115"/>
        <v>4872</v>
      </c>
      <c r="AK494" s="46">
        <f t="shared" si="116"/>
        <v>4881</v>
      </c>
      <c r="AL494" s="33">
        <f ca="1">IFERROR(AVERAGEIFS(data_brute!M:M,data_brute!J:J,"&lt;="&amp;AK494),NA())</f>
        <v>25.353524229074896</v>
      </c>
      <c r="AM494" s="46">
        <f t="shared" ca="1" si="117"/>
        <v>4880</v>
      </c>
      <c r="AN494" s="46" t="b">
        <f t="shared" si="118"/>
        <v>0</v>
      </c>
      <c r="AO494" s="50" t="b">
        <f t="shared" si="119"/>
        <v>0</v>
      </c>
    </row>
    <row r="495" spans="21:41" x14ac:dyDescent="0.2">
      <c r="U495" s="46">
        <f t="shared" si="110"/>
        <v>4882</v>
      </c>
      <c r="V495" s="46">
        <f t="shared" si="111"/>
        <v>4891</v>
      </c>
      <c r="W495" s="33" t="e">
        <f>IFERROR(AVERAGEIFS(data_brute!M:M,data_brute!J:J,"&lt;="&amp;V495,data_brute!J:J,"&gt;="&amp;U495),NA())</f>
        <v>#N/A</v>
      </c>
      <c r="X495" s="46" t="e">
        <f t="shared" si="112"/>
        <v>#N/A</v>
      </c>
      <c r="Y495" s="2" t="b">
        <f t="shared" si="113"/>
        <v>0</v>
      </c>
      <c r="Z495" s="2" t="b">
        <f t="shared" si="114"/>
        <v>0</v>
      </c>
      <c r="AE495" s="46">
        <f t="shared" si="107"/>
        <v>4882</v>
      </c>
      <c r="AF495" s="46">
        <f t="shared" si="108"/>
        <v>4891</v>
      </c>
      <c r="AG495" s="33" t="e">
        <f>IFERROR(AVERAGEIFS(data_brute!M:M,data_brute!J:J,"&gt;="&amp;AE495,data_brute!J:J,"&lt;="&amp;AF495),NA())</f>
        <v>#N/A</v>
      </c>
      <c r="AH495" s="46" t="e">
        <f t="shared" si="109"/>
        <v>#N/A</v>
      </c>
      <c r="AJ495" s="46">
        <f t="shared" si="115"/>
        <v>4882</v>
      </c>
      <c r="AK495" s="46">
        <f t="shared" si="116"/>
        <v>4891</v>
      </c>
      <c r="AL495" s="33">
        <f ca="1">IFERROR(AVERAGEIFS(data_brute!M:M,data_brute!J:J,"&lt;="&amp;AK495),NA())</f>
        <v>25.353524229074896</v>
      </c>
      <c r="AM495" s="46">
        <f t="shared" ca="1" si="117"/>
        <v>4890</v>
      </c>
      <c r="AN495" s="46" t="b">
        <f t="shared" si="118"/>
        <v>0</v>
      </c>
      <c r="AO495" s="50" t="b">
        <f t="shared" si="119"/>
        <v>0</v>
      </c>
    </row>
    <row r="496" spans="21:41" x14ac:dyDescent="0.2">
      <c r="U496" s="46">
        <f t="shared" si="110"/>
        <v>4892</v>
      </c>
      <c r="V496" s="46">
        <f t="shared" si="111"/>
        <v>4901</v>
      </c>
      <c r="W496" s="33" t="e">
        <f>IFERROR(AVERAGEIFS(data_brute!M:M,data_brute!J:J,"&lt;="&amp;V496,data_brute!J:J,"&gt;="&amp;U496),NA())</f>
        <v>#N/A</v>
      </c>
      <c r="X496" s="46" t="e">
        <f t="shared" si="112"/>
        <v>#N/A</v>
      </c>
      <c r="Y496" s="2" t="b">
        <f t="shared" si="113"/>
        <v>0</v>
      </c>
      <c r="Z496" s="2" t="b">
        <f t="shared" si="114"/>
        <v>0</v>
      </c>
      <c r="AE496" s="46">
        <f t="shared" si="107"/>
        <v>4892</v>
      </c>
      <c r="AF496" s="46">
        <f t="shared" si="108"/>
        <v>4901</v>
      </c>
      <c r="AG496" s="33" t="e">
        <f>IFERROR(AVERAGEIFS(data_brute!M:M,data_brute!J:J,"&gt;="&amp;AE496,data_brute!J:J,"&lt;="&amp;AF496),NA())</f>
        <v>#N/A</v>
      </c>
      <c r="AH496" s="46" t="e">
        <f t="shared" si="109"/>
        <v>#N/A</v>
      </c>
      <c r="AJ496" s="46">
        <f t="shared" si="115"/>
        <v>4892</v>
      </c>
      <c r="AK496" s="46">
        <f t="shared" si="116"/>
        <v>4901</v>
      </c>
      <c r="AL496" s="33">
        <f ca="1">IFERROR(AVERAGEIFS(data_brute!M:M,data_brute!J:J,"&lt;="&amp;AK496),NA())</f>
        <v>25.353524229074896</v>
      </c>
      <c r="AM496" s="46">
        <f t="shared" ca="1" si="117"/>
        <v>4900</v>
      </c>
      <c r="AN496" s="46" t="b">
        <f t="shared" si="118"/>
        <v>0</v>
      </c>
      <c r="AO496" s="50" t="b">
        <f t="shared" si="119"/>
        <v>0</v>
      </c>
    </row>
    <row r="497" spans="21:41" x14ac:dyDescent="0.2">
      <c r="U497" s="46">
        <f t="shared" si="110"/>
        <v>4902</v>
      </c>
      <c r="V497" s="46">
        <f t="shared" si="111"/>
        <v>4911</v>
      </c>
      <c r="W497" s="33" t="e">
        <f>IFERROR(AVERAGEIFS(data_brute!M:M,data_brute!J:J,"&lt;="&amp;V497,data_brute!J:J,"&gt;="&amp;U497),NA())</f>
        <v>#N/A</v>
      </c>
      <c r="X497" s="46" t="e">
        <f t="shared" si="112"/>
        <v>#N/A</v>
      </c>
      <c r="Y497" s="2" t="b">
        <f t="shared" si="113"/>
        <v>0</v>
      </c>
      <c r="Z497" s="2" t="b">
        <f t="shared" si="114"/>
        <v>0</v>
      </c>
      <c r="AE497" s="46">
        <f t="shared" si="107"/>
        <v>4902</v>
      </c>
      <c r="AF497" s="46">
        <f t="shared" si="108"/>
        <v>4911</v>
      </c>
      <c r="AG497" s="33" t="e">
        <f>IFERROR(AVERAGEIFS(data_brute!M:M,data_brute!J:J,"&gt;="&amp;AE497,data_brute!J:J,"&lt;="&amp;AF497),NA())</f>
        <v>#N/A</v>
      </c>
      <c r="AH497" s="46" t="e">
        <f t="shared" si="109"/>
        <v>#N/A</v>
      </c>
      <c r="AJ497" s="46">
        <f t="shared" si="115"/>
        <v>4902</v>
      </c>
      <c r="AK497" s="46">
        <f t="shared" si="116"/>
        <v>4911</v>
      </c>
      <c r="AL497" s="33">
        <f ca="1">IFERROR(AVERAGEIFS(data_brute!M:M,data_brute!J:J,"&lt;="&amp;AK497),NA())</f>
        <v>25.353524229074896</v>
      </c>
      <c r="AM497" s="46">
        <f t="shared" ca="1" si="117"/>
        <v>4910</v>
      </c>
      <c r="AN497" s="46" t="b">
        <f t="shared" si="118"/>
        <v>0</v>
      </c>
      <c r="AO497" s="50" t="b">
        <f t="shared" si="119"/>
        <v>0</v>
      </c>
    </row>
    <row r="498" spans="21:41" x14ac:dyDescent="0.2">
      <c r="U498" s="46">
        <f t="shared" si="110"/>
        <v>4912</v>
      </c>
      <c r="V498" s="46">
        <f t="shared" si="111"/>
        <v>4921</v>
      </c>
      <c r="W498" s="33" t="e">
        <f>IFERROR(AVERAGEIFS(data_brute!M:M,data_brute!J:J,"&lt;="&amp;V498,data_brute!J:J,"&gt;="&amp;U498),NA())</f>
        <v>#N/A</v>
      </c>
      <c r="X498" s="46" t="e">
        <f t="shared" si="112"/>
        <v>#N/A</v>
      </c>
      <c r="Y498" s="2" t="b">
        <f t="shared" si="113"/>
        <v>0</v>
      </c>
      <c r="Z498" s="2" t="b">
        <f t="shared" si="114"/>
        <v>0</v>
      </c>
      <c r="AE498" s="46">
        <f t="shared" si="107"/>
        <v>4912</v>
      </c>
      <c r="AF498" s="46">
        <f t="shared" si="108"/>
        <v>4921</v>
      </c>
      <c r="AG498" s="33" t="e">
        <f>IFERROR(AVERAGEIFS(data_brute!M:M,data_brute!J:J,"&gt;="&amp;AE498,data_brute!J:J,"&lt;="&amp;AF498),NA())</f>
        <v>#N/A</v>
      </c>
      <c r="AH498" s="46" t="e">
        <f t="shared" si="109"/>
        <v>#N/A</v>
      </c>
      <c r="AJ498" s="46">
        <f t="shared" si="115"/>
        <v>4912</v>
      </c>
      <c r="AK498" s="46">
        <f t="shared" si="116"/>
        <v>4921</v>
      </c>
      <c r="AL498" s="33">
        <f ca="1">IFERROR(AVERAGEIFS(data_brute!M:M,data_brute!J:J,"&lt;="&amp;AK498),NA())</f>
        <v>25.353524229074896</v>
      </c>
      <c r="AM498" s="46">
        <f t="shared" ca="1" si="117"/>
        <v>4920</v>
      </c>
      <c r="AN498" s="46" t="b">
        <f t="shared" si="118"/>
        <v>0</v>
      </c>
      <c r="AO498" s="50" t="b">
        <f t="shared" si="119"/>
        <v>0</v>
      </c>
    </row>
    <row r="499" spans="21:41" x14ac:dyDescent="0.2">
      <c r="U499" s="46">
        <f t="shared" si="110"/>
        <v>4922</v>
      </c>
      <c r="V499" s="46">
        <f t="shared" si="111"/>
        <v>4931</v>
      </c>
      <c r="W499" s="33" t="e">
        <f>IFERROR(AVERAGEIFS(data_brute!M:M,data_brute!J:J,"&lt;="&amp;V499,data_brute!J:J,"&gt;="&amp;U499),NA())</f>
        <v>#N/A</v>
      </c>
      <c r="X499" s="46" t="e">
        <f t="shared" si="112"/>
        <v>#N/A</v>
      </c>
      <c r="Y499" s="2" t="b">
        <f t="shared" si="113"/>
        <v>0</v>
      </c>
      <c r="Z499" s="2" t="b">
        <f t="shared" si="114"/>
        <v>0</v>
      </c>
      <c r="AE499" s="46">
        <f t="shared" si="107"/>
        <v>4922</v>
      </c>
      <c r="AF499" s="46">
        <f t="shared" si="108"/>
        <v>4931</v>
      </c>
      <c r="AG499" s="33" t="e">
        <f>IFERROR(AVERAGEIFS(data_brute!M:M,data_brute!J:J,"&gt;="&amp;AE499,data_brute!J:J,"&lt;="&amp;AF499),NA())</f>
        <v>#N/A</v>
      </c>
      <c r="AH499" s="46" t="e">
        <f t="shared" si="109"/>
        <v>#N/A</v>
      </c>
      <c r="AJ499" s="46">
        <f t="shared" si="115"/>
        <v>4922</v>
      </c>
      <c r="AK499" s="46">
        <f t="shared" si="116"/>
        <v>4931</v>
      </c>
      <c r="AL499" s="33">
        <f ca="1">IFERROR(AVERAGEIFS(data_brute!M:M,data_brute!J:J,"&lt;="&amp;AK499),NA())</f>
        <v>25.353524229074896</v>
      </c>
      <c r="AM499" s="46">
        <f t="shared" ca="1" si="117"/>
        <v>4930</v>
      </c>
      <c r="AN499" s="46" t="b">
        <f t="shared" si="118"/>
        <v>0</v>
      </c>
      <c r="AO499" s="50" t="b">
        <f t="shared" si="119"/>
        <v>0</v>
      </c>
    </row>
    <row r="500" spans="21:41" x14ac:dyDescent="0.2">
      <c r="U500" s="46">
        <f t="shared" si="110"/>
        <v>4932</v>
      </c>
      <c r="V500" s="46">
        <f t="shared" si="111"/>
        <v>4941</v>
      </c>
      <c r="W500" s="33" t="e">
        <f>IFERROR(AVERAGEIFS(data_brute!M:M,data_brute!J:J,"&lt;="&amp;V500,data_brute!J:J,"&gt;="&amp;U500),NA())</f>
        <v>#N/A</v>
      </c>
      <c r="X500" s="46" t="e">
        <f t="shared" si="112"/>
        <v>#N/A</v>
      </c>
      <c r="Y500" s="2" t="b">
        <f t="shared" si="113"/>
        <v>0</v>
      </c>
      <c r="Z500" s="2" t="b">
        <f t="shared" si="114"/>
        <v>0</v>
      </c>
      <c r="AE500" s="46">
        <f t="shared" si="107"/>
        <v>4932</v>
      </c>
      <c r="AF500" s="46">
        <f t="shared" si="108"/>
        <v>4941</v>
      </c>
      <c r="AG500" s="33" t="e">
        <f>IFERROR(AVERAGEIFS(data_brute!M:M,data_brute!J:J,"&gt;="&amp;AE500,data_brute!J:J,"&lt;="&amp;AF500),NA())</f>
        <v>#N/A</v>
      </c>
      <c r="AH500" s="46" t="e">
        <f t="shared" si="109"/>
        <v>#N/A</v>
      </c>
      <c r="AJ500" s="46">
        <f t="shared" si="115"/>
        <v>4932</v>
      </c>
      <c r="AK500" s="46">
        <f t="shared" si="116"/>
        <v>4941</v>
      </c>
      <c r="AL500" s="33">
        <f ca="1">IFERROR(AVERAGEIFS(data_brute!M:M,data_brute!J:J,"&lt;="&amp;AK500),NA())</f>
        <v>25.353524229074896</v>
      </c>
      <c r="AM500" s="46">
        <f t="shared" ca="1" si="117"/>
        <v>4940</v>
      </c>
      <c r="AN500" s="46" t="b">
        <f t="shared" si="118"/>
        <v>0</v>
      </c>
      <c r="AO500" s="50" t="b">
        <f t="shared" si="119"/>
        <v>0</v>
      </c>
    </row>
    <row r="501" spans="21:41" x14ac:dyDescent="0.2">
      <c r="U501" s="46">
        <f t="shared" si="110"/>
        <v>4942</v>
      </c>
      <c r="V501" s="46">
        <f t="shared" si="111"/>
        <v>4951</v>
      </c>
      <c r="W501" s="33" t="e">
        <f>IFERROR(AVERAGEIFS(data_brute!M:M,data_brute!J:J,"&lt;="&amp;V501,data_brute!J:J,"&gt;="&amp;U501),NA())</f>
        <v>#N/A</v>
      </c>
      <c r="X501" s="46" t="e">
        <f t="shared" si="112"/>
        <v>#N/A</v>
      </c>
      <c r="Y501" s="2" t="b">
        <f t="shared" si="113"/>
        <v>0</v>
      </c>
      <c r="Z501" s="2" t="b">
        <f t="shared" si="114"/>
        <v>0</v>
      </c>
      <c r="AE501" s="46">
        <f t="shared" si="107"/>
        <v>4942</v>
      </c>
      <c r="AF501" s="46">
        <f t="shared" si="108"/>
        <v>4951</v>
      </c>
      <c r="AG501" s="33" t="e">
        <f>IFERROR(AVERAGEIFS(data_brute!M:M,data_brute!J:J,"&gt;="&amp;AE501,data_brute!J:J,"&lt;="&amp;AF501),NA())</f>
        <v>#N/A</v>
      </c>
      <c r="AH501" s="46" t="e">
        <f t="shared" si="109"/>
        <v>#N/A</v>
      </c>
      <c r="AJ501" s="46">
        <f t="shared" si="115"/>
        <v>4942</v>
      </c>
      <c r="AK501" s="46">
        <f t="shared" si="116"/>
        <v>4951</v>
      </c>
      <c r="AL501" s="33">
        <f ca="1">IFERROR(AVERAGEIFS(data_brute!M:M,data_brute!J:J,"&lt;="&amp;AK501),NA())</f>
        <v>25.353524229074896</v>
      </c>
      <c r="AM501" s="46">
        <f t="shared" ca="1" si="117"/>
        <v>4950</v>
      </c>
      <c r="AN501" s="46" t="b">
        <f t="shared" si="118"/>
        <v>0</v>
      </c>
      <c r="AO501" s="50" t="b">
        <f t="shared" si="119"/>
        <v>0</v>
      </c>
    </row>
    <row r="502" spans="21:41" x14ac:dyDescent="0.2">
      <c r="U502" s="46">
        <f t="shared" si="110"/>
        <v>4952</v>
      </c>
      <c r="V502" s="46">
        <f t="shared" si="111"/>
        <v>4961</v>
      </c>
      <c r="W502" s="33" t="e">
        <f>IFERROR(AVERAGEIFS(data_brute!M:M,data_brute!J:J,"&lt;="&amp;V502,data_brute!J:J,"&gt;="&amp;U502),NA())</f>
        <v>#N/A</v>
      </c>
      <c r="X502" s="46" t="e">
        <f t="shared" si="112"/>
        <v>#N/A</v>
      </c>
      <c r="Y502" s="2" t="b">
        <f t="shared" si="113"/>
        <v>0</v>
      </c>
      <c r="Z502" s="2" t="b">
        <f t="shared" si="114"/>
        <v>0</v>
      </c>
      <c r="AE502" s="46">
        <f t="shared" si="107"/>
        <v>4952</v>
      </c>
      <c r="AF502" s="46">
        <f t="shared" si="108"/>
        <v>4961</v>
      </c>
      <c r="AG502" s="33" t="e">
        <f>IFERROR(AVERAGEIFS(data_brute!M:M,data_brute!J:J,"&gt;="&amp;AE502,data_brute!J:J,"&lt;="&amp;AF502),NA())</f>
        <v>#N/A</v>
      </c>
      <c r="AH502" s="46" t="e">
        <f t="shared" si="109"/>
        <v>#N/A</v>
      </c>
      <c r="AJ502" s="46">
        <f t="shared" si="115"/>
        <v>4952</v>
      </c>
      <c r="AK502" s="46">
        <f t="shared" si="116"/>
        <v>4961</v>
      </c>
      <c r="AL502" s="33">
        <f ca="1">IFERROR(AVERAGEIFS(data_brute!M:M,data_brute!J:J,"&lt;="&amp;AK502),NA())</f>
        <v>25.353524229074896</v>
      </c>
      <c r="AM502" s="46">
        <f t="shared" ca="1" si="117"/>
        <v>4960</v>
      </c>
      <c r="AN502" s="46" t="b">
        <f t="shared" si="118"/>
        <v>0</v>
      </c>
      <c r="AO502" s="50" t="b">
        <f t="shared" si="119"/>
        <v>0</v>
      </c>
    </row>
    <row r="503" spans="21:41" x14ac:dyDescent="0.2">
      <c r="U503" s="46">
        <f t="shared" si="110"/>
        <v>4962</v>
      </c>
      <c r="V503" s="46">
        <f t="shared" si="111"/>
        <v>4971</v>
      </c>
      <c r="W503" s="33" t="e">
        <f>IFERROR(AVERAGEIFS(data_brute!M:M,data_brute!J:J,"&lt;="&amp;V503,data_brute!J:J,"&gt;="&amp;U503),NA())</f>
        <v>#N/A</v>
      </c>
      <c r="X503" s="46" t="e">
        <f t="shared" si="112"/>
        <v>#N/A</v>
      </c>
      <c r="Y503" s="2" t="b">
        <f t="shared" si="113"/>
        <v>0</v>
      </c>
      <c r="Z503" s="2" t="b">
        <f t="shared" si="114"/>
        <v>0</v>
      </c>
      <c r="AE503" s="46">
        <f t="shared" si="107"/>
        <v>4962</v>
      </c>
      <c r="AF503" s="46">
        <f t="shared" si="108"/>
        <v>4971</v>
      </c>
      <c r="AG503" s="33" t="e">
        <f>IFERROR(AVERAGEIFS(data_brute!M:M,data_brute!J:J,"&gt;="&amp;AE503,data_brute!J:J,"&lt;="&amp;AF503),NA())</f>
        <v>#N/A</v>
      </c>
      <c r="AH503" s="46" t="e">
        <f t="shared" si="109"/>
        <v>#N/A</v>
      </c>
      <c r="AJ503" s="46">
        <f t="shared" si="115"/>
        <v>4962</v>
      </c>
      <c r="AK503" s="46">
        <f t="shared" si="116"/>
        <v>4971</v>
      </c>
      <c r="AL503" s="33">
        <f ca="1">IFERROR(AVERAGEIFS(data_brute!M:M,data_brute!J:J,"&lt;="&amp;AK503),NA())</f>
        <v>25.353524229074896</v>
      </c>
      <c r="AM503" s="46">
        <f t="shared" ca="1" si="117"/>
        <v>4970</v>
      </c>
      <c r="AN503" s="46" t="b">
        <f t="shared" si="118"/>
        <v>0</v>
      </c>
      <c r="AO503" s="50" t="b">
        <f t="shared" si="119"/>
        <v>0</v>
      </c>
    </row>
    <row r="504" spans="21:41" x14ac:dyDescent="0.2">
      <c r="U504" s="46">
        <f t="shared" si="110"/>
        <v>4972</v>
      </c>
      <c r="V504" s="46">
        <f t="shared" si="111"/>
        <v>4981</v>
      </c>
      <c r="W504" s="33" t="e">
        <f>IFERROR(AVERAGEIFS(data_brute!M:M,data_brute!J:J,"&lt;="&amp;V504,data_brute!J:J,"&gt;="&amp;U504),NA())</f>
        <v>#N/A</v>
      </c>
      <c r="X504" s="46" t="e">
        <f t="shared" si="112"/>
        <v>#N/A</v>
      </c>
      <c r="Y504" s="2" t="b">
        <f t="shared" si="113"/>
        <v>0</v>
      </c>
      <c r="Z504" s="2" t="b">
        <f t="shared" si="114"/>
        <v>0</v>
      </c>
      <c r="AE504" s="46">
        <f t="shared" si="107"/>
        <v>4972</v>
      </c>
      <c r="AF504" s="46">
        <f t="shared" si="108"/>
        <v>4981</v>
      </c>
      <c r="AG504" s="33" t="e">
        <f>IFERROR(AVERAGEIFS(data_brute!M:M,data_brute!J:J,"&gt;="&amp;AE504,data_brute!J:J,"&lt;="&amp;AF504),NA())</f>
        <v>#N/A</v>
      </c>
      <c r="AH504" s="46" t="e">
        <f t="shared" si="109"/>
        <v>#N/A</v>
      </c>
      <c r="AJ504" s="46">
        <f t="shared" si="115"/>
        <v>4972</v>
      </c>
      <c r="AK504" s="46">
        <f t="shared" si="116"/>
        <v>4981</v>
      </c>
      <c r="AL504" s="33">
        <f ca="1">IFERROR(AVERAGEIFS(data_brute!M:M,data_brute!J:J,"&lt;="&amp;AK504),NA())</f>
        <v>25.353524229074896</v>
      </c>
      <c r="AM504" s="46">
        <f t="shared" ca="1" si="117"/>
        <v>4980</v>
      </c>
      <c r="AN504" s="46" t="b">
        <f t="shared" si="118"/>
        <v>0</v>
      </c>
      <c r="AO504" s="50" t="b">
        <f t="shared" si="119"/>
        <v>0</v>
      </c>
    </row>
    <row r="505" spans="21:41" x14ac:dyDescent="0.2">
      <c r="U505" s="46">
        <f t="shared" si="110"/>
        <v>4982</v>
      </c>
      <c r="V505" s="46">
        <f t="shared" si="111"/>
        <v>4991</v>
      </c>
      <c r="W505" s="33" t="e">
        <f>IFERROR(AVERAGEIFS(data_brute!M:M,data_brute!J:J,"&lt;="&amp;V505,data_brute!J:J,"&gt;="&amp;U505),NA())</f>
        <v>#N/A</v>
      </c>
      <c r="X505" s="46" t="e">
        <f t="shared" si="112"/>
        <v>#N/A</v>
      </c>
      <c r="Y505" s="2" t="b">
        <f t="shared" si="113"/>
        <v>0</v>
      </c>
      <c r="Z505" s="2" t="b">
        <f t="shared" si="114"/>
        <v>0</v>
      </c>
      <c r="AE505" s="46">
        <f t="shared" si="107"/>
        <v>4982</v>
      </c>
      <c r="AF505" s="46">
        <f t="shared" si="108"/>
        <v>4991</v>
      </c>
      <c r="AG505" s="33" t="e">
        <f>IFERROR(AVERAGEIFS(data_brute!M:M,data_brute!J:J,"&gt;="&amp;AE505,data_brute!J:J,"&lt;="&amp;AF505),NA())</f>
        <v>#N/A</v>
      </c>
      <c r="AH505" s="46" t="e">
        <f t="shared" si="109"/>
        <v>#N/A</v>
      </c>
      <c r="AJ505" s="46">
        <f t="shared" si="115"/>
        <v>4982</v>
      </c>
      <c r="AK505" s="46">
        <f t="shared" si="116"/>
        <v>4991</v>
      </c>
      <c r="AL505" s="33">
        <f ca="1">IFERROR(AVERAGEIFS(data_brute!M:M,data_brute!J:J,"&lt;="&amp;AK505),NA())</f>
        <v>25.353524229074896</v>
      </c>
      <c r="AM505" s="46">
        <f t="shared" ca="1" si="117"/>
        <v>4990</v>
      </c>
      <c r="AN505" s="46" t="b">
        <f t="shared" si="118"/>
        <v>0</v>
      </c>
      <c r="AO505" s="50" t="b">
        <f t="shared" si="119"/>
        <v>0</v>
      </c>
    </row>
    <row r="506" spans="21:41" x14ac:dyDescent="0.2">
      <c r="U506" s="46">
        <f t="shared" si="110"/>
        <v>4992</v>
      </c>
      <c r="V506" s="46">
        <f t="shared" si="111"/>
        <v>5001</v>
      </c>
      <c r="W506" s="33" t="e">
        <f>IFERROR(AVERAGEIFS(data_brute!M:M,data_brute!J:J,"&lt;="&amp;V506,data_brute!J:J,"&gt;="&amp;U506),NA())</f>
        <v>#N/A</v>
      </c>
      <c r="X506" s="46" t="e">
        <f t="shared" si="112"/>
        <v>#N/A</v>
      </c>
      <c r="Y506" s="2" t="b">
        <f t="shared" si="113"/>
        <v>0</v>
      </c>
      <c r="Z506" s="2" t="b">
        <f t="shared" si="114"/>
        <v>0</v>
      </c>
      <c r="AE506" s="46">
        <f t="shared" si="107"/>
        <v>4992</v>
      </c>
      <c r="AF506" s="46">
        <f t="shared" si="108"/>
        <v>5001</v>
      </c>
      <c r="AG506" s="33" t="e">
        <f>IFERROR(AVERAGEIFS(data_brute!M:M,data_brute!J:J,"&gt;="&amp;AE506,data_brute!J:J,"&lt;="&amp;AF506),NA())</f>
        <v>#N/A</v>
      </c>
      <c r="AH506" s="46" t="e">
        <f t="shared" si="109"/>
        <v>#N/A</v>
      </c>
      <c r="AJ506" s="46">
        <f t="shared" si="115"/>
        <v>4992</v>
      </c>
      <c r="AK506" s="46">
        <f t="shared" si="116"/>
        <v>5001</v>
      </c>
      <c r="AL506" s="33">
        <f ca="1">IFERROR(AVERAGEIFS(data_brute!M:M,data_brute!J:J,"&lt;="&amp;AK506),NA())</f>
        <v>25.353524229074896</v>
      </c>
      <c r="AM506" s="46">
        <f t="shared" ca="1" si="117"/>
        <v>5000</v>
      </c>
      <c r="AN506" s="46" t="b">
        <f t="shared" si="118"/>
        <v>0</v>
      </c>
      <c r="AO506" s="50" t="b">
        <f t="shared" si="119"/>
        <v>0</v>
      </c>
    </row>
    <row r="507" spans="21:41" x14ac:dyDescent="0.2">
      <c r="U507" s="46">
        <f t="shared" si="110"/>
        <v>5002</v>
      </c>
      <c r="V507" s="46">
        <f t="shared" si="111"/>
        <v>5011</v>
      </c>
      <c r="W507" s="33" t="e">
        <f>IFERROR(AVERAGEIFS(data_brute!M:M,data_brute!J:J,"&lt;="&amp;V507,data_brute!J:J,"&gt;="&amp;U507),NA())</f>
        <v>#N/A</v>
      </c>
      <c r="X507" s="46" t="e">
        <f t="shared" si="112"/>
        <v>#N/A</v>
      </c>
      <c r="Y507" s="2" t="b">
        <f t="shared" si="113"/>
        <v>0</v>
      </c>
      <c r="Z507" s="2" t="b">
        <f t="shared" si="114"/>
        <v>0</v>
      </c>
      <c r="AE507" s="46">
        <f t="shared" si="107"/>
        <v>5002</v>
      </c>
      <c r="AF507" s="46">
        <f t="shared" si="108"/>
        <v>5011</v>
      </c>
      <c r="AG507" s="33" t="e">
        <f>IFERROR(AVERAGEIFS(data_brute!M:M,data_brute!J:J,"&gt;="&amp;AE507,data_brute!J:J,"&lt;="&amp;AF507),NA())</f>
        <v>#N/A</v>
      </c>
      <c r="AH507" s="46" t="e">
        <f t="shared" si="109"/>
        <v>#N/A</v>
      </c>
      <c r="AJ507" s="46">
        <f t="shared" si="115"/>
        <v>5002</v>
      </c>
      <c r="AK507" s="46">
        <f t="shared" si="116"/>
        <v>5011</v>
      </c>
      <c r="AL507" s="33">
        <f ca="1">IFERROR(AVERAGEIFS(data_brute!M:M,data_brute!J:J,"&lt;="&amp;AK507),NA())</f>
        <v>25.353524229074896</v>
      </c>
      <c r="AM507" s="46">
        <f t="shared" ca="1" si="117"/>
        <v>5010</v>
      </c>
      <c r="AN507" s="46" t="b">
        <f t="shared" si="118"/>
        <v>0</v>
      </c>
      <c r="AO507" s="50" t="b">
        <f t="shared" si="119"/>
        <v>0</v>
      </c>
    </row>
    <row r="508" spans="21:41" x14ac:dyDescent="0.2">
      <c r="U508" s="46">
        <f t="shared" si="110"/>
        <v>5012</v>
      </c>
      <c r="V508" s="46">
        <f t="shared" si="111"/>
        <v>5021</v>
      </c>
      <c r="W508" s="33" t="e">
        <f>IFERROR(AVERAGEIFS(data_brute!M:M,data_brute!J:J,"&lt;="&amp;V508,data_brute!J:J,"&gt;="&amp;U508),NA())</f>
        <v>#N/A</v>
      </c>
      <c r="X508" s="46" t="e">
        <f t="shared" si="112"/>
        <v>#N/A</v>
      </c>
      <c r="Y508" s="2" t="b">
        <f t="shared" si="113"/>
        <v>0</v>
      </c>
      <c r="Z508" s="2" t="b">
        <f t="shared" si="114"/>
        <v>0</v>
      </c>
      <c r="AE508" s="46">
        <f t="shared" si="107"/>
        <v>5012</v>
      </c>
      <c r="AF508" s="46">
        <f t="shared" si="108"/>
        <v>5021</v>
      </c>
      <c r="AG508" s="33" t="e">
        <f>IFERROR(AVERAGEIFS(data_brute!M:M,data_brute!J:J,"&gt;="&amp;AE508,data_brute!J:J,"&lt;="&amp;AF508),NA())</f>
        <v>#N/A</v>
      </c>
      <c r="AH508" s="46" t="e">
        <f t="shared" si="109"/>
        <v>#N/A</v>
      </c>
      <c r="AJ508" s="46">
        <f t="shared" si="115"/>
        <v>5012</v>
      </c>
      <c r="AK508" s="46">
        <f t="shared" si="116"/>
        <v>5021</v>
      </c>
      <c r="AL508" s="33">
        <f ca="1">IFERROR(AVERAGEIFS(data_brute!M:M,data_brute!J:J,"&lt;="&amp;AK508),NA())</f>
        <v>25.353524229074896</v>
      </c>
      <c r="AM508" s="46">
        <f t="shared" ca="1" si="117"/>
        <v>5020</v>
      </c>
      <c r="AN508" s="46" t="b">
        <f t="shared" si="118"/>
        <v>0</v>
      </c>
      <c r="AO508" s="50" t="b">
        <f t="shared" si="119"/>
        <v>0</v>
      </c>
    </row>
    <row r="509" spans="21:41" x14ac:dyDescent="0.2">
      <c r="U509" s="46">
        <f t="shared" si="110"/>
        <v>5022</v>
      </c>
      <c r="V509" s="46">
        <f t="shared" si="111"/>
        <v>5031</v>
      </c>
      <c r="W509" s="33" t="e">
        <f>IFERROR(AVERAGEIFS(data_brute!M:M,data_brute!J:J,"&lt;="&amp;V509,data_brute!J:J,"&gt;="&amp;U509),NA())</f>
        <v>#N/A</v>
      </c>
      <c r="X509" s="46" t="e">
        <f t="shared" si="112"/>
        <v>#N/A</v>
      </c>
      <c r="Y509" s="2" t="b">
        <f t="shared" si="113"/>
        <v>0</v>
      </c>
      <c r="Z509" s="2" t="b">
        <f t="shared" si="114"/>
        <v>0</v>
      </c>
      <c r="AE509" s="46">
        <f t="shared" si="107"/>
        <v>5022</v>
      </c>
      <c r="AF509" s="46">
        <f t="shared" si="108"/>
        <v>5031</v>
      </c>
      <c r="AG509" s="33" t="e">
        <f>IFERROR(AVERAGEIFS(data_brute!M:M,data_brute!J:J,"&gt;="&amp;AE509,data_brute!J:J,"&lt;="&amp;AF509),NA())</f>
        <v>#N/A</v>
      </c>
      <c r="AH509" s="46" t="e">
        <f t="shared" si="109"/>
        <v>#N/A</v>
      </c>
      <c r="AJ509" s="46">
        <f t="shared" si="115"/>
        <v>5022</v>
      </c>
      <c r="AK509" s="46">
        <f t="shared" si="116"/>
        <v>5031</v>
      </c>
      <c r="AL509" s="33">
        <f ca="1">IFERROR(AVERAGEIFS(data_brute!M:M,data_brute!J:J,"&lt;="&amp;AK509),NA())</f>
        <v>25.353524229074896</v>
      </c>
      <c r="AM509" s="46">
        <f t="shared" ca="1" si="117"/>
        <v>5030</v>
      </c>
      <c r="AN509" s="46" t="b">
        <f t="shared" si="118"/>
        <v>0</v>
      </c>
      <c r="AO509" s="50" t="b">
        <f t="shared" si="119"/>
        <v>0</v>
      </c>
    </row>
    <row r="510" spans="21:41" x14ac:dyDescent="0.2">
      <c r="U510" s="46">
        <f t="shared" si="110"/>
        <v>5032</v>
      </c>
      <c r="V510" s="46">
        <f t="shared" si="111"/>
        <v>5041</v>
      </c>
      <c r="W510" s="33" t="e">
        <f>IFERROR(AVERAGEIFS(data_brute!M:M,data_brute!J:J,"&lt;="&amp;V510,data_brute!J:J,"&gt;="&amp;U510),NA())</f>
        <v>#N/A</v>
      </c>
      <c r="X510" s="46" t="e">
        <f t="shared" si="112"/>
        <v>#N/A</v>
      </c>
      <c r="Y510" s="2" t="b">
        <f t="shared" si="113"/>
        <v>0</v>
      </c>
      <c r="Z510" s="2" t="b">
        <f t="shared" si="114"/>
        <v>0</v>
      </c>
      <c r="AE510" s="46">
        <f t="shared" si="107"/>
        <v>5032</v>
      </c>
      <c r="AF510" s="46">
        <f t="shared" si="108"/>
        <v>5041</v>
      </c>
      <c r="AG510" s="33" t="e">
        <f>IFERROR(AVERAGEIFS(data_brute!M:M,data_brute!J:J,"&gt;="&amp;AE510,data_brute!J:J,"&lt;="&amp;AF510),NA())</f>
        <v>#N/A</v>
      </c>
      <c r="AH510" s="46" t="e">
        <f t="shared" si="109"/>
        <v>#N/A</v>
      </c>
      <c r="AJ510" s="46">
        <f t="shared" si="115"/>
        <v>5032</v>
      </c>
      <c r="AK510" s="46">
        <f t="shared" si="116"/>
        <v>5041</v>
      </c>
      <c r="AL510" s="33">
        <f ca="1">IFERROR(AVERAGEIFS(data_brute!M:M,data_brute!J:J,"&lt;="&amp;AK510),NA())</f>
        <v>25.353524229074896</v>
      </c>
      <c r="AM510" s="46">
        <f t="shared" ca="1" si="117"/>
        <v>5040</v>
      </c>
      <c r="AN510" s="46" t="b">
        <f t="shared" si="118"/>
        <v>0</v>
      </c>
      <c r="AO510" s="50" t="b">
        <f t="shared" si="119"/>
        <v>0</v>
      </c>
    </row>
    <row r="511" spans="21:41" x14ac:dyDescent="0.2">
      <c r="U511" s="46">
        <f t="shared" si="110"/>
        <v>5042</v>
      </c>
      <c r="V511" s="46">
        <f t="shared" si="111"/>
        <v>5051</v>
      </c>
      <c r="W511" s="33" t="e">
        <f>IFERROR(AVERAGEIFS(data_brute!M:M,data_brute!J:J,"&lt;="&amp;V511,data_brute!J:J,"&gt;="&amp;U511),NA())</f>
        <v>#N/A</v>
      </c>
      <c r="X511" s="46" t="e">
        <f t="shared" si="112"/>
        <v>#N/A</v>
      </c>
      <c r="Y511" s="2" t="b">
        <f t="shared" si="113"/>
        <v>0</v>
      </c>
      <c r="Z511" s="2" t="b">
        <f t="shared" si="114"/>
        <v>0</v>
      </c>
      <c r="AE511" s="46">
        <f t="shared" si="107"/>
        <v>5042</v>
      </c>
      <c r="AF511" s="46">
        <f t="shared" si="108"/>
        <v>5051</v>
      </c>
      <c r="AG511" s="33" t="e">
        <f>IFERROR(AVERAGEIFS(data_brute!M:M,data_brute!J:J,"&gt;="&amp;AE511,data_brute!J:J,"&lt;="&amp;AF511),NA())</f>
        <v>#N/A</v>
      </c>
      <c r="AH511" s="46" t="e">
        <f t="shared" si="109"/>
        <v>#N/A</v>
      </c>
      <c r="AJ511" s="46">
        <f t="shared" si="115"/>
        <v>5042</v>
      </c>
      <c r="AK511" s="46">
        <f t="shared" si="116"/>
        <v>5051</v>
      </c>
      <c r="AL511" s="33">
        <f ca="1">IFERROR(AVERAGEIFS(data_brute!M:M,data_brute!J:J,"&lt;="&amp;AK511),NA())</f>
        <v>25.353524229074896</v>
      </c>
      <c r="AM511" s="46">
        <f t="shared" ca="1" si="117"/>
        <v>5050</v>
      </c>
      <c r="AN511" s="46" t="b">
        <f t="shared" si="118"/>
        <v>0</v>
      </c>
      <c r="AO511" s="50" t="b">
        <f t="shared" si="119"/>
        <v>0</v>
      </c>
    </row>
    <row r="512" spans="21:41" x14ac:dyDescent="0.2">
      <c r="U512" s="46">
        <f t="shared" si="110"/>
        <v>5052</v>
      </c>
      <c r="V512" s="46">
        <f t="shared" si="111"/>
        <v>5061</v>
      </c>
      <c r="W512" s="33" t="e">
        <f>IFERROR(AVERAGEIFS(data_brute!M:M,data_brute!J:J,"&lt;="&amp;V512,data_brute!J:J,"&gt;="&amp;U512),NA())</f>
        <v>#N/A</v>
      </c>
      <c r="X512" s="46" t="e">
        <f t="shared" si="112"/>
        <v>#N/A</v>
      </c>
      <c r="Y512" s="2" t="b">
        <f t="shared" si="113"/>
        <v>0</v>
      </c>
      <c r="Z512" s="2" t="b">
        <f t="shared" si="114"/>
        <v>0</v>
      </c>
      <c r="AE512" s="46">
        <f t="shared" si="107"/>
        <v>5052</v>
      </c>
      <c r="AF512" s="46">
        <f t="shared" si="108"/>
        <v>5061</v>
      </c>
      <c r="AG512" s="33" t="e">
        <f>IFERROR(AVERAGEIFS(data_brute!M:M,data_brute!J:J,"&gt;="&amp;AE512,data_brute!J:J,"&lt;="&amp;AF512),NA())</f>
        <v>#N/A</v>
      </c>
      <c r="AH512" s="46" t="e">
        <f t="shared" si="109"/>
        <v>#N/A</v>
      </c>
      <c r="AJ512" s="46">
        <f t="shared" si="115"/>
        <v>5052</v>
      </c>
      <c r="AK512" s="46">
        <f t="shared" si="116"/>
        <v>5061</v>
      </c>
      <c r="AL512" s="33">
        <f ca="1">IFERROR(AVERAGEIFS(data_brute!M:M,data_brute!J:J,"&lt;="&amp;AK512),NA())</f>
        <v>25.353524229074896</v>
      </c>
      <c r="AM512" s="46">
        <f t="shared" ca="1" si="117"/>
        <v>5060</v>
      </c>
      <c r="AN512" s="46" t="b">
        <f t="shared" si="118"/>
        <v>0</v>
      </c>
      <c r="AO512" s="50" t="b">
        <f t="shared" si="119"/>
        <v>0</v>
      </c>
    </row>
    <row r="513" spans="21:41" x14ac:dyDescent="0.2">
      <c r="U513" s="46">
        <f t="shared" si="110"/>
        <v>5062</v>
      </c>
      <c r="V513" s="46">
        <f t="shared" si="111"/>
        <v>5071</v>
      </c>
      <c r="W513" s="33" t="e">
        <f>IFERROR(AVERAGEIFS(data_brute!M:M,data_brute!J:J,"&lt;="&amp;V513,data_brute!J:J,"&gt;="&amp;U513),NA())</f>
        <v>#N/A</v>
      </c>
      <c r="X513" s="46" t="e">
        <f t="shared" si="112"/>
        <v>#N/A</v>
      </c>
      <c r="Y513" s="2" t="b">
        <f t="shared" si="113"/>
        <v>0</v>
      </c>
      <c r="Z513" s="2" t="b">
        <f t="shared" si="114"/>
        <v>0</v>
      </c>
      <c r="AE513" s="46">
        <f t="shared" si="107"/>
        <v>5062</v>
      </c>
      <c r="AF513" s="46">
        <f t="shared" si="108"/>
        <v>5071</v>
      </c>
      <c r="AG513" s="33" t="e">
        <f>IFERROR(AVERAGEIFS(data_brute!M:M,data_brute!J:J,"&gt;="&amp;AE513,data_brute!J:J,"&lt;="&amp;AF513),NA())</f>
        <v>#N/A</v>
      </c>
      <c r="AH513" s="46" t="e">
        <f t="shared" si="109"/>
        <v>#N/A</v>
      </c>
      <c r="AJ513" s="46">
        <f t="shared" si="115"/>
        <v>5062</v>
      </c>
      <c r="AK513" s="46">
        <f t="shared" si="116"/>
        <v>5071</v>
      </c>
      <c r="AL513" s="33">
        <f ca="1">IFERROR(AVERAGEIFS(data_brute!M:M,data_brute!J:J,"&lt;="&amp;AK513),NA())</f>
        <v>25.353524229074896</v>
      </c>
      <c r="AM513" s="46">
        <f t="shared" ca="1" si="117"/>
        <v>5070</v>
      </c>
      <c r="AN513" s="46" t="b">
        <f t="shared" si="118"/>
        <v>0</v>
      </c>
      <c r="AO513" s="50" t="b">
        <f t="shared" si="119"/>
        <v>0</v>
      </c>
    </row>
    <row r="514" spans="21:41" x14ac:dyDescent="0.2">
      <c r="U514" s="46">
        <f t="shared" si="110"/>
        <v>5072</v>
      </c>
      <c r="V514" s="46">
        <f t="shared" si="111"/>
        <v>5081</v>
      </c>
      <c r="W514" s="33" t="e">
        <f>IFERROR(AVERAGEIFS(data_brute!M:M,data_brute!J:J,"&lt;="&amp;V514,data_brute!J:J,"&gt;="&amp;U514),NA())</f>
        <v>#N/A</v>
      </c>
      <c r="X514" s="46" t="e">
        <f t="shared" si="112"/>
        <v>#N/A</v>
      </c>
      <c r="Y514" s="2" t="b">
        <f t="shared" si="113"/>
        <v>0</v>
      </c>
      <c r="Z514" s="2" t="b">
        <f t="shared" si="114"/>
        <v>0</v>
      </c>
      <c r="AE514" s="46">
        <f t="shared" si="107"/>
        <v>5072</v>
      </c>
      <c r="AF514" s="46">
        <f t="shared" si="108"/>
        <v>5081</v>
      </c>
      <c r="AG514" s="33" t="e">
        <f>IFERROR(AVERAGEIFS(data_brute!M:M,data_brute!J:J,"&gt;="&amp;AE514,data_brute!J:J,"&lt;="&amp;AF514),NA())</f>
        <v>#N/A</v>
      </c>
      <c r="AH514" s="46" t="e">
        <f t="shared" si="109"/>
        <v>#N/A</v>
      </c>
      <c r="AJ514" s="46">
        <f t="shared" si="115"/>
        <v>5072</v>
      </c>
      <c r="AK514" s="46">
        <f t="shared" si="116"/>
        <v>5081</v>
      </c>
      <c r="AL514" s="33">
        <f ca="1">IFERROR(AVERAGEIFS(data_brute!M:M,data_brute!J:J,"&lt;="&amp;AK514),NA())</f>
        <v>25.353524229074896</v>
      </c>
      <c r="AM514" s="46">
        <f t="shared" ca="1" si="117"/>
        <v>5080</v>
      </c>
      <c r="AN514" s="46" t="b">
        <f t="shared" si="118"/>
        <v>0</v>
      </c>
      <c r="AO514" s="50" t="b">
        <f t="shared" si="119"/>
        <v>0</v>
      </c>
    </row>
    <row r="515" spans="21:41" x14ac:dyDescent="0.2">
      <c r="U515" s="46">
        <f t="shared" si="110"/>
        <v>5082</v>
      </c>
      <c r="V515" s="46">
        <f t="shared" si="111"/>
        <v>5091</v>
      </c>
      <c r="W515" s="33" t="e">
        <f>IFERROR(AVERAGEIFS(data_brute!M:M,data_brute!J:J,"&lt;="&amp;V515,data_brute!J:J,"&gt;="&amp;U515),NA())</f>
        <v>#N/A</v>
      </c>
      <c r="X515" s="46" t="e">
        <f t="shared" si="112"/>
        <v>#N/A</v>
      </c>
      <c r="Y515" s="2" t="b">
        <f t="shared" si="113"/>
        <v>0</v>
      </c>
      <c r="Z515" s="2" t="b">
        <f t="shared" si="114"/>
        <v>0</v>
      </c>
      <c r="AE515" s="46">
        <f t="shared" si="107"/>
        <v>5082</v>
      </c>
      <c r="AF515" s="46">
        <f t="shared" si="108"/>
        <v>5091</v>
      </c>
      <c r="AG515" s="33" t="e">
        <f>IFERROR(AVERAGEIFS(data_brute!M:M,data_brute!J:J,"&gt;="&amp;AE515,data_brute!J:J,"&lt;="&amp;AF515),NA())</f>
        <v>#N/A</v>
      </c>
      <c r="AH515" s="46" t="e">
        <f t="shared" si="109"/>
        <v>#N/A</v>
      </c>
      <c r="AJ515" s="46">
        <f t="shared" si="115"/>
        <v>5082</v>
      </c>
      <c r="AK515" s="46">
        <f t="shared" si="116"/>
        <v>5091</v>
      </c>
      <c r="AL515" s="33">
        <f ca="1">IFERROR(AVERAGEIFS(data_brute!M:M,data_brute!J:J,"&lt;="&amp;AK515),NA())</f>
        <v>25.353524229074896</v>
      </c>
      <c r="AM515" s="46">
        <f t="shared" ca="1" si="117"/>
        <v>5090</v>
      </c>
      <c r="AN515" s="46" t="b">
        <f t="shared" si="118"/>
        <v>0</v>
      </c>
      <c r="AO515" s="50" t="b">
        <f t="shared" si="119"/>
        <v>0</v>
      </c>
    </row>
    <row r="516" spans="21:41" x14ac:dyDescent="0.2">
      <c r="U516" s="46">
        <f t="shared" si="110"/>
        <v>5092</v>
      </c>
      <c r="V516" s="46">
        <f t="shared" si="111"/>
        <v>5101</v>
      </c>
      <c r="W516" s="33" t="e">
        <f>IFERROR(AVERAGEIFS(data_brute!M:M,data_brute!J:J,"&lt;="&amp;V516,data_brute!J:J,"&gt;="&amp;U516),NA())</f>
        <v>#N/A</v>
      </c>
      <c r="X516" s="46" t="e">
        <f t="shared" si="112"/>
        <v>#N/A</v>
      </c>
      <c r="Y516" s="2" t="b">
        <f t="shared" si="113"/>
        <v>0</v>
      </c>
      <c r="Z516" s="2" t="b">
        <f t="shared" si="114"/>
        <v>0</v>
      </c>
      <c r="AE516" s="46">
        <f t="shared" si="107"/>
        <v>5092</v>
      </c>
      <c r="AF516" s="46">
        <f t="shared" si="108"/>
        <v>5101</v>
      </c>
      <c r="AG516" s="33" t="e">
        <f>IFERROR(AVERAGEIFS(data_brute!M:M,data_brute!J:J,"&gt;="&amp;AE516,data_brute!J:J,"&lt;="&amp;AF516),NA())</f>
        <v>#N/A</v>
      </c>
      <c r="AH516" s="46" t="e">
        <f t="shared" si="109"/>
        <v>#N/A</v>
      </c>
      <c r="AJ516" s="46">
        <f t="shared" si="115"/>
        <v>5092</v>
      </c>
      <c r="AK516" s="46">
        <f t="shared" si="116"/>
        <v>5101</v>
      </c>
      <c r="AL516" s="33">
        <f ca="1">IFERROR(AVERAGEIFS(data_brute!M:M,data_brute!J:J,"&lt;="&amp;AK516),NA())</f>
        <v>25.353524229074896</v>
      </c>
      <c r="AM516" s="46">
        <f t="shared" ca="1" si="117"/>
        <v>5100</v>
      </c>
      <c r="AN516" s="46" t="b">
        <f t="shared" si="118"/>
        <v>0</v>
      </c>
      <c r="AO516" s="50" t="b">
        <f t="shared" si="119"/>
        <v>0</v>
      </c>
    </row>
    <row r="517" spans="21:41" x14ac:dyDescent="0.2">
      <c r="U517" s="46">
        <f t="shared" si="110"/>
        <v>5102</v>
      </c>
      <c r="V517" s="46">
        <f t="shared" si="111"/>
        <v>5111</v>
      </c>
      <c r="W517" s="33" t="e">
        <f>IFERROR(AVERAGEIFS(data_brute!M:M,data_brute!J:J,"&lt;="&amp;V517,data_brute!J:J,"&gt;="&amp;U517),NA())</f>
        <v>#N/A</v>
      </c>
      <c r="X517" s="46" t="e">
        <f t="shared" si="112"/>
        <v>#N/A</v>
      </c>
      <c r="Y517" s="2" t="b">
        <f t="shared" si="113"/>
        <v>0</v>
      </c>
      <c r="Z517" s="2" t="b">
        <f t="shared" si="114"/>
        <v>0</v>
      </c>
      <c r="AE517" s="46">
        <f t="shared" si="107"/>
        <v>5102</v>
      </c>
      <c r="AF517" s="46">
        <f t="shared" si="108"/>
        <v>5111</v>
      </c>
      <c r="AG517" s="33" t="e">
        <f>IFERROR(AVERAGEIFS(data_brute!M:M,data_brute!J:J,"&gt;="&amp;AE517,data_brute!J:J,"&lt;="&amp;AF517),NA())</f>
        <v>#N/A</v>
      </c>
      <c r="AH517" s="46" t="e">
        <f t="shared" si="109"/>
        <v>#N/A</v>
      </c>
      <c r="AJ517" s="46">
        <f t="shared" si="115"/>
        <v>5102</v>
      </c>
      <c r="AK517" s="46">
        <f t="shared" si="116"/>
        <v>5111</v>
      </c>
      <c r="AL517" s="33">
        <f ca="1">IFERROR(AVERAGEIFS(data_brute!M:M,data_brute!J:J,"&lt;="&amp;AK517),NA())</f>
        <v>25.353524229074896</v>
      </c>
      <c r="AM517" s="46">
        <f t="shared" ca="1" si="117"/>
        <v>5110</v>
      </c>
      <c r="AN517" s="46" t="b">
        <f t="shared" si="118"/>
        <v>0</v>
      </c>
      <c r="AO517" s="50" t="b">
        <f t="shared" si="119"/>
        <v>0</v>
      </c>
    </row>
    <row r="518" spans="21:41" x14ac:dyDescent="0.2">
      <c r="U518" s="46">
        <f t="shared" si="110"/>
        <v>5112</v>
      </c>
      <c r="V518" s="46">
        <f t="shared" si="111"/>
        <v>5121</v>
      </c>
      <c r="W518" s="33" t="e">
        <f>IFERROR(AVERAGEIFS(data_brute!M:M,data_brute!J:J,"&lt;="&amp;V518,data_brute!J:J,"&gt;="&amp;U518),NA())</f>
        <v>#N/A</v>
      </c>
      <c r="X518" s="46" t="e">
        <f t="shared" si="112"/>
        <v>#N/A</v>
      </c>
      <c r="Y518" s="2" t="b">
        <f t="shared" si="113"/>
        <v>0</v>
      </c>
      <c r="Z518" s="2" t="b">
        <f t="shared" si="114"/>
        <v>0</v>
      </c>
      <c r="AE518" s="46">
        <f t="shared" si="107"/>
        <v>5112</v>
      </c>
      <c r="AF518" s="46">
        <f t="shared" si="108"/>
        <v>5121</v>
      </c>
      <c r="AG518" s="33" t="e">
        <f>IFERROR(AVERAGEIFS(data_brute!M:M,data_brute!J:J,"&gt;="&amp;AE518,data_brute!J:J,"&lt;="&amp;AF518),NA())</f>
        <v>#N/A</v>
      </c>
      <c r="AH518" s="46" t="e">
        <f t="shared" si="109"/>
        <v>#N/A</v>
      </c>
      <c r="AJ518" s="46">
        <f t="shared" si="115"/>
        <v>5112</v>
      </c>
      <c r="AK518" s="46">
        <f t="shared" si="116"/>
        <v>5121</v>
      </c>
      <c r="AL518" s="33">
        <f ca="1">IFERROR(AVERAGEIFS(data_brute!M:M,data_brute!J:J,"&lt;="&amp;AK518),NA())</f>
        <v>25.353524229074896</v>
      </c>
      <c r="AM518" s="46">
        <f t="shared" ca="1" si="117"/>
        <v>5120</v>
      </c>
      <c r="AN518" s="46" t="b">
        <f t="shared" si="118"/>
        <v>0</v>
      </c>
      <c r="AO518" s="50" t="b">
        <f t="shared" si="119"/>
        <v>0</v>
      </c>
    </row>
    <row r="519" spans="21:41" x14ac:dyDescent="0.2">
      <c r="U519" s="46">
        <f t="shared" si="110"/>
        <v>5122</v>
      </c>
      <c r="V519" s="46">
        <f t="shared" si="111"/>
        <v>5131</v>
      </c>
      <c r="W519" s="33" t="e">
        <f>IFERROR(AVERAGEIFS(data_brute!M:M,data_brute!J:J,"&lt;="&amp;V519,data_brute!J:J,"&gt;="&amp;U519),NA())</f>
        <v>#N/A</v>
      </c>
      <c r="X519" s="46" t="e">
        <f t="shared" si="112"/>
        <v>#N/A</v>
      </c>
      <c r="Y519" s="2" t="b">
        <f t="shared" si="113"/>
        <v>0</v>
      </c>
      <c r="Z519" s="2" t="b">
        <f t="shared" si="114"/>
        <v>0</v>
      </c>
      <c r="AE519" s="46">
        <f t="shared" si="107"/>
        <v>5122</v>
      </c>
      <c r="AF519" s="46">
        <f t="shared" si="108"/>
        <v>5131</v>
      </c>
      <c r="AG519" s="33" t="e">
        <f>IFERROR(AVERAGEIFS(data_brute!M:M,data_brute!J:J,"&gt;="&amp;AE519,data_brute!J:J,"&lt;="&amp;AF519),NA())</f>
        <v>#N/A</v>
      </c>
      <c r="AH519" s="46" t="e">
        <f t="shared" si="109"/>
        <v>#N/A</v>
      </c>
      <c r="AJ519" s="46">
        <f t="shared" si="115"/>
        <v>5122</v>
      </c>
      <c r="AK519" s="46">
        <f t="shared" si="116"/>
        <v>5131</v>
      </c>
      <c r="AL519" s="33">
        <f ca="1">IFERROR(AVERAGEIFS(data_brute!M:M,data_brute!J:J,"&lt;="&amp;AK519),NA())</f>
        <v>25.353524229074896</v>
      </c>
      <c r="AM519" s="46">
        <f t="shared" ca="1" si="117"/>
        <v>5130</v>
      </c>
      <c r="AN519" s="46" t="b">
        <f t="shared" si="118"/>
        <v>0</v>
      </c>
      <c r="AO519" s="50" t="b">
        <f t="shared" si="119"/>
        <v>0</v>
      </c>
    </row>
    <row r="520" spans="21:41" x14ac:dyDescent="0.2">
      <c r="U520" s="46">
        <f t="shared" si="110"/>
        <v>5132</v>
      </c>
      <c r="V520" s="46">
        <f t="shared" si="111"/>
        <v>5141</v>
      </c>
      <c r="W520" s="33" t="e">
        <f>IFERROR(AVERAGEIFS(data_brute!M:M,data_brute!J:J,"&lt;="&amp;V520,data_brute!J:J,"&gt;="&amp;U520),NA())</f>
        <v>#N/A</v>
      </c>
      <c r="X520" s="46" t="e">
        <f t="shared" si="112"/>
        <v>#N/A</v>
      </c>
      <c r="Y520" s="2" t="b">
        <f t="shared" si="113"/>
        <v>0</v>
      </c>
      <c r="Z520" s="2" t="b">
        <f t="shared" si="114"/>
        <v>0</v>
      </c>
      <c r="AE520" s="46">
        <f t="shared" si="107"/>
        <v>5132</v>
      </c>
      <c r="AF520" s="46">
        <f t="shared" si="108"/>
        <v>5141</v>
      </c>
      <c r="AG520" s="33" t="e">
        <f>IFERROR(AVERAGEIFS(data_brute!M:M,data_brute!J:J,"&gt;="&amp;AE520,data_brute!J:J,"&lt;="&amp;AF520),NA())</f>
        <v>#N/A</v>
      </c>
      <c r="AH520" s="46" t="e">
        <f t="shared" si="109"/>
        <v>#N/A</v>
      </c>
      <c r="AJ520" s="46">
        <f t="shared" si="115"/>
        <v>5132</v>
      </c>
      <c r="AK520" s="46">
        <f t="shared" si="116"/>
        <v>5141</v>
      </c>
      <c r="AL520" s="33">
        <f ca="1">IFERROR(AVERAGEIFS(data_brute!M:M,data_brute!J:J,"&lt;="&amp;AK520),NA())</f>
        <v>25.353524229074896</v>
      </c>
      <c r="AM520" s="46">
        <f t="shared" ca="1" si="117"/>
        <v>5140</v>
      </c>
      <c r="AN520" s="46" t="b">
        <f t="shared" si="118"/>
        <v>0</v>
      </c>
      <c r="AO520" s="50" t="b">
        <f t="shared" si="119"/>
        <v>0</v>
      </c>
    </row>
    <row r="521" spans="21:41" x14ac:dyDescent="0.2">
      <c r="U521" s="46">
        <f t="shared" si="110"/>
        <v>5142</v>
      </c>
      <c r="V521" s="46">
        <f t="shared" si="111"/>
        <v>5151</v>
      </c>
      <c r="W521" s="33" t="e">
        <f>IFERROR(AVERAGEIFS(data_brute!M:M,data_brute!J:J,"&lt;="&amp;V521,data_brute!J:J,"&gt;="&amp;U521),NA())</f>
        <v>#N/A</v>
      </c>
      <c r="X521" s="46" t="e">
        <f t="shared" si="112"/>
        <v>#N/A</v>
      </c>
      <c r="Y521" s="2" t="b">
        <f t="shared" si="113"/>
        <v>0</v>
      </c>
      <c r="Z521" s="2" t="b">
        <f t="shared" si="114"/>
        <v>0</v>
      </c>
      <c r="AE521" s="46">
        <f t="shared" si="107"/>
        <v>5142</v>
      </c>
      <c r="AF521" s="46">
        <f t="shared" si="108"/>
        <v>5151</v>
      </c>
      <c r="AG521" s="33" t="e">
        <f>IFERROR(AVERAGEIFS(data_brute!M:M,data_brute!J:J,"&gt;="&amp;AE521,data_brute!J:J,"&lt;="&amp;AF521),NA())</f>
        <v>#N/A</v>
      </c>
      <c r="AH521" s="46" t="e">
        <f t="shared" si="109"/>
        <v>#N/A</v>
      </c>
      <c r="AJ521" s="46">
        <f t="shared" si="115"/>
        <v>5142</v>
      </c>
      <c r="AK521" s="46">
        <f t="shared" si="116"/>
        <v>5151</v>
      </c>
      <c r="AL521" s="33">
        <f ca="1">IFERROR(AVERAGEIFS(data_brute!M:M,data_brute!J:J,"&lt;="&amp;AK521),NA())</f>
        <v>25.353524229074896</v>
      </c>
      <c r="AM521" s="46">
        <f t="shared" ca="1" si="117"/>
        <v>5150</v>
      </c>
      <c r="AN521" s="46" t="b">
        <f t="shared" si="118"/>
        <v>0</v>
      </c>
      <c r="AO521" s="50" t="b">
        <f t="shared" si="119"/>
        <v>0</v>
      </c>
    </row>
    <row r="522" spans="21:41" x14ac:dyDescent="0.2">
      <c r="U522" s="46">
        <f t="shared" si="110"/>
        <v>5152</v>
      </c>
      <c r="V522" s="46">
        <f t="shared" si="111"/>
        <v>5161</v>
      </c>
      <c r="W522" s="33" t="e">
        <f>IFERROR(AVERAGEIFS(data_brute!M:M,data_brute!J:J,"&lt;="&amp;V522,data_brute!J:J,"&gt;="&amp;U522),NA())</f>
        <v>#N/A</v>
      </c>
      <c r="X522" s="46" t="e">
        <f t="shared" si="112"/>
        <v>#N/A</v>
      </c>
      <c r="Y522" s="2" t="b">
        <f t="shared" si="113"/>
        <v>0</v>
      </c>
      <c r="Z522" s="2" t="b">
        <f t="shared" si="114"/>
        <v>0</v>
      </c>
      <c r="AE522" s="46">
        <f t="shared" si="107"/>
        <v>5152</v>
      </c>
      <c r="AF522" s="46">
        <f t="shared" si="108"/>
        <v>5161</v>
      </c>
      <c r="AG522" s="33" t="e">
        <f>IFERROR(AVERAGEIFS(data_brute!M:M,data_brute!J:J,"&gt;="&amp;AE522,data_brute!J:J,"&lt;="&amp;AF522),NA())</f>
        <v>#N/A</v>
      </c>
      <c r="AH522" s="46" t="e">
        <f t="shared" si="109"/>
        <v>#N/A</v>
      </c>
      <c r="AJ522" s="46">
        <f t="shared" si="115"/>
        <v>5152</v>
      </c>
      <c r="AK522" s="46">
        <f t="shared" si="116"/>
        <v>5161</v>
      </c>
      <c r="AL522" s="33">
        <f ca="1">IFERROR(AVERAGEIFS(data_brute!M:M,data_brute!J:J,"&lt;="&amp;AK522),NA())</f>
        <v>25.353524229074896</v>
      </c>
      <c r="AM522" s="46">
        <f t="shared" ca="1" si="117"/>
        <v>5160</v>
      </c>
      <c r="AN522" s="46" t="b">
        <f t="shared" si="118"/>
        <v>0</v>
      </c>
      <c r="AO522" s="50" t="b">
        <f t="shared" si="119"/>
        <v>0</v>
      </c>
    </row>
    <row r="523" spans="21:41" x14ac:dyDescent="0.2">
      <c r="U523" s="46">
        <f t="shared" si="110"/>
        <v>5162</v>
      </c>
      <c r="V523" s="46">
        <f t="shared" si="111"/>
        <v>5171</v>
      </c>
      <c r="W523" s="33" t="e">
        <f>IFERROR(AVERAGEIFS(data_brute!M:M,data_brute!J:J,"&lt;="&amp;V523,data_brute!J:J,"&gt;="&amp;U523),NA())</f>
        <v>#N/A</v>
      </c>
      <c r="X523" s="46" t="e">
        <f t="shared" si="112"/>
        <v>#N/A</v>
      </c>
      <c r="Y523" s="2" t="b">
        <f t="shared" si="113"/>
        <v>0</v>
      </c>
      <c r="Z523" s="2" t="b">
        <f t="shared" si="114"/>
        <v>0</v>
      </c>
      <c r="AE523" s="46">
        <f t="shared" si="107"/>
        <v>5162</v>
      </c>
      <c r="AF523" s="46">
        <f t="shared" si="108"/>
        <v>5171</v>
      </c>
      <c r="AG523" s="33" t="e">
        <f>IFERROR(AVERAGEIFS(data_brute!M:M,data_brute!J:J,"&gt;="&amp;AE523,data_brute!J:J,"&lt;="&amp;AF523),NA())</f>
        <v>#N/A</v>
      </c>
      <c r="AH523" s="46" t="e">
        <f t="shared" si="109"/>
        <v>#N/A</v>
      </c>
      <c r="AJ523" s="46">
        <f t="shared" si="115"/>
        <v>5162</v>
      </c>
      <c r="AK523" s="46">
        <f t="shared" si="116"/>
        <v>5171</v>
      </c>
      <c r="AL523" s="33">
        <f ca="1">IFERROR(AVERAGEIFS(data_brute!M:M,data_brute!J:J,"&lt;="&amp;AK523),NA())</f>
        <v>25.353524229074896</v>
      </c>
      <c r="AM523" s="46">
        <f t="shared" ca="1" si="117"/>
        <v>5170</v>
      </c>
      <c r="AN523" s="46" t="b">
        <f t="shared" si="118"/>
        <v>0</v>
      </c>
      <c r="AO523" s="50" t="b">
        <f t="shared" si="119"/>
        <v>0</v>
      </c>
    </row>
    <row r="524" spans="21:41" x14ac:dyDescent="0.2">
      <c r="U524" s="46">
        <f t="shared" si="110"/>
        <v>5172</v>
      </c>
      <c r="V524" s="46">
        <f t="shared" si="111"/>
        <v>5181</v>
      </c>
      <c r="W524" s="33" t="e">
        <f>IFERROR(AVERAGEIFS(data_brute!M:M,data_brute!J:J,"&lt;="&amp;V524,data_brute!J:J,"&gt;="&amp;U524),NA())</f>
        <v>#N/A</v>
      </c>
      <c r="X524" s="46" t="e">
        <f t="shared" si="112"/>
        <v>#N/A</v>
      </c>
      <c r="Y524" s="2" t="b">
        <f t="shared" si="113"/>
        <v>0</v>
      </c>
      <c r="Z524" s="2" t="b">
        <f t="shared" si="114"/>
        <v>0</v>
      </c>
      <c r="AE524" s="46">
        <f t="shared" si="107"/>
        <v>5172</v>
      </c>
      <c r="AF524" s="46">
        <f t="shared" si="108"/>
        <v>5181</v>
      </c>
      <c r="AG524" s="33" t="e">
        <f>IFERROR(AVERAGEIFS(data_brute!M:M,data_brute!J:J,"&gt;="&amp;AE524,data_brute!J:J,"&lt;="&amp;AF524),NA())</f>
        <v>#N/A</v>
      </c>
      <c r="AH524" s="46" t="e">
        <f t="shared" si="109"/>
        <v>#N/A</v>
      </c>
      <c r="AJ524" s="46">
        <f t="shared" si="115"/>
        <v>5172</v>
      </c>
      <c r="AK524" s="46">
        <f t="shared" si="116"/>
        <v>5181</v>
      </c>
      <c r="AL524" s="33">
        <f ca="1">IFERROR(AVERAGEIFS(data_brute!M:M,data_brute!J:J,"&lt;="&amp;AK524),NA())</f>
        <v>25.353524229074896</v>
      </c>
      <c r="AM524" s="46">
        <f t="shared" ca="1" si="117"/>
        <v>5180</v>
      </c>
      <c r="AN524" s="46" t="b">
        <f t="shared" si="118"/>
        <v>0</v>
      </c>
      <c r="AO524" s="50" t="b">
        <f t="shared" si="119"/>
        <v>0</v>
      </c>
    </row>
    <row r="525" spans="21:41" x14ac:dyDescent="0.2">
      <c r="U525" s="46">
        <f t="shared" si="110"/>
        <v>5182</v>
      </c>
      <c r="V525" s="46">
        <f t="shared" si="111"/>
        <v>5191</v>
      </c>
      <c r="W525" s="33" t="e">
        <f>IFERROR(AVERAGEIFS(data_brute!M:M,data_brute!J:J,"&lt;="&amp;V525,data_brute!J:J,"&gt;="&amp;U525),NA())</f>
        <v>#N/A</v>
      </c>
      <c r="X525" s="46" t="e">
        <f t="shared" si="112"/>
        <v>#N/A</v>
      </c>
      <c r="Y525" s="2" t="b">
        <f t="shared" si="113"/>
        <v>0</v>
      </c>
      <c r="Z525" s="2" t="b">
        <f t="shared" si="114"/>
        <v>0</v>
      </c>
      <c r="AE525" s="46">
        <f t="shared" si="107"/>
        <v>5182</v>
      </c>
      <c r="AF525" s="46">
        <f t="shared" si="108"/>
        <v>5191</v>
      </c>
      <c r="AG525" s="33" t="e">
        <f>IFERROR(AVERAGEIFS(data_brute!M:M,data_brute!J:J,"&gt;="&amp;AE525,data_brute!J:J,"&lt;="&amp;AF525),NA())</f>
        <v>#N/A</v>
      </c>
      <c r="AH525" s="46" t="e">
        <f t="shared" si="109"/>
        <v>#N/A</v>
      </c>
      <c r="AJ525" s="46">
        <f t="shared" si="115"/>
        <v>5182</v>
      </c>
      <c r="AK525" s="46">
        <f t="shared" si="116"/>
        <v>5191</v>
      </c>
      <c r="AL525" s="33">
        <f ca="1">IFERROR(AVERAGEIFS(data_brute!M:M,data_brute!J:J,"&lt;="&amp;AK525),NA())</f>
        <v>25.353524229074896</v>
      </c>
      <c r="AM525" s="46">
        <f t="shared" ca="1" si="117"/>
        <v>5190</v>
      </c>
      <c r="AN525" s="46" t="b">
        <f t="shared" si="118"/>
        <v>0</v>
      </c>
      <c r="AO525" s="50" t="b">
        <f t="shared" si="119"/>
        <v>0</v>
      </c>
    </row>
    <row r="526" spans="21:41" x14ac:dyDescent="0.2">
      <c r="U526" s="46">
        <f t="shared" si="110"/>
        <v>5192</v>
      </c>
      <c r="V526" s="46">
        <f t="shared" si="111"/>
        <v>5201</v>
      </c>
      <c r="W526" s="33" t="e">
        <f>IFERROR(AVERAGEIFS(data_brute!M:M,data_brute!J:J,"&lt;="&amp;V526,data_brute!J:J,"&gt;="&amp;U526),NA())</f>
        <v>#N/A</v>
      </c>
      <c r="X526" s="46" t="e">
        <f t="shared" si="112"/>
        <v>#N/A</v>
      </c>
      <c r="Y526" s="2" t="b">
        <f t="shared" si="113"/>
        <v>0</v>
      </c>
      <c r="Z526" s="2" t="b">
        <f t="shared" si="114"/>
        <v>0</v>
      </c>
      <c r="AE526" s="46">
        <f t="shared" si="107"/>
        <v>5192</v>
      </c>
      <c r="AF526" s="46">
        <f t="shared" si="108"/>
        <v>5201</v>
      </c>
      <c r="AG526" s="33" t="e">
        <f>IFERROR(AVERAGEIFS(data_brute!M:M,data_brute!J:J,"&gt;="&amp;AE526,data_brute!J:J,"&lt;="&amp;AF526),NA())</f>
        <v>#N/A</v>
      </c>
      <c r="AH526" s="46" t="e">
        <f t="shared" si="109"/>
        <v>#N/A</v>
      </c>
      <c r="AJ526" s="46">
        <f t="shared" si="115"/>
        <v>5192</v>
      </c>
      <c r="AK526" s="46">
        <f t="shared" si="116"/>
        <v>5201</v>
      </c>
      <c r="AL526" s="33">
        <f ca="1">IFERROR(AVERAGEIFS(data_brute!M:M,data_brute!J:J,"&lt;="&amp;AK526),NA())</f>
        <v>25.353524229074896</v>
      </c>
      <c r="AM526" s="46">
        <f t="shared" ca="1" si="117"/>
        <v>5200</v>
      </c>
      <c r="AN526" s="46" t="b">
        <f t="shared" si="118"/>
        <v>0</v>
      </c>
      <c r="AO526" s="50" t="b">
        <f t="shared" si="119"/>
        <v>0</v>
      </c>
    </row>
    <row r="527" spans="21:41" x14ac:dyDescent="0.2">
      <c r="U527" s="46">
        <f t="shared" si="110"/>
        <v>5202</v>
      </c>
      <c r="V527" s="46">
        <f t="shared" si="111"/>
        <v>5211</v>
      </c>
      <c r="W527" s="33" t="e">
        <f>IFERROR(AVERAGEIFS(data_brute!M:M,data_brute!J:J,"&lt;="&amp;V527,data_brute!J:J,"&gt;="&amp;U527),NA())</f>
        <v>#N/A</v>
      </c>
      <c r="X527" s="46" t="e">
        <f t="shared" si="112"/>
        <v>#N/A</v>
      </c>
      <c r="Y527" s="2" t="b">
        <f t="shared" si="113"/>
        <v>0</v>
      </c>
      <c r="Z527" s="2" t="b">
        <f t="shared" si="114"/>
        <v>0</v>
      </c>
      <c r="AE527" s="46">
        <f t="shared" si="107"/>
        <v>5202</v>
      </c>
      <c r="AF527" s="46">
        <f t="shared" si="108"/>
        <v>5211</v>
      </c>
      <c r="AG527" s="33" t="e">
        <f>IFERROR(AVERAGEIFS(data_brute!M:M,data_brute!J:J,"&gt;="&amp;AE527,data_brute!J:J,"&lt;="&amp;AF527),NA())</f>
        <v>#N/A</v>
      </c>
      <c r="AH527" s="46" t="e">
        <f t="shared" si="109"/>
        <v>#N/A</v>
      </c>
      <c r="AJ527" s="46">
        <f t="shared" si="115"/>
        <v>5202</v>
      </c>
      <c r="AK527" s="46">
        <f t="shared" si="116"/>
        <v>5211</v>
      </c>
      <c r="AL527" s="33">
        <f ca="1">IFERROR(AVERAGEIFS(data_brute!M:M,data_brute!J:J,"&lt;="&amp;AK527),NA())</f>
        <v>25.353524229074896</v>
      </c>
      <c r="AM527" s="46">
        <f t="shared" ca="1" si="117"/>
        <v>5210</v>
      </c>
      <c r="AN527" s="46" t="b">
        <f t="shared" si="118"/>
        <v>0</v>
      </c>
      <c r="AO527" s="50" t="b">
        <f t="shared" si="119"/>
        <v>0</v>
      </c>
    </row>
    <row r="528" spans="21:41" x14ac:dyDescent="0.2">
      <c r="U528" s="46">
        <f t="shared" si="110"/>
        <v>5212</v>
      </c>
      <c r="V528" s="46">
        <f t="shared" si="111"/>
        <v>5221</v>
      </c>
      <c r="W528" s="33" t="e">
        <f>IFERROR(AVERAGEIFS(data_brute!M:M,data_brute!J:J,"&lt;="&amp;V528,data_brute!J:J,"&gt;="&amp;U528),NA())</f>
        <v>#N/A</v>
      </c>
      <c r="X528" s="46" t="e">
        <f t="shared" si="112"/>
        <v>#N/A</v>
      </c>
      <c r="Y528" s="2" t="b">
        <f t="shared" si="113"/>
        <v>0</v>
      </c>
      <c r="Z528" s="2" t="b">
        <f t="shared" si="114"/>
        <v>0</v>
      </c>
      <c r="AE528" s="46">
        <f t="shared" si="107"/>
        <v>5212</v>
      </c>
      <c r="AF528" s="46">
        <f t="shared" si="108"/>
        <v>5221</v>
      </c>
      <c r="AG528" s="33" t="e">
        <f>IFERROR(AVERAGEIFS(data_brute!M:M,data_brute!J:J,"&gt;="&amp;AE528,data_brute!J:J,"&lt;="&amp;AF528),NA())</f>
        <v>#N/A</v>
      </c>
      <c r="AH528" s="46" t="e">
        <f t="shared" si="109"/>
        <v>#N/A</v>
      </c>
      <c r="AJ528" s="46">
        <f t="shared" si="115"/>
        <v>5212</v>
      </c>
      <c r="AK528" s="46">
        <f t="shared" si="116"/>
        <v>5221</v>
      </c>
      <c r="AL528" s="33">
        <f ca="1">IFERROR(AVERAGEIFS(data_brute!M:M,data_brute!J:J,"&lt;="&amp;AK528),NA())</f>
        <v>25.353524229074896</v>
      </c>
      <c r="AM528" s="46">
        <f t="shared" ca="1" si="117"/>
        <v>5220</v>
      </c>
      <c r="AN528" s="46" t="b">
        <f t="shared" si="118"/>
        <v>0</v>
      </c>
      <c r="AO528" s="50" t="b">
        <f t="shared" si="119"/>
        <v>0</v>
      </c>
    </row>
    <row r="529" spans="21:41" x14ac:dyDescent="0.2">
      <c r="U529" s="46">
        <f t="shared" si="110"/>
        <v>5222</v>
      </c>
      <c r="V529" s="46">
        <f t="shared" si="111"/>
        <v>5231</v>
      </c>
      <c r="W529" s="33" t="e">
        <f>IFERROR(AVERAGEIFS(data_brute!M:M,data_brute!J:J,"&lt;="&amp;V529,data_brute!J:J,"&gt;="&amp;U529),NA())</f>
        <v>#N/A</v>
      </c>
      <c r="X529" s="46" t="e">
        <f t="shared" si="112"/>
        <v>#N/A</v>
      </c>
      <c r="Y529" s="2" t="b">
        <f t="shared" si="113"/>
        <v>0</v>
      </c>
      <c r="Z529" s="2" t="b">
        <f t="shared" si="114"/>
        <v>0</v>
      </c>
      <c r="AE529" s="46">
        <f t="shared" si="107"/>
        <v>5222</v>
      </c>
      <c r="AF529" s="46">
        <f t="shared" si="108"/>
        <v>5231</v>
      </c>
      <c r="AG529" s="33" t="e">
        <f>IFERROR(AVERAGEIFS(data_brute!M:M,data_brute!J:J,"&gt;="&amp;AE529,data_brute!J:J,"&lt;="&amp;AF529),NA())</f>
        <v>#N/A</v>
      </c>
      <c r="AH529" s="46" t="e">
        <f t="shared" si="109"/>
        <v>#N/A</v>
      </c>
      <c r="AJ529" s="46">
        <f t="shared" si="115"/>
        <v>5222</v>
      </c>
      <c r="AK529" s="46">
        <f t="shared" si="116"/>
        <v>5231</v>
      </c>
      <c r="AL529" s="33">
        <f ca="1">IFERROR(AVERAGEIFS(data_brute!M:M,data_brute!J:J,"&lt;="&amp;AK529),NA())</f>
        <v>25.353524229074896</v>
      </c>
      <c r="AM529" s="46">
        <f t="shared" ca="1" si="117"/>
        <v>5230</v>
      </c>
      <c r="AN529" s="46" t="b">
        <f t="shared" si="118"/>
        <v>0</v>
      </c>
      <c r="AO529" s="50" t="b">
        <f t="shared" si="119"/>
        <v>0</v>
      </c>
    </row>
    <row r="530" spans="21:41" x14ac:dyDescent="0.2">
      <c r="U530" s="46">
        <f t="shared" si="110"/>
        <v>5232</v>
      </c>
      <c r="V530" s="46">
        <f t="shared" si="111"/>
        <v>5241</v>
      </c>
      <c r="W530" s="33" t="e">
        <f>IFERROR(AVERAGEIFS(data_brute!M:M,data_brute!J:J,"&lt;="&amp;V530,data_brute!J:J,"&gt;="&amp;U530),NA())</f>
        <v>#N/A</v>
      </c>
      <c r="X530" s="46" t="e">
        <f t="shared" si="112"/>
        <v>#N/A</v>
      </c>
      <c r="Y530" s="2" t="b">
        <f t="shared" si="113"/>
        <v>0</v>
      </c>
      <c r="Z530" s="2" t="b">
        <f t="shared" si="114"/>
        <v>0</v>
      </c>
      <c r="AE530" s="46">
        <f t="shared" si="107"/>
        <v>5232</v>
      </c>
      <c r="AF530" s="46">
        <f t="shared" si="108"/>
        <v>5241</v>
      </c>
      <c r="AG530" s="33" t="e">
        <f>IFERROR(AVERAGEIFS(data_brute!M:M,data_brute!J:J,"&gt;="&amp;AE530,data_brute!J:J,"&lt;="&amp;AF530),NA())</f>
        <v>#N/A</v>
      </c>
      <c r="AH530" s="46" t="e">
        <f t="shared" si="109"/>
        <v>#N/A</v>
      </c>
      <c r="AJ530" s="46">
        <f t="shared" si="115"/>
        <v>5232</v>
      </c>
      <c r="AK530" s="46">
        <f t="shared" si="116"/>
        <v>5241</v>
      </c>
      <c r="AL530" s="33">
        <f ca="1">IFERROR(AVERAGEIFS(data_brute!M:M,data_brute!J:J,"&lt;="&amp;AK530),NA())</f>
        <v>25.353524229074896</v>
      </c>
      <c r="AM530" s="46">
        <f t="shared" ca="1" si="117"/>
        <v>5240</v>
      </c>
      <c r="AN530" s="46" t="b">
        <f t="shared" si="118"/>
        <v>0</v>
      </c>
      <c r="AO530" s="50" t="b">
        <f t="shared" si="119"/>
        <v>0</v>
      </c>
    </row>
    <row r="531" spans="21:41" x14ac:dyDescent="0.2">
      <c r="U531" s="46">
        <f t="shared" si="110"/>
        <v>5242</v>
      </c>
      <c r="V531" s="46">
        <f t="shared" si="111"/>
        <v>5251</v>
      </c>
      <c r="W531" s="33" t="e">
        <f>IFERROR(AVERAGEIFS(data_brute!M:M,data_brute!J:J,"&lt;="&amp;V531,data_brute!J:J,"&gt;="&amp;U531),NA())</f>
        <v>#N/A</v>
      </c>
      <c r="X531" s="46" t="e">
        <f t="shared" si="112"/>
        <v>#N/A</v>
      </c>
      <c r="Y531" s="2" t="b">
        <f t="shared" si="113"/>
        <v>0</v>
      </c>
      <c r="Z531" s="2" t="b">
        <f t="shared" si="114"/>
        <v>0</v>
      </c>
      <c r="AE531" s="46">
        <f t="shared" si="107"/>
        <v>5242</v>
      </c>
      <c r="AF531" s="46">
        <f t="shared" si="108"/>
        <v>5251</v>
      </c>
      <c r="AG531" s="33" t="e">
        <f>IFERROR(AVERAGEIFS(data_brute!M:M,data_brute!J:J,"&gt;="&amp;AE531,data_brute!J:J,"&lt;="&amp;AF531),NA())</f>
        <v>#N/A</v>
      </c>
      <c r="AH531" s="46" t="e">
        <f t="shared" si="109"/>
        <v>#N/A</v>
      </c>
      <c r="AJ531" s="46">
        <f t="shared" si="115"/>
        <v>5242</v>
      </c>
      <c r="AK531" s="46">
        <f t="shared" si="116"/>
        <v>5251</v>
      </c>
      <c r="AL531" s="33">
        <f ca="1">IFERROR(AVERAGEIFS(data_brute!M:M,data_brute!J:J,"&lt;="&amp;AK531),NA())</f>
        <v>25.353524229074896</v>
      </c>
      <c r="AM531" s="46">
        <f t="shared" ca="1" si="117"/>
        <v>5250</v>
      </c>
      <c r="AN531" s="46" t="b">
        <f t="shared" si="118"/>
        <v>0</v>
      </c>
      <c r="AO531" s="50" t="b">
        <f t="shared" si="119"/>
        <v>0</v>
      </c>
    </row>
    <row r="532" spans="21:41" x14ac:dyDescent="0.2">
      <c r="U532" s="46">
        <f t="shared" si="110"/>
        <v>5252</v>
      </c>
      <c r="V532" s="46">
        <f t="shared" si="111"/>
        <v>5261</v>
      </c>
      <c r="W532" s="33" t="e">
        <f>IFERROR(AVERAGEIFS(data_brute!M:M,data_brute!J:J,"&lt;="&amp;V532,data_brute!J:J,"&gt;="&amp;U532),NA())</f>
        <v>#N/A</v>
      </c>
      <c r="X532" s="46" t="e">
        <f t="shared" si="112"/>
        <v>#N/A</v>
      </c>
      <c r="Y532" s="2" t="b">
        <f t="shared" si="113"/>
        <v>0</v>
      </c>
      <c r="Z532" s="2" t="b">
        <f t="shared" si="114"/>
        <v>0</v>
      </c>
      <c r="AE532" s="46">
        <f t="shared" si="107"/>
        <v>5252</v>
      </c>
      <c r="AF532" s="46">
        <f t="shared" si="108"/>
        <v>5261</v>
      </c>
      <c r="AG532" s="33" t="e">
        <f>IFERROR(AVERAGEIFS(data_brute!M:M,data_brute!J:J,"&gt;="&amp;AE532,data_brute!J:J,"&lt;="&amp;AF532),NA())</f>
        <v>#N/A</v>
      </c>
      <c r="AH532" s="46" t="e">
        <f t="shared" si="109"/>
        <v>#N/A</v>
      </c>
      <c r="AJ532" s="46">
        <f t="shared" si="115"/>
        <v>5252</v>
      </c>
      <c r="AK532" s="46">
        <f t="shared" si="116"/>
        <v>5261</v>
      </c>
      <c r="AL532" s="33">
        <f ca="1">IFERROR(AVERAGEIFS(data_brute!M:M,data_brute!J:J,"&lt;="&amp;AK532),NA())</f>
        <v>25.353524229074896</v>
      </c>
      <c r="AM532" s="46">
        <f t="shared" ca="1" si="117"/>
        <v>5260</v>
      </c>
      <c r="AN532" s="46" t="b">
        <f t="shared" si="118"/>
        <v>0</v>
      </c>
      <c r="AO532" s="50" t="b">
        <f t="shared" si="119"/>
        <v>0</v>
      </c>
    </row>
    <row r="533" spans="21:41" x14ac:dyDescent="0.2">
      <c r="U533" s="46">
        <f t="shared" si="110"/>
        <v>5262</v>
      </c>
      <c r="V533" s="46">
        <f t="shared" si="111"/>
        <v>5271</v>
      </c>
      <c r="W533" s="33" t="e">
        <f>IFERROR(AVERAGEIFS(data_brute!M:M,data_brute!J:J,"&lt;="&amp;V533,data_brute!J:J,"&gt;="&amp;U533),NA())</f>
        <v>#N/A</v>
      </c>
      <c r="X533" s="46" t="e">
        <f t="shared" si="112"/>
        <v>#N/A</v>
      </c>
      <c r="Y533" s="2" t="b">
        <f t="shared" si="113"/>
        <v>0</v>
      </c>
      <c r="Z533" s="2" t="b">
        <f t="shared" si="114"/>
        <v>0</v>
      </c>
      <c r="AE533" s="46">
        <f t="shared" si="107"/>
        <v>5262</v>
      </c>
      <c r="AF533" s="46">
        <f t="shared" si="108"/>
        <v>5271</v>
      </c>
      <c r="AG533" s="33" t="e">
        <f>IFERROR(AVERAGEIFS(data_brute!M:M,data_brute!J:J,"&gt;="&amp;AE533,data_brute!J:J,"&lt;="&amp;AF533),NA())</f>
        <v>#N/A</v>
      </c>
      <c r="AH533" s="46" t="e">
        <f t="shared" si="109"/>
        <v>#N/A</v>
      </c>
      <c r="AJ533" s="46">
        <f t="shared" si="115"/>
        <v>5262</v>
      </c>
      <c r="AK533" s="46">
        <f t="shared" si="116"/>
        <v>5271</v>
      </c>
      <c r="AL533" s="33">
        <f ca="1">IFERROR(AVERAGEIFS(data_brute!M:M,data_brute!J:J,"&lt;="&amp;AK533),NA())</f>
        <v>25.353524229074896</v>
      </c>
      <c r="AM533" s="46">
        <f t="shared" ca="1" si="117"/>
        <v>5270</v>
      </c>
      <c r="AN533" s="46" t="b">
        <f t="shared" si="118"/>
        <v>0</v>
      </c>
      <c r="AO533" s="50" t="b">
        <f t="shared" si="119"/>
        <v>0</v>
      </c>
    </row>
    <row r="534" spans="21:41" x14ac:dyDescent="0.2">
      <c r="U534" s="46">
        <f t="shared" si="110"/>
        <v>5272</v>
      </c>
      <c r="V534" s="46">
        <f t="shared" si="111"/>
        <v>5281</v>
      </c>
      <c r="W534" s="33" t="e">
        <f>IFERROR(AVERAGEIFS(data_brute!M:M,data_brute!J:J,"&lt;="&amp;V534,data_brute!J:J,"&gt;="&amp;U534),NA())</f>
        <v>#N/A</v>
      </c>
      <c r="X534" s="46" t="e">
        <f t="shared" si="112"/>
        <v>#N/A</v>
      </c>
      <c r="Y534" s="2" t="b">
        <f t="shared" si="113"/>
        <v>0</v>
      </c>
      <c r="Z534" s="2" t="b">
        <f t="shared" si="114"/>
        <v>0</v>
      </c>
      <c r="AE534" s="46">
        <f t="shared" si="107"/>
        <v>5272</v>
      </c>
      <c r="AF534" s="46">
        <f t="shared" si="108"/>
        <v>5281</v>
      </c>
      <c r="AG534" s="33" t="e">
        <f>IFERROR(AVERAGEIFS(data_brute!M:M,data_brute!J:J,"&gt;="&amp;AE534,data_brute!J:J,"&lt;="&amp;AF534),NA())</f>
        <v>#N/A</v>
      </c>
      <c r="AH534" s="46" t="e">
        <f t="shared" si="109"/>
        <v>#N/A</v>
      </c>
      <c r="AJ534" s="46">
        <f t="shared" si="115"/>
        <v>5272</v>
      </c>
      <c r="AK534" s="46">
        <f t="shared" si="116"/>
        <v>5281</v>
      </c>
      <c r="AL534" s="33">
        <f ca="1">IFERROR(AVERAGEIFS(data_brute!M:M,data_brute!J:J,"&lt;="&amp;AK534),NA())</f>
        <v>25.353524229074896</v>
      </c>
      <c r="AM534" s="46">
        <f t="shared" ca="1" si="117"/>
        <v>5280</v>
      </c>
      <c r="AN534" s="46" t="b">
        <f t="shared" si="118"/>
        <v>0</v>
      </c>
      <c r="AO534" s="50" t="b">
        <f t="shared" si="119"/>
        <v>0</v>
      </c>
    </row>
    <row r="535" spans="21:41" x14ac:dyDescent="0.2">
      <c r="U535" s="46">
        <f t="shared" si="110"/>
        <v>5282</v>
      </c>
      <c r="V535" s="46">
        <f t="shared" si="111"/>
        <v>5291</v>
      </c>
      <c r="W535" s="33" t="e">
        <f>IFERROR(AVERAGEIFS(data_brute!M:M,data_brute!J:J,"&lt;="&amp;V535,data_brute!J:J,"&gt;="&amp;U535),NA())</f>
        <v>#N/A</v>
      </c>
      <c r="X535" s="46" t="e">
        <f t="shared" si="112"/>
        <v>#N/A</v>
      </c>
      <c r="Y535" s="2" t="b">
        <f t="shared" si="113"/>
        <v>0</v>
      </c>
      <c r="Z535" s="2" t="b">
        <f t="shared" si="114"/>
        <v>0</v>
      </c>
      <c r="AE535" s="46">
        <f t="shared" si="107"/>
        <v>5282</v>
      </c>
      <c r="AF535" s="46">
        <f t="shared" si="108"/>
        <v>5291</v>
      </c>
      <c r="AG535" s="33" t="e">
        <f>IFERROR(AVERAGEIFS(data_brute!M:M,data_brute!J:J,"&gt;="&amp;AE535,data_brute!J:J,"&lt;="&amp;AF535),NA())</f>
        <v>#N/A</v>
      </c>
      <c r="AH535" s="46" t="e">
        <f t="shared" si="109"/>
        <v>#N/A</v>
      </c>
      <c r="AJ535" s="46">
        <f t="shared" si="115"/>
        <v>5282</v>
      </c>
      <c r="AK535" s="46">
        <f t="shared" si="116"/>
        <v>5291</v>
      </c>
      <c r="AL535" s="33">
        <f ca="1">IFERROR(AVERAGEIFS(data_brute!M:M,data_brute!J:J,"&lt;="&amp;AK535),NA())</f>
        <v>25.353524229074896</v>
      </c>
      <c r="AM535" s="46">
        <f t="shared" ca="1" si="117"/>
        <v>5290</v>
      </c>
      <c r="AN535" s="46" t="b">
        <f t="shared" si="118"/>
        <v>0</v>
      </c>
      <c r="AO535" s="50" t="b">
        <f t="shared" si="119"/>
        <v>0</v>
      </c>
    </row>
    <row r="536" spans="21:41" x14ac:dyDescent="0.2">
      <c r="U536" s="46">
        <f t="shared" si="110"/>
        <v>5292</v>
      </c>
      <c r="V536" s="46">
        <f t="shared" si="111"/>
        <v>5301</v>
      </c>
      <c r="W536" s="33" t="e">
        <f>IFERROR(AVERAGEIFS(data_brute!M:M,data_brute!J:J,"&lt;="&amp;V536,data_brute!J:J,"&gt;="&amp;U536),NA())</f>
        <v>#N/A</v>
      </c>
      <c r="X536" s="46" t="e">
        <f t="shared" si="112"/>
        <v>#N/A</v>
      </c>
      <c r="Y536" s="2" t="b">
        <f t="shared" si="113"/>
        <v>0</v>
      </c>
      <c r="Z536" s="2" t="b">
        <f t="shared" si="114"/>
        <v>0</v>
      </c>
      <c r="AE536" s="46">
        <f t="shared" ref="AE536:AE599" si="120">AF535+1</f>
        <v>5292</v>
      </c>
      <c r="AF536" s="46">
        <f t="shared" ref="AF536:AF599" si="121">AE536+$AG$2-1</f>
        <v>5301</v>
      </c>
      <c r="AG536" s="33" t="e">
        <f>IFERROR(AVERAGEIFS(data_brute!M:M,data_brute!J:J,"&gt;="&amp;AE536,data_brute!J:J,"&lt;="&amp;AF536),NA())</f>
        <v>#N/A</v>
      </c>
      <c r="AH536" s="46" t="e">
        <f t="shared" ref="AH536:AH599" si="122">IF(AG536&lt;&gt;"",$AG$2*(ROW()-ROW($AH$6)),NA())</f>
        <v>#N/A</v>
      </c>
      <c r="AJ536" s="46">
        <f t="shared" si="115"/>
        <v>5292</v>
      </c>
      <c r="AK536" s="46">
        <f t="shared" si="116"/>
        <v>5301</v>
      </c>
      <c r="AL536" s="33">
        <f ca="1">IFERROR(AVERAGEIFS(data_brute!M:M,data_brute!J:J,"&lt;="&amp;AK536),NA())</f>
        <v>25.353524229074896</v>
      </c>
      <c r="AM536" s="46">
        <f t="shared" ca="1" si="117"/>
        <v>5300</v>
      </c>
      <c r="AN536" s="46" t="b">
        <f t="shared" si="118"/>
        <v>0</v>
      </c>
      <c r="AO536" s="50" t="b">
        <f t="shared" si="119"/>
        <v>0</v>
      </c>
    </row>
    <row r="537" spans="21:41" x14ac:dyDescent="0.2">
      <c r="U537" s="46">
        <f t="shared" si="110"/>
        <v>5302</v>
      </c>
      <c r="V537" s="46">
        <f t="shared" si="111"/>
        <v>5311</v>
      </c>
      <c r="W537" s="33" t="e">
        <f>IFERROR(AVERAGEIFS(data_brute!M:M,data_brute!J:J,"&lt;="&amp;V537,data_brute!J:J,"&gt;="&amp;U537),NA())</f>
        <v>#N/A</v>
      </c>
      <c r="X537" s="46" t="e">
        <f t="shared" si="112"/>
        <v>#N/A</v>
      </c>
      <c r="Y537" s="2" t="b">
        <f t="shared" si="113"/>
        <v>0</v>
      </c>
      <c r="Z537" s="2" t="b">
        <f t="shared" si="114"/>
        <v>0</v>
      </c>
      <c r="AE537" s="46">
        <f t="shared" si="120"/>
        <v>5302</v>
      </c>
      <c r="AF537" s="46">
        <f t="shared" si="121"/>
        <v>5311</v>
      </c>
      <c r="AG537" s="33" t="e">
        <f>IFERROR(AVERAGEIFS(data_brute!M:M,data_brute!J:J,"&gt;="&amp;AE537,data_brute!J:J,"&lt;="&amp;AF537),NA())</f>
        <v>#N/A</v>
      </c>
      <c r="AH537" s="46" t="e">
        <f t="shared" si="122"/>
        <v>#N/A</v>
      </c>
      <c r="AJ537" s="46">
        <f t="shared" si="115"/>
        <v>5302</v>
      </c>
      <c r="AK537" s="46">
        <f t="shared" si="116"/>
        <v>5311</v>
      </c>
      <c r="AL537" s="33">
        <f ca="1">IFERROR(AVERAGEIFS(data_brute!M:M,data_brute!J:J,"&lt;="&amp;AK537),NA())</f>
        <v>25.353524229074896</v>
      </c>
      <c r="AM537" s="46">
        <f t="shared" ca="1" si="117"/>
        <v>5310</v>
      </c>
      <c r="AN537" s="46" t="b">
        <f t="shared" si="118"/>
        <v>0</v>
      </c>
      <c r="AO537" s="50" t="b">
        <f t="shared" si="119"/>
        <v>0</v>
      </c>
    </row>
    <row r="538" spans="21:41" x14ac:dyDescent="0.2">
      <c r="U538" s="46">
        <f t="shared" si="110"/>
        <v>5312</v>
      </c>
      <c r="V538" s="46">
        <f t="shared" si="111"/>
        <v>5321</v>
      </c>
      <c r="W538" s="33" t="e">
        <f>IFERROR(AVERAGEIFS(data_brute!M:M,data_brute!J:J,"&lt;="&amp;V538,data_brute!J:J,"&gt;="&amp;U538),NA())</f>
        <v>#N/A</v>
      </c>
      <c r="X538" s="46" t="e">
        <f t="shared" si="112"/>
        <v>#N/A</v>
      </c>
      <c r="Y538" s="2" t="b">
        <f t="shared" si="113"/>
        <v>0</v>
      </c>
      <c r="Z538" s="2" t="b">
        <f t="shared" si="114"/>
        <v>0</v>
      </c>
      <c r="AE538" s="46">
        <f t="shared" si="120"/>
        <v>5312</v>
      </c>
      <c r="AF538" s="46">
        <f t="shared" si="121"/>
        <v>5321</v>
      </c>
      <c r="AG538" s="33" t="e">
        <f>IFERROR(AVERAGEIFS(data_brute!M:M,data_brute!J:J,"&gt;="&amp;AE538,data_brute!J:J,"&lt;="&amp;AF538),NA())</f>
        <v>#N/A</v>
      </c>
      <c r="AH538" s="46" t="e">
        <f t="shared" si="122"/>
        <v>#N/A</v>
      </c>
      <c r="AJ538" s="46">
        <f t="shared" si="115"/>
        <v>5312</v>
      </c>
      <c r="AK538" s="46">
        <f t="shared" si="116"/>
        <v>5321</v>
      </c>
      <c r="AL538" s="33">
        <f ca="1">IFERROR(AVERAGEIFS(data_brute!M:M,data_brute!J:J,"&lt;="&amp;AK538),NA())</f>
        <v>25.353524229074896</v>
      </c>
      <c r="AM538" s="46">
        <f t="shared" ca="1" si="117"/>
        <v>5320</v>
      </c>
      <c r="AN538" s="46" t="b">
        <f t="shared" si="118"/>
        <v>0</v>
      </c>
      <c r="AO538" s="50" t="b">
        <f t="shared" si="119"/>
        <v>0</v>
      </c>
    </row>
    <row r="539" spans="21:41" x14ac:dyDescent="0.2">
      <c r="U539" s="46">
        <f t="shared" si="110"/>
        <v>5322</v>
      </c>
      <c r="V539" s="46">
        <f t="shared" si="111"/>
        <v>5331</v>
      </c>
      <c r="W539" s="33" t="e">
        <f>IFERROR(AVERAGEIFS(data_brute!M:M,data_brute!J:J,"&lt;="&amp;V539,data_brute!J:J,"&gt;="&amp;U539),NA())</f>
        <v>#N/A</v>
      </c>
      <c r="X539" s="46" t="e">
        <f t="shared" si="112"/>
        <v>#N/A</v>
      </c>
      <c r="Y539" s="2" t="b">
        <f t="shared" si="113"/>
        <v>0</v>
      </c>
      <c r="Z539" s="2" t="b">
        <f t="shared" si="114"/>
        <v>0</v>
      </c>
      <c r="AE539" s="46">
        <f t="shared" si="120"/>
        <v>5322</v>
      </c>
      <c r="AF539" s="46">
        <f t="shared" si="121"/>
        <v>5331</v>
      </c>
      <c r="AG539" s="33" t="e">
        <f>IFERROR(AVERAGEIFS(data_brute!M:M,data_brute!J:J,"&gt;="&amp;AE539,data_brute!J:J,"&lt;="&amp;AF539),NA())</f>
        <v>#N/A</v>
      </c>
      <c r="AH539" s="46" t="e">
        <f t="shared" si="122"/>
        <v>#N/A</v>
      </c>
      <c r="AJ539" s="46">
        <f t="shared" si="115"/>
        <v>5322</v>
      </c>
      <c r="AK539" s="46">
        <f t="shared" si="116"/>
        <v>5331</v>
      </c>
      <c r="AL539" s="33">
        <f ca="1">IFERROR(AVERAGEIFS(data_brute!M:M,data_brute!J:J,"&lt;="&amp;AK539),NA())</f>
        <v>25.353524229074896</v>
      </c>
      <c r="AM539" s="46">
        <f t="shared" ca="1" si="117"/>
        <v>5330</v>
      </c>
      <c r="AN539" s="46" t="b">
        <f t="shared" si="118"/>
        <v>0</v>
      </c>
      <c r="AO539" s="50" t="b">
        <f t="shared" si="119"/>
        <v>0</v>
      </c>
    </row>
    <row r="540" spans="21:41" x14ac:dyDescent="0.2">
      <c r="U540" s="46">
        <f t="shared" si="110"/>
        <v>5332</v>
      </c>
      <c r="V540" s="46">
        <f t="shared" si="111"/>
        <v>5341</v>
      </c>
      <c r="W540" s="33" t="e">
        <f>IFERROR(AVERAGEIFS(data_brute!M:M,data_brute!J:J,"&lt;="&amp;V540,data_brute!J:J,"&gt;="&amp;U540),NA())</f>
        <v>#N/A</v>
      </c>
      <c r="X540" s="46" t="e">
        <f t="shared" si="112"/>
        <v>#N/A</v>
      </c>
      <c r="Y540" s="2" t="b">
        <f t="shared" si="113"/>
        <v>0</v>
      </c>
      <c r="Z540" s="2" t="b">
        <f t="shared" si="114"/>
        <v>0</v>
      </c>
      <c r="AE540" s="46">
        <f t="shared" si="120"/>
        <v>5332</v>
      </c>
      <c r="AF540" s="46">
        <f t="shared" si="121"/>
        <v>5341</v>
      </c>
      <c r="AG540" s="33" t="e">
        <f>IFERROR(AVERAGEIFS(data_brute!M:M,data_brute!J:J,"&gt;="&amp;AE540,data_brute!J:J,"&lt;="&amp;AF540),NA())</f>
        <v>#N/A</v>
      </c>
      <c r="AH540" s="46" t="e">
        <f t="shared" si="122"/>
        <v>#N/A</v>
      </c>
      <c r="AJ540" s="46">
        <f t="shared" si="115"/>
        <v>5332</v>
      </c>
      <c r="AK540" s="46">
        <f t="shared" si="116"/>
        <v>5341</v>
      </c>
      <c r="AL540" s="33">
        <f ca="1">IFERROR(AVERAGEIFS(data_brute!M:M,data_brute!J:J,"&lt;="&amp;AK540),NA())</f>
        <v>25.353524229074896</v>
      </c>
      <c r="AM540" s="46">
        <f t="shared" ca="1" si="117"/>
        <v>5340</v>
      </c>
      <c r="AN540" s="46" t="b">
        <f t="shared" si="118"/>
        <v>0</v>
      </c>
      <c r="AO540" s="50" t="b">
        <f t="shared" si="119"/>
        <v>0</v>
      </c>
    </row>
    <row r="541" spans="21:41" x14ac:dyDescent="0.2">
      <c r="U541" s="46">
        <f t="shared" si="110"/>
        <v>5342</v>
      </c>
      <c r="V541" s="46">
        <f t="shared" si="111"/>
        <v>5351</v>
      </c>
      <c r="W541" s="33" t="e">
        <f>IFERROR(AVERAGEIFS(data_brute!M:M,data_brute!J:J,"&lt;="&amp;V541,data_brute!J:J,"&gt;="&amp;U541),NA())</f>
        <v>#N/A</v>
      </c>
      <c r="X541" s="46" t="e">
        <f t="shared" si="112"/>
        <v>#N/A</v>
      </c>
      <c r="Y541" s="2" t="b">
        <f t="shared" si="113"/>
        <v>0</v>
      </c>
      <c r="Z541" s="2" t="b">
        <f t="shared" si="114"/>
        <v>0</v>
      </c>
      <c r="AE541" s="46">
        <f t="shared" si="120"/>
        <v>5342</v>
      </c>
      <c r="AF541" s="46">
        <f t="shared" si="121"/>
        <v>5351</v>
      </c>
      <c r="AG541" s="33" t="e">
        <f>IFERROR(AVERAGEIFS(data_brute!M:M,data_brute!J:J,"&gt;="&amp;AE541,data_brute!J:J,"&lt;="&amp;AF541),NA())</f>
        <v>#N/A</v>
      </c>
      <c r="AH541" s="46" t="e">
        <f t="shared" si="122"/>
        <v>#N/A</v>
      </c>
      <c r="AJ541" s="46">
        <f t="shared" si="115"/>
        <v>5342</v>
      </c>
      <c r="AK541" s="46">
        <f t="shared" si="116"/>
        <v>5351</v>
      </c>
      <c r="AL541" s="33">
        <f ca="1">IFERROR(AVERAGEIFS(data_brute!M:M,data_brute!J:J,"&lt;="&amp;AK541),NA())</f>
        <v>25.353524229074896</v>
      </c>
      <c r="AM541" s="46">
        <f t="shared" ca="1" si="117"/>
        <v>5350</v>
      </c>
      <c r="AN541" s="46" t="b">
        <f t="shared" si="118"/>
        <v>0</v>
      </c>
      <c r="AO541" s="50" t="b">
        <f t="shared" si="119"/>
        <v>0</v>
      </c>
    </row>
    <row r="542" spans="21:41" x14ac:dyDescent="0.2">
      <c r="U542" s="46">
        <f t="shared" si="110"/>
        <v>5352</v>
      </c>
      <c r="V542" s="46">
        <f t="shared" si="111"/>
        <v>5361</v>
      </c>
      <c r="W542" s="33" t="e">
        <f>IFERROR(AVERAGEIFS(data_brute!M:M,data_brute!J:J,"&lt;="&amp;V542,data_brute!J:J,"&gt;="&amp;U542),NA())</f>
        <v>#N/A</v>
      </c>
      <c r="X542" s="46" t="e">
        <f t="shared" si="112"/>
        <v>#N/A</v>
      </c>
      <c r="Y542" s="2" t="b">
        <f t="shared" si="113"/>
        <v>0</v>
      </c>
      <c r="Z542" s="2" t="b">
        <f t="shared" si="114"/>
        <v>0</v>
      </c>
      <c r="AE542" s="46">
        <f t="shared" si="120"/>
        <v>5352</v>
      </c>
      <c r="AF542" s="46">
        <f t="shared" si="121"/>
        <v>5361</v>
      </c>
      <c r="AG542" s="33" t="e">
        <f>IFERROR(AVERAGEIFS(data_brute!M:M,data_brute!J:J,"&gt;="&amp;AE542,data_brute!J:J,"&lt;="&amp;AF542),NA())</f>
        <v>#N/A</v>
      </c>
      <c r="AH542" s="46" t="e">
        <f t="shared" si="122"/>
        <v>#N/A</v>
      </c>
      <c r="AJ542" s="46">
        <f t="shared" si="115"/>
        <v>5352</v>
      </c>
      <c r="AK542" s="46">
        <f t="shared" si="116"/>
        <v>5361</v>
      </c>
      <c r="AL542" s="33">
        <f ca="1">IFERROR(AVERAGEIFS(data_brute!M:M,data_brute!J:J,"&lt;="&amp;AK542),NA())</f>
        <v>25.353524229074896</v>
      </c>
      <c r="AM542" s="46">
        <f t="shared" ca="1" si="117"/>
        <v>5360</v>
      </c>
      <c r="AN542" s="46" t="b">
        <f t="shared" si="118"/>
        <v>0</v>
      </c>
      <c r="AO542" s="50" t="b">
        <f t="shared" si="119"/>
        <v>0</v>
      </c>
    </row>
    <row r="543" spans="21:41" x14ac:dyDescent="0.2">
      <c r="U543" s="46">
        <f t="shared" si="110"/>
        <v>5362</v>
      </c>
      <c r="V543" s="46">
        <f t="shared" si="111"/>
        <v>5371</v>
      </c>
      <c r="W543" s="33" t="e">
        <f>IFERROR(AVERAGEIFS(data_brute!M:M,data_brute!J:J,"&lt;="&amp;V543,data_brute!J:J,"&gt;="&amp;U543),NA())</f>
        <v>#N/A</v>
      </c>
      <c r="X543" s="46" t="e">
        <f t="shared" si="112"/>
        <v>#N/A</v>
      </c>
      <c r="Y543" s="2" t="b">
        <f t="shared" si="113"/>
        <v>0</v>
      </c>
      <c r="Z543" s="2" t="b">
        <f t="shared" si="114"/>
        <v>0</v>
      </c>
      <c r="AE543" s="46">
        <f t="shared" si="120"/>
        <v>5362</v>
      </c>
      <c r="AF543" s="46">
        <f t="shared" si="121"/>
        <v>5371</v>
      </c>
      <c r="AG543" s="33" t="e">
        <f>IFERROR(AVERAGEIFS(data_brute!M:M,data_brute!J:J,"&gt;="&amp;AE543,data_brute!J:J,"&lt;="&amp;AF543),NA())</f>
        <v>#N/A</v>
      </c>
      <c r="AH543" s="46" t="e">
        <f t="shared" si="122"/>
        <v>#N/A</v>
      </c>
      <c r="AJ543" s="46">
        <f t="shared" si="115"/>
        <v>5362</v>
      </c>
      <c r="AK543" s="46">
        <f t="shared" si="116"/>
        <v>5371</v>
      </c>
      <c r="AL543" s="33">
        <f ca="1">IFERROR(AVERAGEIFS(data_brute!M:M,data_brute!J:J,"&lt;="&amp;AK543),NA())</f>
        <v>25.353524229074896</v>
      </c>
      <c r="AM543" s="46">
        <f t="shared" ca="1" si="117"/>
        <v>5370</v>
      </c>
      <c r="AN543" s="46" t="b">
        <f t="shared" si="118"/>
        <v>0</v>
      </c>
      <c r="AO543" s="50" t="b">
        <f t="shared" si="119"/>
        <v>0</v>
      </c>
    </row>
    <row r="544" spans="21:41" x14ac:dyDescent="0.2">
      <c r="U544" s="46">
        <f t="shared" si="110"/>
        <v>5372</v>
      </c>
      <c r="V544" s="46">
        <f t="shared" si="111"/>
        <v>5381</v>
      </c>
      <c r="W544" s="33" t="e">
        <f>IFERROR(AVERAGEIFS(data_brute!M:M,data_brute!J:J,"&lt;="&amp;V544,data_brute!J:J,"&gt;="&amp;U544),NA())</f>
        <v>#N/A</v>
      </c>
      <c r="X544" s="46" t="e">
        <f t="shared" si="112"/>
        <v>#N/A</v>
      </c>
      <c r="Y544" s="2" t="b">
        <f t="shared" si="113"/>
        <v>0</v>
      </c>
      <c r="Z544" s="2" t="b">
        <f t="shared" si="114"/>
        <v>0</v>
      </c>
      <c r="AE544" s="46">
        <f t="shared" si="120"/>
        <v>5372</v>
      </c>
      <c r="AF544" s="46">
        <f t="shared" si="121"/>
        <v>5381</v>
      </c>
      <c r="AG544" s="33" t="e">
        <f>IFERROR(AVERAGEIFS(data_brute!M:M,data_brute!J:J,"&gt;="&amp;AE544,data_brute!J:J,"&lt;="&amp;AF544),NA())</f>
        <v>#N/A</v>
      </c>
      <c r="AH544" s="46" t="e">
        <f t="shared" si="122"/>
        <v>#N/A</v>
      </c>
      <c r="AJ544" s="46">
        <f t="shared" si="115"/>
        <v>5372</v>
      </c>
      <c r="AK544" s="46">
        <f t="shared" si="116"/>
        <v>5381</v>
      </c>
      <c r="AL544" s="33">
        <f ca="1">IFERROR(AVERAGEIFS(data_brute!M:M,data_brute!J:J,"&lt;="&amp;AK544),NA())</f>
        <v>25.353524229074896</v>
      </c>
      <c r="AM544" s="46">
        <f t="shared" ca="1" si="117"/>
        <v>5380</v>
      </c>
      <c r="AN544" s="46" t="b">
        <f t="shared" si="118"/>
        <v>0</v>
      </c>
      <c r="AO544" s="50" t="b">
        <f t="shared" si="119"/>
        <v>0</v>
      </c>
    </row>
    <row r="545" spans="21:41" x14ac:dyDescent="0.2">
      <c r="U545" s="46">
        <f t="shared" si="110"/>
        <v>5382</v>
      </c>
      <c r="V545" s="46">
        <f t="shared" si="111"/>
        <v>5391</v>
      </c>
      <c r="W545" s="33" t="e">
        <f>IFERROR(AVERAGEIFS(data_brute!M:M,data_brute!J:J,"&lt;="&amp;V545,data_brute!J:J,"&gt;="&amp;U545),NA())</f>
        <v>#N/A</v>
      </c>
      <c r="X545" s="46" t="e">
        <f t="shared" si="112"/>
        <v>#N/A</v>
      </c>
      <c r="Y545" s="2" t="b">
        <f t="shared" si="113"/>
        <v>0</v>
      </c>
      <c r="Z545" s="2" t="b">
        <f t="shared" si="114"/>
        <v>0</v>
      </c>
      <c r="AE545" s="46">
        <f t="shared" si="120"/>
        <v>5382</v>
      </c>
      <c r="AF545" s="46">
        <f t="shared" si="121"/>
        <v>5391</v>
      </c>
      <c r="AG545" s="33" t="e">
        <f>IFERROR(AVERAGEIFS(data_brute!M:M,data_brute!J:J,"&gt;="&amp;AE545,data_brute!J:J,"&lt;="&amp;AF545),NA())</f>
        <v>#N/A</v>
      </c>
      <c r="AH545" s="46" t="e">
        <f t="shared" si="122"/>
        <v>#N/A</v>
      </c>
      <c r="AJ545" s="46">
        <f t="shared" si="115"/>
        <v>5382</v>
      </c>
      <c r="AK545" s="46">
        <f t="shared" si="116"/>
        <v>5391</v>
      </c>
      <c r="AL545" s="33">
        <f ca="1">IFERROR(AVERAGEIFS(data_brute!M:M,data_brute!J:J,"&lt;="&amp;AK545),NA())</f>
        <v>25.353524229074896</v>
      </c>
      <c r="AM545" s="46">
        <f t="shared" ca="1" si="117"/>
        <v>5390</v>
      </c>
      <c r="AN545" s="46" t="b">
        <f t="shared" si="118"/>
        <v>0</v>
      </c>
      <c r="AO545" s="50" t="b">
        <f t="shared" si="119"/>
        <v>0</v>
      </c>
    </row>
    <row r="546" spans="21:41" x14ac:dyDescent="0.2">
      <c r="U546" s="46">
        <f t="shared" si="110"/>
        <v>5392</v>
      </c>
      <c r="V546" s="46">
        <f t="shared" si="111"/>
        <v>5401</v>
      </c>
      <c r="W546" s="33" t="e">
        <f>IFERROR(AVERAGEIFS(data_brute!M:M,data_brute!J:J,"&lt;="&amp;V546,data_brute!J:J,"&gt;="&amp;U546),NA())</f>
        <v>#N/A</v>
      </c>
      <c r="X546" s="46" t="e">
        <f t="shared" si="112"/>
        <v>#N/A</v>
      </c>
      <c r="Y546" s="2" t="b">
        <f t="shared" si="113"/>
        <v>0</v>
      </c>
      <c r="Z546" s="2" t="b">
        <f t="shared" si="114"/>
        <v>0</v>
      </c>
      <c r="AE546" s="46">
        <f t="shared" si="120"/>
        <v>5392</v>
      </c>
      <c r="AF546" s="46">
        <f t="shared" si="121"/>
        <v>5401</v>
      </c>
      <c r="AG546" s="33" t="e">
        <f>IFERROR(AVERAGEIFS(data_brute!M:M,data_brute!J:J,"&gt;="&amp;AE546,data_brute!J:J,"&lt;="&amp;AF546),NA())</f>
        <v>#N/A</v>
      </c>
      <c r="AH546" s="46" t="e">
        <f t="shared" si="122"/>
        <v>#N/A</v>
      </c>
      <c r="AJ546" s="46">
        <f t="shared" si="115"/>
        <v>5392</v>
      </c>
      <c r="AK546" s="46">
        <f t="shared" si="116"/>
        <v>5401</v>
      </c>
      <c r="AL546" s="33">
        <f ca="1">IFERROR(AVERAGEIFS(data_brute!M:M,data_brute!J:J,"&lt;="&amp;AK546),NA())</f>
        <v>25.353524229074896</v>
      </c>
      <c r="AM546" s="46">
        <f t="shared" ca="1" si="117"/>
        <v>5400</v>
      </c>
      <c r="AN546" s="46" t="b">
        <f t="shared" si="118"/>
        <v>0</v>
      </c>
      <c r="AO546" s="50" t="b">
        <f t="shared" si="119"/>
        <v>0</v>
      </c>
    </row>
    <row r="547" spans="21:41" x14ac:dyDescent="0.2">
      <c r="U547" s="46">
        <f t="shared" ref="U547:U610" si="123">V546+1</f>
        <v>5402</v>
      </c>
      <c r="V547" s="46">
        <f t="shared" ref="V547:V610" si="124">U547+$AG$2-1</f>
        <v>5411</v>
      </c>
      <c r="W547" s="33" t="e">
        <f>IFERROR(AVERAGEIFS(data_brute!M:M,data_brute!J:J,"&lt;="&amp;V547,data_brute!J:J,"&gt;="&amp;U547),NA())</f>
        <v>#N/A</v>
      </c>
      <c r="X547" s="46" t="e">
        <f t="shared" ref="X547:X610" si="125">IF(W547&lt;&gt;"",$AG$2*(ROW()-ROW($AH$6)),NA())</f>
        <v>#N/A</v>
      </c>
      <c r="Y547" s="2" t="b">
        <f t="shared" ref="Y547:Y610" si="126">IF(AND($F$5&gt;=U547,$F$5&lt;=V547,V547=$F$5),TRUE,FALSE)</f>
        <v>0</v>
      </c>
      <c r="Z547" s="2" t="b">
        <f t="shared" ref="Z547:Z610" si="127">IF(AND($F$5&gt;=U547,$F$5&lt;=V547),TRUE,FALSE)</f>
        <v>0</v>
      </c>
      <c r="AE547" s="46">
        <f t="shared" si="120"/>
        <v>5402</v>
      </c>
      <c r="AF547" s="46">
        <f t="shared" si="121"/>
        <v>5411</v>
      </c>
      <c r="AG547" s="33" t="e">
        <f>IFERROR(AVERAGEIFS(data_brute!M:M,data_brute!J:J,"&gt;="&amp;AE547,data_brute!J:J,"&lt;="&amp;AF547),NA())</f>
        <v>#N/A</v>
      </c>
      <c r="AH547" s="46" t="e">
        <f t="shared" si="122"/>
        <v>#N/A</v>
      </c>
      <c r="AJ547" s="46">
        <f t="shared" si="115"/>
        <v>5402</v>
      </c>
      <c r="AK547" s="46">
        <f t="shared" si="116"/>
        <v>5411</v>
      </c>
      <c r="AL547" s="33">
        <f ca="1">IFERROR(AVERAGEIFS(data_brute!M:M,data_brute!J:J,"&lt;="&amp;AK547),NA())</f>
        <v>25.353524229074896</v>
      </c>
      <c r="AM547" s="46">
        <f t="shared" ca="1" si="117"/>
        <v>5410</v>
      </c>
      <c r="AN547" s="46" t="b">
        <f t="shared" si="118"/>
        <v>0</v>
      </c>
      <c r="AO547" s="50" t="b">
        <f t="shared" si="119"/>
        <v>0</v>
      </c>
    </row>
    <row r="548" spans="21:41" x14ac:dyDescent="0.2">
      <c r="U548" s="46">
        <f t="shared" si="123"/>
        <v>5412</v>
      </c>
      <c r="V548" s="46">
        <f t="shared" si="124"/>
        <v>5421</v>
      </c>
      <c r="W548" s="33" t="e">
        <f>IFERROR(AVERAGEIFS(data_brute!M:M,data_brute!J:J,"&lt;="&amp;V548,data_brute!J:J,"&gt;="&amp;U548),NA())</f>
        <v>#N/A</v>
      </c>
      <c r="X548" s="46" t="e">
        <f t="shared" si="125"/>
        <v>#N/A</v>
      </c>
      <c r="Y548" s="2" t="b">
        <f t="shared" si="126"/>
        <v>0</v>
      </c>
      <c r="Z548" s="2" t="b">
        <f t="shared" si="127"/>
        <v>0</v>
      </c>
      <c r="AE548" s="46">
        <f t="shared" si="120"/>
        <v>5412</v>
      </c>
      <c r="AF548" s="46">
        <f t="shared" si="121"/>
        <v>5421</v>
      </c>
      <c r="AG548" s="33" t="e">
        <f>IFERROR(AVERAGEIFS(data_brute!M:M,data_brute!J:J,"&gt;="&amp;AE548,data_brute!J:J,"&lt;="&amp;AF548),NA())</f>
        <v>#N/A</v>
      </c>
      <c r="AH548" s="46" t="e">
        <f t="shared" si="122"/>
        <v>#N/A</v>
      </c>
      <c r="AJ548" s="46">
        <f t="shared" ref="AJ548:AJ611" si="128">AK547+1</f>
        <v>5412</v>
      </c>
      <c r="AK548" s="46">
        <f t="shared" ref="AK548:AK611" si="129">AJ548+$AG$2-1</f>
        <v>5421</v>
      </c>
      <c r="AL548" s="33">
        <f ca="1">IFERROR(AVERAGEIFS(data_brute!M:M,data_brute!J:J,"&lt;="&amp;AK548),NA())</f>
        <v>25.353524229074896</v>
      </c>
      <c r="AM548" s="46">
        <f t="shared" ref="AM548:AM611" ca="1" si="130">IF(AL548&lt;&gt;"",$AG$2*(ROW()-ROW($AH$6)),NA())</f>
        <v>5420</v>
      </c>
      <c r="AN548" s="46" t="b">
        <f t="shared" ref="AN548:AN611" si="131">IF(AND($F$5&gt;=AJ548,$F$5&lt;=AK548,AK548=$F$5),TRUE,FALSE)</f>
        <v>0</v>
      </c>
      <c r="AO548" s="50" t="b">
        <f t="shared" ref="AO548:AO611" si="132">IF(AND($F$5&gt;=AJ548,$F$5&lt;=AK548),TRUE,FALSE)</f>
        <v>0</v>
      </c>
    </row>
    <row r="549" spans="21:41" x14ac:dyDescent="0.2">
      <c r="U549" s="46">
        <f t="shared" si="123"/>
        <v>5422</v>
      </c>
      <c r="V549" s="46">
        <f t="shared" si="124"/>
        <v>5431</v>
      </c>
      <c r="W549" s="33" t="e">
        <f>IFERROR(AVERAGEIFS(data_brute!M:M,data_brute!J:J,"&lt;="&amp;V549,data_brute!J:J,"&gt;="&amp;U549),NA())</f>
        <v>#N/A</v>
      </c>
      <c r="X549" s="46" t="e">
        <f t="shared" si="125"/>
        <v>#N/A</v>
      </c>
      <c r="Y549" s="2" t="b">
        <f t="shared" si="126"/>
        <v>0</v>
      </c>
      <c r="Z549" s="2" t="b">
        <f t="shared" si="127"/>
        <v>0</v>
      </c>
      <c r="AE549" s="46">
        <f t="shared" si="120"/>
        <v>5422</v>
      </c>
      <c r="AF549" s="46">
        <f t="shared" si="121"/>
        <v>5431</v>
      </c>
      <c r="AG549" s="33" t="e">
        <f>IFERROR(AVERAGEIFS(data_brute!M:M,data_brute!J:J,"&gt;="&amp;AE549,data_brute!J:J,"&lt;="&amp;AF549),NA())</f>
        <v>#N/A</v>
      </c>
      <c r="AH549" s="46" t="e">
        <f t="shared" si="122"/>
        <v>#N/A</v>
      </c>
      <c r="AJ549" s="46">
        <f t="shared" si="128"/>
        <v>5422</v>
      </c>
      <c r="AK549" s="46">
        <f t="shared" si="129"/>
        <v>5431</v>
      </c>
      <c r="AL549" s="33">
        <f ca="1">IFERROR(AVERAGEIFS(data_brute!M:M,data_brute!J:J,"&lt;="&amp;AK549),NA())</f>
        <v>25.353524229074896</v>
      </c>
      <c r="AM549" s="46">
        <f t="shared" ca="1" si="130"/>
        <v>5430</v>
      </c>
      <c r="AN549" s="46" t="b">
        <f t="shared" si="131"/>
        <v>0</v>
      </c>
      <c r="AO549" s="50" t="b">
        <f t="shared" si="132"/>
        <v>0</v>
      </c>
    </row>
    <row r="550" spans="21:41" x14ac:dyDescent="0.2">
      <c r="U550" s="46">
        <f t="shared" si="123"/>
        <v>5432</v>
      </c>
      <c r="V550" s="46">
        <f t="shared" si="124"/>
        <v>5441</v>
      </c>
      <c r="W550" s="33" t="e">
        <f>IFERROR(AVERAGEIFS(data_brute!M:M,data_brute!J:J,"&lt;="&amp;V550,data_brute!J:J,"&gt;="&amp;U550),NA())</f>
        <v>#N/A</v>
      </c>
      <c r="X550" s="46" t="e">
        <f t="shared" si="125"/>
        <v>#N/A</v>
      </c>
      <c r="Y550" s="2" t="b">
        <f t="shared" si="126"/>
        <v>0</v>
      </c>
      <c r="Z550" s="2" t="b">
        <f t="shared" si="127"/>
        <v>0</v>
      </c>
      <c r="AE550" s="46">
        <f t="shared" si="120"/>
        <v>5432</v>
      </c>
      <c r="AF550" s="46">
        <f t="shared" si="121"/>
        <v>5441</v>
      </c>
      <c r="AG550" s="33" t="e">
        <f>IFERROR(AVERAGEIFS(data_brute!M:M,data_brute!J:J,"&gt;="&amp;AE550,data_brute!J:J,"&lt;="&amp;AF550),NA())</f>
        <v>#N/A</v>
      </c>
      <c r="AH550" s="46" t="e">
        <f t="shared" si="122"/>
        <v>#N/A</v>
      </c>
      <c r="AJ550" s="46">
        <f t="shared" si="128"/>
        <v>5432</v>
      </c>
      <c r="AK550" s="46">
        <f t="shared" si="129"/>
        <v>5441</v>
      </c>
      <c r="AL550" s="33">
        <f ca="1">IFERROR(AVERAGEIFS(data_brute!M:M,data_brute!J:J,"&lt;="&amp;AK550),NA())</f>
        <v>25.353524229074896</v>
      </c>
      <c r="AM550" s="46">
        <f t="shared" ca="1" si="130"/>
        <v>5440</v>
      </c>
      <c r="AN550" s="46" t="b">
        <f t="shared" si="131"/>
        <v>0</v>
      </c>
      <c r="AO550" s="50" t="b">
        <f t="shared" si="132"/>
        <v>0</v>
      </c>
    </row>
    <row r="551" spans="21:41" x14ac:dyDescent="0.2">
      <c r="U551" s="46">
        <f t="shared" si="123"/>
        <v>5442</v>
      </c>
      <c r="V551" s="46">
        <f t="shared" si="124"/>
        <v>5451</v>
      </c>
      <c r="W551" s="33" t="e">
        <f>IFERROR(AVERAGEIFS(data_brute!M:M,data_brute!J:J,"&lt;="&amp;V551,data_brute!J:J,"&gt;="&amp;U551),NA())</f>
        <v>#N/A</v>
      </c>
      <c r="X551" s="46" t="e">
        <f t="shared" si="125"/>
        <v>#N/A</v>
      </c>
      <c r="Y551" s="2" t="b">
        <f t="shared" si="126"/>
        <v>0</v>
      </c>
      <c r="Z551" s="2" t="b">
        <f t="shared" si="127"/>
        <v>0</v>
      </c>
      <c r="AE551" s="46">
        <f t="shared" si="120"/>
        <v>5442</v>
      </c>
      <c r="AF551" s="46">
        <f t="shared" si="121"/>
        <v>5451</v>
      </c>
      <c r="AG551" s="33" t="e">
        <f>IFERROR(AVERAGEIFS(data_brute!M:M,data_brute!J:J,"&gt;="&amp;AE551,data_brute!J:J,"&lt;="&amp;AF551),NA())</f>
        <v>#N/A</v>
      </c>
      <c r="AH551" s="46" t="e">
        <f t="shared" si="122"/>
        <v>#N/A</v>
      </c>
      <c r="AJ551" s="46">
        <f t="shared" si="128"/>
        <v>5442</v>
      </c>
      <c r="AK551" s="46">
        <f t="shared" si="129"/>
        <v>5451</v>
      </c>
      <c r="AL551" s="33">
        <f ca="1">IFERROR(AVERAGEIFS(data_brute!M:M,data_brute!J:J,"&lt;="&amp;AK551),NA())</f>
        <v>25.353524229074896</v>
      </c>
      <c r="AM551" s="46">
        <f t="shared" ca="1" si="130"/>
        <v>5450</v>
      </c>
      <c r="AN551" s="46" t="b">
        <f t="shared" si="131"/>
        <v>0</v>
      </c>
      <c r="AO551" s="50" t="b">
        <f t="shared" si="132"/>
        <v>0</v>
      </c>
    </row>
    <row r="552" spans="21:41" x14ac:dyDescent="0.2">
      <c r="U552" s="46">
        <f t="shared" si="123"/>
        <v>5452</v>
      </c>
      <c r="V552" s="46">
        <f t="shared" si="124"/>
        <v>5461</v>
      </c>
      <c r="W552" s="33" t="e">
        <f>IFERROR(AVERAGEIFS(data_brute!M:M,data_brute!J:J,"&lt;="&amp;V552,data_brute!J:J,"&gt;="&amp;U552),NA())</f>
        <v>#N/A</v>
      </c>
      <c r="X552" s="46" t="e">
        <f t="shared" si="125"/>
        <v>#N/A</v>
      </c>
      <c r="Y552" s="2" t="b">
        <f t="shared" si="126"/>
        <v>0</v>
      </c>
      <c r="Z552" s="2" t="b">
        <f t="shared" si="127"/>
        <v>0</v>
      </c>
      <c r="AE552" s="46">
        <f t="shared" si="120"/>
        <v>5452</v>
      </c>
      <c r="AF552" s="46">
        <f t="shared" si="121"/>
        <v>5461</v>
      </c>
      <c r="AG552" s="33" t="e">
        <f>IFERROR(AVERAGEIFS(data_brute!M:M,data_brute!J:J,"&gt;="&amp;AE552,data_brute!J:J,"&lt;="&amp;AF552),NA())</f>
        <v>#N/A</v>
      </c>
      <c r="AH552" s="46" t="e">
        <f t="shared" si="122"/>
        <v>#N/A</v>
      </c>
      <c r="AJ552" s="46">
        <f t="shared" si="128"/>
        <v>5452</v>
      </c>
      <c r="AK552" s="46">
        <f t="shared" si="129"/>
        <v>5461</v>
      </c>
      <c r="AL552" s="33">
        <f ca="1">IFERROR(AVERAGEIFS(data_brute!M:M,data_brute!J:J,"&lt;="&amp;AK552),NA())</f>
        <v>25.353524229074896</v>
      </c>
      <c r="AM552" s="46">
        <f t="shared" ca="1" si="130"/>
        <v>5460</v>
      </c>
      <c r="AN552" s="46" t="b">
        <f t="shared" si="131"/>
        <v>0</v>
      </c>
      <c r="AO552" s="50" t="b">
        <f t="shared" si="132"/>
        <v>0</v>
      </c>
    </row>
    <row r="553" spans="21:41" x14ac:dyDescent="0.2">
      <c r="U553" s="46">
        <f t="shared" si="123"/>
        <v>5462</v>
      </c>
      <c r="V553" s="46">
        <f t="shared" si="124"/>
        <v>5471</v>
      </c>
      <c r="W553" s="33" t="e">
        <f>IFERROR(AVERAGEIFS(data_brute!M:M,data_brute!J:J,"&lt;="&amp;V553,data_brute!J:J,"&gt;="&amp;U553),NA())</f>
        <v>#N/A</v>
      </c>
      <c r="X553" s="46" t="e">
        <f t="shared" si="125"/>
        <v>#N/A</v>
      </c>
      <c r="Y553" s="2" t="b">
        <f t="shared" si="126"/>
        <v>0</v>
      </c>
      <c r="Z553" s="2" t="b">
        <f t="shared" si="127"/>
        <v>0</v>
      </c>
      <c r="AE553" s="46">
        <f t="shared" si="120"/>
        <v>5462</v>
      </c>
      <c r="AF553" s="46">
        <f t="shared" si="121"/>
        <v>5471</v>
      </c>
      <c r="AG553" s="33" t="e">
        <f>IFERROR(AVERAGEIFS(data_brute!M:M,data_brute!J:J,"&gt;="&amp;AE553,data_brute!J:J,"&lt;="&amp;AF553),NA())</f>
        <v>#N/A</v>
      </c>
      <c r="AH553" s="46" t="e">
        <f t="shared" si="122"/>
        <v>#N/A</v>
      </c>
      <c r="AJ553" s="46">
        <f t="shared" si="128"/>
        <v>5462</v>
      </c>
      <c r="AK553" s="46">
        <f t="shared" si="129"/>
        <v>5471</v>
      </c>
      <c r="AL553" s="33">
        <f ca="1">IFERROR(AVERAGEIFS(data_brute!M:M,data_brute!J:J,"&lt;="&amp;AK553),NA())</f>
        <v>25.353524229074896</v>
      </c>
      <c r="AM553" s="46">
        <f t="shared" ca="1" si="130"/>
        <v>5470</v>
      </c>
      <c r="AN553" s="46" t="b">
        <f t="shared" si="131"/>
        <v>0</v>
      </c>
      <c r="AO553" s="50" t="b">
        <f t="shared" si="132"/>
        <v>0</v>
      </c>
    </row>
    <row r="554" spans="21:41" x14ac:dyDescent="0.2">
      <c r="U554" s="46">
        <f t="shared" si="123"/>
        <v>5472</v>
      </c>
      <c r="V554" s="46">
        <f t="shared" si="124"/>
        <v>5481</v>
      </c>
      <c r="W554" s="33" t="e">
        <f>IFERROR(AVERAGEIFS(data_brute!M:M,data_brute!J:J,"&lt;="&amp;V554,data_brute!J:J,"&gt;="&amp;U554),NA())</f>
        <v>#N/A</v>
      </c>
      <c r="X554" s="46" t="e">
        <f t="shared" si="125"/>
        <v>#N/A</v>
      </c>
      <c r="Y554" s="2" t="b">
        <f t="shared" si="126"/>
        <v>0</v>
      </c>
      <c r="Z554" s="2" t="b">
        <f t="shared" si="127"/>
        <v>0</v>
      </c>
      <c r="AE554" s="46">
        <f t="shared" si="120"/>
        <v>5472</v>
      </c>
      <c r="AF554" s="46">
        <f t="shared" si="121"/>
        <v>5481</v>
      </c>
      <c r="AG554" s="33" t="e">
        <f>IFERROR(AVERAGEIFS(data_brute!M:M,data_brute!J:J,"&gt;="&amp;AE554,data_brute!J:J,"&lt;="&amp;AF554),NA())</f>
        <v>#N/A</v>
      </c>
      <c r="AH554" s="46" t="e">
        <f t="shared" si="122"/>
        <v>#N/A</v>
      </c>
      <c r="AJ554" s="46">
        <f t="shared" si="128"/>
        <v>5472</v>
      </c>
      <c r="AK554" s="46">
        <f t="shared" si="129"/>
        <v>5481</v>
      </c>
      <c r="AL554" s="33">
        <f ca="1">IFERROR(AVERAGEIFS(data_brute!M:M,data_brute!J:J,"&lt;="&amp;AK554),NA())</f>
        <v>25.353524229074896</v>
      </c>
      <c r="AM554" s="46">
        <f t="shared" ca="1" si="130"/>
        <v>5480</v>
      </c>
      <c r="AN554" s="46" t="b">
        <f t="shared" si="131"/>
        <v>0</v>
      </c>
      <c r="AO554" s="50" t="b">
        <f t="shared" si="132"/>
        <v>0</v>
      </c>
    </row>
    <row r="555" spans="21:41" x14ac:dyDescent="0.2">
      <c r="U555" s="46">
        <f t="shared" si="123"/>
        <v>5482</v>
      </c>
      <c r="V555" s="46">
        <f t="shared" si="124"/>
        <v>5491</v>
      </c>
      <c r="W555" s="33" t="e">
        <f>IFERROR(AVERAGEIFS(data_brute!M:M,data_brute!J:J,"&lt;="&amp;V555,data_brute!J:J,"&gt;="&amp;U555),NA())</f>
        <v>#N/A</v>
      </c>
      <c r="X555" s="46" t="e">
        <f t="shared" si="125"/>
        <v>#N/A</v>
      </c>
      <c r="Y555" s="2" t="b">
        <f t="shared" si="126"/>
        <v>0</v>
      </c>
      <c r="Z555" s="2" t="b">
        <f t="shared" si="127"/>
        <v>0</v>
      </c>
      <c r="AE555" s="46">
        <f t="shared" si="120"/>
        <v>5482</v>
      </c>
      <c r="AF555" s="46">
        <f t="shared" si="121"/>
        <v>5491</v>
      </c>
      <c r="AG555" s="33" t="e">
        <f>IFERROR(AVERAGEIFS(data_brute!M:M,data_brute!J:J,"&gt;="&amp;AE555,data_brute!J:J,"&lt;="&amp;AF555),NA())</f>
        <v>#N/A</v>
      </c>
      <c r="AH555" s="46" t="e">
        <f t="shared" si="122"/>
        <v>#N/A</v>
      </c>
      <c r="AJ555" s="46">
        <f t="shared" si="128"/>
        <v>5482</v>
      </c>
      <c r="AK555" s="46">
        <f t="shared" si="129"/>
        <v>5491</v>
      </c>
      <c r="AL555" s="33">
        <f ca="1">IFERROR(AVERAGEIFS(data_brute!M:M,data_brute!J:J,"&lt;="&amp;AK555),NA())</f>
        <v>25.353524229074896</v>
      </c>
      <c r="AM555" s="46">
        <f t="shared" ca="1" si="130"/>
        <v>5490</v>
      </c>
      <c r="AN555" s="46" t="b">
        <f t="shared" si="131"/>
        <v>0</v>
      </c>
      <c r="AO555" s="50" t="b">
        <f t="shared" si="132"/>
        <v>0</v>
      </c>
    </row>
    <row r="556" spans="21:41" x14ac:dyDescent="0.2">
      <c r="U556" s="46">
        <f t="shared" si="123"/>
        <v>5492</v>
      </c>
      <c r="V556" s="46">
        <f t="shared" si="124"/>
        <v>5501</v>
      </c>
      <c r="W556" s="33" t="e">
        <f>IFERROR(AVERAGEIFS(data_brute!M:M,data_brute!J:J,"&lt;="&amp;V556,data_brute!J:J,"&gt;="&amp;U556),NA())</f>
        <v>#N/A</v>
      </c>
      <c r="X556" s="46" t="e">
        <f t="shared" si="125"/>
        <v>#N/A</v>
      </c>
      <c r="Y556" s="2" t="b">
        <f t="shared" si="126"/>
        <v>0</v>
      </c>
      <c r="Z556" s="2" t="b">
        <f t="shared" si="127"/>
        <v>0</v>
      </c>
      <c r="AE556" s="46">
        <f t="shared" si="120"/>
        <v>5492</v>
      </c>
      <c r="AF556" s="46">
        <f t="shared" si="121"/>
        <v>5501</v>
      </c>
      <c r="AG556" s="33" t="e">
        <f>IFERROR(AVERAGEIFS(data_brute!M:M,data_brute!J:J,"&gt;="&amp;AE556,data_brute!J:J,"&lt;="&amp;AF556),NA())</f>
        <v>#N/A</v>
      </c>
      <c r="AH556" s="46" t="e">
        <f t="shared" si="122"/>
        <v>#N/A</v>
      </c>
      <c r="AJ556" s="46">
        <f t="shared" si="128"/>
        <v>5492</v>
      </c>
      <c r="AK556" s="46">
        <f t="shared" si="129"/>
        <v>5501</v>
      </c>
      <c r="AL556" s="33">
        <f ca="1">IFERROR(AVERAGEIFS(data_brute!M:M,data_brute!J:J,"&lt;="&amp;AK556),NA())</f>
        <v>25.353524229074896</v>
      </c>
      <c r="AM556" s="46">
        <f t="shared" ca="1" si="130"/>
        <v>5500</v>
      </c>
      <c r="AN556" s="46" t="b">
        <f t="shared" si="131"/>
        <v>0</v>
      </c>
      <c r="AO556" s="50" t="b">
        <f t="shared" si="132"/>
        <v>0</v>
      </c>
    </row>
    <row r="557" spans="21:41" x14ac:dyDescent="0.2">
      <c r="U557" s="46">
        <f t="shared" si="123"/>
        <v>5502</v>
      </c>
      <c r="V557" s="46">
        <f t="shared" si="124"/>
        <v>5511</v>
      </c>
      <c r="W557" s="33" t="e">
        <f>IFERROR(AVERAGEIFS(data_brute!M:M,data_brute!J:J,"&lt;="&amp;V557,data_brute!J:J,"&gt;="&amp;U557),NA())</f>
        <v>#N/A</v>
      </c>
      <c r="X557" s="46" t="e">
        <f t="shared" si="125"/>
        <v>#N/A</v>
      </c>
      <c r="Y557" s="2" t="b">
        <f t="shared" si="126"/>
        <v>0</v>
      </c>
      <c r="Z557" s="2" t="b">
        <f t="shared" si="127"/>
        <v>0</v>
      </c>
      <c r="AE557" s="46">
        <f t="shared" si="120"/>
        <v>5502</v>
      </c>
      <c r="AF557" s="46">
        <f t="shared" si="121"/>
        <v>5511</v>
      </c>
      <c r="AG557" s="33" t="e">
        <f>IFERROR(AVERAGEIFS(data_brute!M:M,data_brute!J:J,"&gt;="&amp;AE557,data_brute!J:J,"&lt;="&amp;AF557),NA())</f>
        <v>#N/A</v>
      </c>
      <c r="AH557" s="46" t="e">
        <f t="shared" si="122"/>
        <v>#N/A</v>
      </c>
      <c r="AJ557" s="46">
        <f t="shared" si="128"/>
        <v>5502</v>
      </c>
      <c r="AK557" s="46">
        <f t="shared" si="129"/>
        <v>5511</v>
      </c>
      <c r="AL557" s="33">
        <f ca="1">IFERROR(AVERAGEIFS(data_brute!M:M,data_brute!J:J,"&lt;="&amp;AK557),NA())</f>
        <v>25.353524229074896</v>
      </c>
      <c r="AM557" s="46">
        <f t="shared" ca="1" si="130"/>
        <v>5510</v>
      </c>
      <c r="AN557" s="46" t="b">
        <f t="shared" si="131"/>
        <v>0</v>
      </c>
      <c r="AO557" s="50" t="b">
        <f t="shared" si="132"/>
        <v>0</v>
      </c>
    </row>
    <row r="558" spans="21:41" x14ac:dyDescent="0.2">
      <c r="U558" s="46">
        <f t="shared" si="123"/>
        <v>5512</v>
      </c>
      <c r="V558" s="46">
        <f t="shared" si="124"/>
        <v>5521</v>
      </c>
      <c r="W558" s="33" t="e">
        <f>IFERROR(AVERAGEIFS(data_brute!M:M,data_brute!J:J,"&lt;="&amp;V558,data_brute!J:J,"&gt;="&amp;U558),NA())</f>
        <v>#N/A</v>
      </c>
      <c r="X558" s="46" t="e">
        <f t="shared" si="125"/>
        <v>#N/A</v>
      </c>
      <c r="Y558" s="2" t="b">
        <f t="shared" si="126"/>
        <v>0</v>
      </c>
      <c r="Z558" s="2" t="b">
        <f t="shared" si="127"/>
        <v>0</v>
      </c>
      <c r="AE558" s="46">
        <f t="shared" si="120"/>
        <v>5512</v>
      </c>
      <c r="AF558" s="46">
        <f t="shared" si="121"/>
        <v>5521</v>
      </c>
      <c r="AG558" s="33" t="e">
        <f>IFERROR(AVERAGEIFS(data_brute!M:M,data_brute!J:J,"&gt;="&amp;AE558,data_brute!J:J,"&lt;="&amp;AF558),NA())</f>
        <v>#N/A</v>
      </c>
      <c r="AH558" s="46" t="e">
        <f t="shared" si="122"/>
        <v>#N/A</v>
      </c>
      <c r="AJ558" s="46">
        <f t="shared" si="128"/>
        <v>5512</v>
      </c>
      <c r="AK558" s="46">
        <f t="shared" si="129"/>
        <v>5521</v>
      </c>
      <c r="AL558" s="33">
        <f ca="1">IFERROR(AVERAGEIFS(data_brute!M:M,data_brute!J:J,"&lt;="&amp;AK558),NA())</f>
        <v>25.353524229074896</v>
      </c>
      <c r="AM558" s="46">
        <f t="shared" ca="1" si="130"/>
        <v>5520</v>
      </c>
      <c r="AN558" s="46" t="b">
        <f t="shared" si="131"/>
        <v>0</v>
      </c>
      <c r="AO558" s="50" t="b">
        <f t="shared" si="132"/>
        <v>0</v>
      </c>
    </row>
    <row r="559" spans="21:41" x14ac:dyDescent="0.2">
      <c r="U559" s="46">
        <f t="shared" si="123"/>
        <v>5522</v>
      </c>
      <c r="V559" s="46">
        <f t="shared" si="124"/>
        <v>5531</v>
      </c>
      <c r="W559" s="33" t="e">
        <f>IFERROR(AVERAGEIFS(data_brute!M:M,data_brute!J:J,"&lt;="&amp;V559,data_brute!J:J,"&gt;="&amp;U559),NA())</f>
        <v>#N/A</v>
      </c>
      <c r="X559" s="46" t="e">
        <f t="shared" si="125"/>
        <v>#N/A</v>
      </c>
      <c r="Y559" s="2" t="b">
        <f t="shared" si="126"/>
        <v>0</v>
      </c>
      <c r="Z559" s="2" t="b">
        <f t="shared" si="127"/>
        <v>0</v>
      </c>
      <c r="AE559" s="46">
        <f t="shared" si="120"/>
        <v>5522</v>
      </c>
      <c r="AF559" s="46">
        <f t="shared" si="121"/>
        <v>5531</v>
      </c>
      <c r="AG559" s="33" t="e">
        <f>IFERROR(AVERAGEIFS(data_brute!M:M,data_brute!J:J,"&gt;="&amp;AE559,data_brute!J:J,"&lt;="&amp;AF559),NA())</f>
        <v>#N/A</v>
      </c>
      <c r="AH559" s="46" t="e">
        <f t="shared" si="122"/>
        <v>#N/A</v>
      </c>
      <c r="AJ559" s="46">
        <f t="shared" si="128"/>
        <v>5522</v>
      </c>
      <c r="AK559" s="46">
        <f t="shared" si="129"/>
        <v>5531</v>
      </c>
      <c r="AL559" s="33">
        <f ca="1">IFERROR(AVERAGEIFS(data_brute!M:M,data_brute!J:J,"&lt;="&amp;AK559),NA())</f>
        <v>25.353524229074896</v>
      </c>
      <c r="AM559" s="46">
        <f t="shared" ca="1" si="130"/>
        <v>5530</v>
      </c>
      <c r="AN559" s="46" t="b">
        <f t="shared" si="131"/>
        <v>0</v>
      </c>
      <c r="AO559" s="50" t="b">
        <f t="shared" si="132"/>
        <v>0</v>
      </c>
    </row>
    <row r="560" spans="21:41" x14ac:dyDescent="0.2">
      <c r="U560" s="46">
        <f t="shared" si="123"/>
        <v>5532</v>
      </c>
      <c r="V560" s="46">
        <f t="shared" si="124"/>
        <v>5541</v>
      </c>
      <c r="W560" s="33" t="e">
        <f>IFERROR(AVERAGEIFS(data_brute!M:M,data_brute!J:J,"&lt;="&amp;V560,data_brute!J:J,"&gt;="&amp;U560),NA())</f>
        <v>#N/A</v>
      </c>
      <c r="X560" s="46" t="e">
        <f t="shared" si="125"/>
        <v>#N/A</v>
      </c>
      <c r="Y560" s="2" t="b">
        <f t="shared" si="126"/>
        <v>0</v>
      </c>
      <c r="Z560" s="2" t="b">
        <f t="shared" si="127"/>
        <v>0</v>
      </c>
      <c r="AE560" s="46">
        <f t="shared" si="120"/>
        <v>5532</v>
      </c>
      <c r="AF560" s="46">
        <f t="shared" si="121"/>
        <v>5541</v>
      </c>
      <c r="AG560" s="33" t="e">
        <f>IFERROR(AVERAGEIFS(data_brute!M:M,data_brute!J:J,"&gt;="&amp;AE560,data_brute!J:J,"&lt;="&amp;AF560),NA())</f>
        <v>#N/A</v>
      </c>
      <c r="AH560" s="46" t="e">
        <f t="shared" si="122"/>
        <v>#N/A</v>
      </c>
      <c r="AJ560" s="46">
        <f t="shared" si="128"/>
        <v>5532</v>
      </c>
      <c r="AK560" s="46">
        <f t="shared" si="129"/>
        <v>5541</v>
      </c>
      <c r="AL560" s="33">
        <f ca="1">IFERROR(AVERAGEIFS(data_brute!M:M,data_brute!J:J,"&lt;="&amp;AK560),NA())</f>
        <v>25.353524229074896</v>
      </c>
      <c r="AM560" s="46">
        <f t="shared" ca="1" si="130"/>
        <v>5540</v>
      </c>
      <c r="AN560" s="46" t="b">
        <f t="shared" si="131"/>
        <v>0</v>
      </c>
      <c r="AO560" s="50" t="b">
        <f t="shared" si="132"/>
        <v>0</v>
      </c>
    </row>
    <row r="561" spans="21:41" x14ac:dyDescent="0.2">
      <c r="U561" s="46">
        <f t="shared" si="123"/>
        <v>5542</v>
      </c>
      <c r="V561" s="46">
        <f t="shared" si="124"/>
        <v>5551</v>
      </c>
      <c r="W561" s="33" t="e">
        <f>IFERROR(AVERAGEIFS(data_brute!M:M,data_brute!J:J,"&lt;="&amp;V561,data_brute!J:J,"&gt;="&amp;U561),NA())</f>
        <v>#N/A</v>
      </c>
      <c r="X561" s="46" t="e">
        <f t="shared" si="125"/>
        <v>#N/A</v>
      </c>
      <c r="Y561" s="2" t="b">
        <f t="shared" si="126"/>
        <v>0</v>
      </c>
      <c r="Z561" s="2" t="b">
        <f t="shared" si="127"/>
        <v>0</v>
      </c>
      <c r="AE561" s="46">
        <f t="shared" si="120"/>
        <v>5542</v>
      </c>
      <c r="AF561" s="46">
        <f t="shared" si="121"/>
        <v>5551</v>
      </c>
      <c r="AG561" s="33" t="e">
        <f>IFERROR(AVERAGEIFS(data_brute!M:M,data_brute!J:J,"&gt;="&amp;AE561,data_brute!J:J,"&lt;="&amp;AF561),NA())</f>
        <v>#N/A</v>
      </c>
      <c r="AH561" s="46" t="e">
        <f t="shared" si="122"/>
        <v>#N/A</v>
      </c>
      <c r="AJ561" s="46">
        <f t="shared" si="128"/>
        <v>5542</v>
      </c>
      <c r="AK561" s="46">
        <f t="shared" si="129"/>
        <v>5551</v>
      </c>
      <c r="AL561" s="33">
        <f ca="1">IFERROR(AVERAGEIFS(data_brute!M:M,data_brute!J:J,"&lt;="&amp;AK561),NA())</f>
        <v>25.353524229074896</v>
      </c>
      <c r="AM561" s="46">
        <f t="shared" ca="1" si="130"/>
        <v>5550</v>
      </c>
      <c r="AN561" s="46" t="b">
        <f t="shared" si="131"/>
        <v>0</v>
      </c>
      <c r="AO561" s="50" t="b">
        <f t="shared" si="132"/>
        <v>0</v>
      </c>
    </row>
    <row r="562" spans="21:41" x14ac:dyDescent="0.2">
      <c r="U562" s="46">
        <f t="shared" si="123"/>
        <v>5552</v>
      </c>
      <c r="V562" s="46">
        <f t="shared" si="124"/>
        <v>5561</v>
      </c>
      <c r="W562" s="33" t="e">
        <f>IFERROR(AVERAGEIFS(data_brute!M:M,data_brute!J:J,"&lt;="&amp;V562,data_brute!J:J,"&gt;="&amp;U562),NA())</f>
        <v>#N/A</v>
      </c>
      <c r="X562" s="46" t="e">
        <f t="shared" si="125"/>
        <v>#N/A</v>
      </c>
      <c r="Y562" s="2" t="b">
        <f t="shared" si="126"/>
        <v>0</v>
      </c>
      <c r="Z562" s="2" t="b">
        <f t="shared" si="127"/>
        <v>0</v>
      </c>
      <c r="AE562" s="46">
        <f t="shared" si="120"/>
        <v>5552</v>
      </c>
      <c r="AF562" s="46">
        <f t="shared" si="121"/>
        <v>5561</v>
      </c>
      <c r="AG562" s="33" t="e">
        <f>IFERROR(AVERAGEIFS(data_brute!M:M,data_brute!J:J,"&gt;="&amp;AE562,data_brute!J:J,"&lt;="&amp;AF562),NA())</f>
        <v>#N/A</v>
      </c>
      <c r="AH562" s="46" t="e">
        <f t="shared" si="122"/>
        <v>#N/A</v>
      </c>
      <c r="AJ562" s="46">
        <f t="shared" si="128"/>
        <v>5552</v>
      </c>
      <c r="AK562" s="46">
        <f t="shared" si="129"/>
        <v>5561</v>
      </c>
      <c r="AL562" s="33">
        <f ca="1">IFERROR(AVERAGEIFS(data_brute!M:M,data_brute!J:J,"&lt;="&amp;AK562),NA())</f>
        <v>25.353524229074896</v>
      </c>
      <c r="AM562" s="46">
        <f t="shared" ca="1" si="130"/>
        <v>5560</v>
      </c>
      <c r="AN562" s="46" t="b">
        <f t="shared" si="131"/>
        <v>0</v>
      </c>
      <c r="AO562" s="50" t="b">
        <f t="shared" si="132"/>
        <v>0</v>
      </c>
    </row>
    <row r="563" spans="21:41" x14ac:dyDescent="0.2">
      <c r="U563" s="46">
        <f t="shared" si="123"/>
        <v>5562</v>
      </c>
      <c r="V563" s="46">
        <f t="shared" si="124"/>
        <v>5571</v>
      </c>
      <c r="W563" s="33" t="e">
        <f>IFERROR(AVERAGEIFS(data_brute!M:M,data_brute!J:J,"&lt;="&amp;V563,data_brute!J:J,"&gt;="&amp;U563),NA())</f>
        <v>#N/A</v>
      </c>
      <c r="X563" s="46" t="e">
        <f t="shared" si="125"/>
        <v>#N/A</v>
      </c>
      <c r="Y563" s="2" t="b">
        <f t="shared" si="126"/>
        <v>0</v>
      </c>
      <c r="Z563" s="2" t="b">
        <f t="shared" si="127"/>
        <v>0</v>
      </c>
      <c r="AE563" s="46">
        <f t="shared" si="120"/>
        <v>5562</v>
      </c>
      <c r="AF563" s="46">
        <f t="shared" si="121"/>
        <v>5571</v>
      </c>
      <c r="AG563" s="33" t="e">
        <f>IFERROR(AVERAGEIFS(data_brute!M:M,data_brute!J:J,"&gt;="&amp;AE563,data_brute!J:J,"&lt;="&amp;AF563),NA())</f>
        <v>#N/A</v>
      </c>
      <c r="AH563" s="46" t="e">
        <f t="shared" si="122"/>
        <v>#N/A</v>
      </c>
      <c r="AJ563" s="46">
        <f t="shared" si="128"/>
        <v>5562</v>
      </c>
      <c r="AK563" s="46">
        <f t="shared" si="129"/>
        <v>5571</v>
      </c>
      <c r="AL563" s="33">
        <f ca="1">IFERROR(AVERAGEIFS(data_brute!M:M,data_brute!J:J,"&lt;="&amp;AK563),NA())</f>
        <v>25.353524229074896</v>
      </c>
      <c r="AM563" s="46">
        <f t="shared" ca="1" si="130"/>
        <v>5570</v>
      </c>
      <c r="AN563" s="46" t="b">
        <f t="shared" si="131"/>
        <v>0</v>
      </c>
      <c r="AO563" s="50" t="b">
        <f t="shared" si="132"/>
        <v>0</v>
      </c>
    </row>
    <row r="564" spans="21:41" x14ac:dyDescent="0.2">
      <c r="U564" s="46">
        <f t="shared" si="123"/>
        <v>5572</v>
      </c>
      <c r="V564" s="46">
        <f t="shared" si="124"/>
        <v>5581</v>
      </c>
      <c r="W564" s="33" t="e">
        <f>IFERROR(AVERAGEIFS(data_brute!M:M,data_brute!J:J,"&lt;="&amp;V564,data_brute!J:J,"&gt;="&amp;U564),NA())</f>
        <v>#N/A</v>
      </c>
      <c r="X564" s="46" t="e">
        <f t="shared" si="125"/>
        <v>#N/A</v>
      </c>
      <c r="Y564" s="2" t="b">
        <f t="shared" si="126"/>
        <v>0</v>
      </c>
      <c r="Z564" s="2" t="b">
        <f t="shared" si="127"/>
        <v>0</v>
      </c>
      <c r="AE564" s="46">
        <f t="shared" si="120"/>
        <v>5572</v>
      </c>
      <c r="AF564" s="46">
        <f t="shared" si="121"/>
        <v>5581</v>
      </c>
      <c r="AG564" s="33" t="e">
        <f>IFERROR(AVERAGEIFS(data_brute!M:M,data_brute!J:J,"&gt;="&amp;AE564,data_brute!J:J,"&lt;="&amp;AF564),NA())</f>
        <v>#N/A</v>
      </c>
      <c r="AH564" s="46" t="e">
        <f t="shared" si="122"/>
        <v>#N/A</v>
      </c>
      <c r="AJ564" s="46">
        <f t="shared" si="128"/>
        <v>5572</v>
      </c>
      <c r="AK564" s="46">
        <f t="shared" si="129"/>
        <v>5581</v>
      </c>
      <c r="AL564" s="33">
        <f ca="1">IFERROR(AVERAGEIFS(data_brute!M:M,data_brute!J:J,"&lt;="&amp;AK564),NA())</f>
        <v>25.353524229074896</v>
      </c>
      <c r="AM564" s="46">
        <f t="shared" ca="1" si="130"/>
        <v>5580</v>
      </c>
      <c r="AN564" s="46" t="b">
        <f t="shared" si="131"/>
        <v>0</v>
      </c>
      <c r="AO564" s="50" t="b">
        <f t="shared" si="132"/>
        <v>0</v>
      </c>
    </row>
    <row r="565" spans="21:41" x14ac:dyDescent="0.2">
      <c r="U565" s="46">
        <f t="shared" si="123"/>
        <v>5582</v>
      </c>
      <c r="V565" s="46">
        <f t="shared" si="124"/>
        <v>5591</v>
      </c>
      <c r="W565" s="33" t="e">
        <f>IFERROR(AVERAGEIFS(data_brute!M:M,data_brute!J:J,"&lt;="&amp;V565,data_brute!J:J,"&gt;="&amp;U565),NA())</f>
        <v>#N/A</v>
      </c>
      <c r="X565" s="46" t="e">
        <f t="shared" si="125"/>
        <v>#N/A</v>
      </c>
      <c r="Y565" s="2" t="b">
        <f t="shared" si="126"/>
        <v>0</v>
      </c>
      <c r="Z565" s="2" t="b">
        <f t="shared" si="127"/>
        <v>0</v>
      </c>
      <c r="AE565" s="46">
        <f t="shared" si="120"/>
        <v>5582</v>
      </c>
      <c r="AF565" s="46">
        <f t="shared" si="121"/>
        <v>5591</v>
      </c>
      <c r="AG565" s="33" t="e">
        <f>IFERROR(AVERAGEIFS(data_brute!M:M,data_brute!J:J,"&gt;="&amp;AE565,data_brute!J:J,"&lt;="&amp;AF565),NA())</f>
        <v>#N/A</v>
      </c>
      <c r="AH565" s="46" t="e">
        <f t="shared" si="122"/>
        <v>#N/A</v>
      </c>
      <c r="AJ565" s="46">
        <f t="shared" si="128"/>
        <v>5582</v>
      </c>
      <c r="AK565" s="46">
        <f t="shared" si="129"/>
        <v>5591</v>
      </c>
      <c r="AL565" s="33">
        <f ca="1">IFERROR(AVERAGEIFS(data_brute!M:M,data_brute!J:J,"&lt;="&amp;AK565),NA())</f>
        <v>25.353524229074896</v>
      </c>
      <c r="AM565" s="46">
        <f t="shared" ca="1" si="130"/>
        <v>5590</v>
      </c>
      <c r="AN565" s="46" t="b">
        <f t="shared" si="131"/>
        <v>0</v>
      </c>
      <c r="AO565" s="50" t="b">
        <f t="shared" si="132"/>
        <v>0</v>
      </c>
    </row>
    <row r="566" spans="21:41" x14ac:dyDescent="0.2">
      <c r="U566" s="46">
        <f t="shared" si="123"/>
        <v>5592</v>
      </c>
      <c r="V566" s="46">
        <f t="shared" si="124"/>
        <v>5601</v>
      </c>
      <c r="W566" s="33" t="e">
        <f>IFERROR(AVERAGEIFS(data_brute!M:M,data_brute!J:J,"&lt;="&amp;V566,data_brute!J:J,"&gt;="&amp;U566),NA())</f>
        <v>#N/A</v>
      </c>
      <c r="X566" s="46" t="e">
        <f t="shared" si="125"/>
        <v>#N/A</v>
      </c>
      <c r="Y566" s="2" t="b">
        <f t="shared" si="126"/>
        <v>0</v>
      </c>
      <c r="Z566" s="2" t="b">
        <f t="shared" si="127"/>
        <v>0</v>
      </c>
      <c r="AE566" s="46">
        <f t="shared" si="120"/>
        <v>5592</v>
      </c>
      <c r="AF566" s="46">
        <f t="shared" si="121"/>
        <v>5601</v>
      </c>
      <c r="AG566" s="33" t="e">
        <f>IFERROR(AVERAGEIFS(data_brute!M:M,data_brute!J:J,"&gt;="&amp;AE566,data_brute!J:J,"&lt;="&amp;AF566),NA())</f>
        <v>#N/A</v>
      </c>
      <c r="AH566" s="46" t="e">
        <f t="shared" si="122"/>
        <v>#N/A</v>
      </c>
      <c r="AJ566" s="46">
        <f t="shared" si="128"/>
        <v>5592</v>
      </c>
      <c r="AK566" s="46">
        <f t="shared" si="129"/>
        <v>5601</v>
      </c>
      <c r="AL566" s="33">
        <f ca="1">IFERROR(AVERAGEIFS(data_brute!M:M,data_brute!J:J,"&lt;="&amp;AK566),NA())</f>
        <v>25.353524229074896</v>
      </c>
      <c r="AM566" s="46">
        <f t="shared" ca="1" si="130"/>
        <v>5600</v>
      </c>
      <c r="AN566" s="46" t="b">
        <f t="shared" si="131"/>
        <v>0</v>
      </c>
      <c r="AO566" s="50" t="b">
        <f t="shared" si="132"/>
        <v>0</v>
      </c>
    </row>
    <row r="567" spans="21:41" x14ac:dyDescent="0.2">
      <c r="U567" s="46">
        <f t="shared" si="123"/>
        <v>5602</v>
      </c>
      <c r="V567" s="46">
        <f t="shared" si="124"/>
        <v>5611</v>
      </c>
      <c r="W567" s="33" t="e">
        <f>IFERROR(AVERAGEIFS(data_brute!M:M,data_brute!J:J,"&lt;="&amp;V567,data_brute!J:J,"&gt;="&amp;U567),NA())</f>
        <v>#N/A</v>
      </c>
      <c r="X567" s="46" t="e">
        <f t="shared" si="125"/>
        <v>#N/A</v>
      </c>
      <c r="Y567" s="2" t="b">
        <f t="shared" si="126"/>
        <v>0</v>
      </c>
      <c r="Z567" s="2" t="b">
        <f t="shared" si="127"/>
        <v>0</v>
      </c>
      <c r="AE567" s="46">
        <f t="shared" si="120"/>
        <v>5602</v>
      </c>
      <c r="AF567" s="46">
        <f t="shared" si="121"/>
        <v>5611</v>
      </c>
      <c r="AG567" s="33" t="e">
        <f>IFERROR(AVERAGEIFS(data_brute!M:M,data_brute!J:J,"&gt;="&amp;AE567,data_brute!J:J,"&lt;="&amp;AF567),NA())</f>
        <v>#N/A</v>
      </c>
      <c r="AH567" s="46" t="e">
        <f t="shared" si="122"/>
        <v>#N/A</v>
      </c>
      <c r="AJ567" s="46">
        <f t="shared" si="128"/>
        <v>5602</v>
      </c>
      <c r="AK567" s="46">
        <f t="shared" si="129"/>
        <v>5611</v>
      </c>
      <c r="AL567" s="33">
        <f ca="1">IFERROR(AVERAGEIFS(data_brute!M:M,data_brute!J:J,"&lt;="&amp;AK567),NA())</f>
        <v>25.353524229074896</v>
      </c>
      <c r="AM567" s="46">
        <f t="shared" ca="1" si="130"/>
        <v>5610</v>
      </c>
      <c r="AN567" s="46" t="b">
        <f t="shared" si="131"/>
        <v>0</v>
      </c>
      <c r="AO567" s="50" t="b">
        <f t="shared" si="132"/>
        <v>0</v>
      </c>
    </row>
    <row r="568" spans="21:41" x14ac:dyDescent="0.2">
      <c r="U568" s="46">
        <f t="shared" si="123"/>
        <v>5612</v>
      </c>
      <c r="V568" s="46">
        <f t="shared" si="124"/>
        <v>5621</v>
      </c>
      <c r="W568" s="33" t="e">
        <f>IFERROR(AVERAGEIFS(data_brute!M:M,data_brute!J:J,"&lt;="&amp;V568,data_brute!J:J,"&gt;="&amp;U568),NA())</f>
        <v>#N/A</v>
      </c>
      <c r="X568" s="46" t="e">
        <f t="shared" si="125"/>
        <v>#N/A</v>
      </c>
      <c r="Y568" s="2" t="b">
        <f t="shared" si="126"/>
        <v>0</v>
      </c>
      <c r="Z568" s="2" t="b">
        <f t="shared" si="127"/>
        <v>0</v>
      </c>
      <c r="AE568" s="46">
        <f t="shared" si="120"/>
        <v>5612</v>
      </c>
      <c r="AF568" s="46">
        <f t="shared" si="121"/>
        <v>5621</v>
      </c>
      <c r="AG568" s="33" t="e">
        <f>IFERROR(AVERAGEIFS(data_brute!M:M,data_brute!J:J,"&gt;="&amp;AE568,data_brute!J:J,"&lt;="&amp;AF568),NA())</f>
        <v>#N/A</v>
      </c>
      <c r="AH568" s="46" t="e">
        <f t="shared" si="122"/>
        <v>#N/A</v>
      </c>
      <c r="AJ568" s="46">
        <f t="shared" si="128"/>
        <v>5612</v>
      </c>
      <c r="AK568" s="46">
        <f t="shared" si="129"/>
        <v>5621</v>
      </c>
      <c r="AL568" s="33">
        <f ca="1">IFERROR(AVERAGEIFS(data_brute!M:M,data_brute!J:J,"&lt;="&amp;AK568),NA())</f>
        <v>25.353524229074896</v>
      </c>
      <c r="AM568" s="46">
        <f t="shared" ca="1" si="130"/>
        <v>5620</v>
      </c>
      <c r="AN568" s="46" t="b">
        <f t="shared" si="131"/>
        <v>0</v>
      </c>
      <c r="AO568" s="50" t="b">
        <f t="shared" si="132"/>
        <v>0</v>
      </c>
    </row>
    <row r="569" spans="21:41" x14ac:dyDescent="0.2">
      <c r="U569" s="46">
        <f t="shared" si="123"/>
        <v>5622</v>
      </c>
      <c r="V569" s="46">
        <f t="shared" si="124"/>
        <v>5631</v>
      </c>
      <c r="W569" s="33" t="e">
        <f>IFERROR(AVERAGEIFS(data_brute!M:M,data_brute!J:J,"&lt;="&amp;V569,data_brute!J:J,"&gt;="&amp;U569),NA())</f>
        <v>#N/A</v>
      </c>
      <c r="X569" s="46" t="e">
        <f t="shared" si="125"/>
        <v>#N/A</v>
      </c>
      <c r="Y569" s="2" t="b">
        <f t="shared" si="126"/>
        <v>0</v>
      </c>
      <c r="Z569" s="2" t="b">
        <f t="shared" si="127"/>
        <v>0</v>
      </c>
      <c r="AE569" s="46">
        <f t="shared" si="120"/>
        <v>5622</v>
      </c>
      <c r="AF569" s="46">
        <f t="shared" si="121"/>
        <v>5631</v>
      </c>
      <c r="AG569" s="33" t="e">
        <f>IFERROR(AVERAGEIFS(data_brute!M:M,data_brute!J:J,"&gt;="&amp;AE569,data_brute!J:J,"&lt;="&amp;AF569),NA())</f>
        <v>#N/A</v>
      </c>
      <c r="AH569" s="46" t="e">
        <f t="shared" si="122"/>
        <v>#N/A</v>
      </c>
      <c r="AJ569" s="46">
        <f t="shared" si="128"/>
        <v>5622</v>
      </c>
      <c r="AK569" s="46">
        <f t="shared" si="129"/>
        <v>5631</v>
      </c>
      <c r="AL569" s="33">
        <f ca="1">IFERROR(AVERAGEIFS(data_brute!M:M,data_brute!J:J,"&lt;="&amp;AK569),NA())</f>
        <v>25.353524229074896</v>
      </c>
      <c r="AM569" s="46">
        <f t="shared" ca="1" si="130"/>
        <v>5630</v>
      </c>
      <c r="AN569" s="46" t="b">
        <f t="shared" si="131"/>
        <v>0</v>
      </c>
      <c r="AO569" s="50" t="b">
        <f t="shared" si="132"/>
        <v>0</v>
      </c>
    </row>
    <row r="570" spans="21:41" x14ac:dyDescent="0.2">
      <c r="U570" s="46">
        <f t="shared" si="123"/>
        <v>5632</v>
      </c>
      <c r="V570" s="46">
        <f t="shared" si="124"/>
        <v>5641</v>
      </c>
      <c r="W570" s="33" t="e">
        <f>IFERROR(AVERAGEIFS(data_brute!M:M,data_brute!J:J,"&lt;="&amp;V570,data_brute!J:J,"&gt;="&amp;U570),NA())</f>
        <v>#N/A</v>
      </c>
      <c r="X570" s="46" t="e">
        <f t="shared" si="125"/>
        <v>#N/A</v>
      </c>
      <c r="Y570" s="2" t="b">
        <f t="shared" si="126"/>
        <v>0</v>
      </c>
      <c r="Z570" s="2" t="b">
        <f t="shared" si="127"/>
        <v>0</v>
      </c>
      <c r="AE570" s="46">
        <f t="shared" si="120"/>
        <v>5632</v>
      </c>
      <c r="AF570" s="46">
        <f t="shared" si="121"/>
        <v>5641</v>
      </c>
      <c r="AG570" s="33" t="e">
        <f>IFERROR(AVERAGEIFS(data_brute!M:M,data_brute!J:J,"&gt;="&amp;AE570,data_brute!J:J,"&lt;="&amp;AF570),NA())</f>
        <v>#N/A</v>
      </c>
      <c r="AH570" s="46" t="e">
        <f t="shared" si="122"/>
        <v>#N/A</v>
      </c>
      <c r="AJ570" s="46">
        <f t="shared" si="128"/>
        <v>5632</v>
      </c>
      <c r="AK570" s="46">
        <f t="shared" si="129"/>
        <v>5641</v>
      </c>
      <c r="AL570" s="33">
        <f ca="1">IFERROR(AVERAGEIFS(data_brute!M:M,data_brute!J:J,"&lt;="&amp;AK570),NA())</f>
        <v>25.353524229074896</v>
      </c>
      <c r="AM570" s="46">
        <f t="shared" ca="1" si="130"/>
        <v>5640</v>
      </c>
      <c r="AN570" s="46" t="b">
        <f t="shared" si="131"/>
        <v>0</v>
      </c>
      <c r="AO570" s="50" t="b">
        <f t="shared" si="132"/>
        <v>0</v>
      </c>
    </row>
    <row r="571" spans="21:41" x14ac:dyDescent="0.2">
      <c r="U571" s="46">
        <f t="shared" si="123"/>
        <v>5642</v>
      </c>
      <c r="V571" s="46">
        <f t="shared" si="124"/>
        <v>5651</v>
      </c>
      <c r="W571" s="33" t="e">
        <f>IFERROR(AVERAGEIFS(data_brute!M:M,data_brute!J:J,"&lt;="&amp;V571,data_brute!J:J,"&gt;="&amp;U571),NA())</f>
        <v>#N/A</v>
      </c>
      <c r="X571" s="46" t="e">
        <f t="shared" si="125"/>
        <v>#N/A</v>
      </c>
      <c r="Y571" s="2" t="b">
        <f t="shared" si="126"/>
        <v>0</v>
      </c>
      <c r="Z571" s="2" t="b">
        <f t="shared" si="127"/>
        <v>0</v>
      </c>
      <c r="AE571" s="46">
        <f t="shared" si="120"/>
        <v>5642</v>
      </c>
      <c r="AF571" s="46">
        <f t="shared" si="121"/>
        <v>5651</v>
      </c>
      <c r="AG571" s="33" t="e">
        <f>IFERROR(AVERAGEIFS(data_brute!M:M,data_brute!J:J,"&gt;="&amp;AE571,data_brute!J:J,"&lt;="&amp;AF571),NA())</f>
        <v>#N/A</v>
      </c>
      <c r="AH571" s="46" t="e">
        <f t="shared" si="122"/>
        <v>#N/A</v>
      </c>
      <c r="AJ571" s="46">
        <f t="shared" si="128"/>
        <v>5642</v>
      </c>
      <c r="AK571" s="46">
        <f t="shared" si="129"/>
        <v>5651</v>
      </c>
      <c r="AL571" s="33">
        <f ca="1">IFERROR(AVERAGEIFS(data_brute!M:M,data_brute!J:J,"&lt;="&amp;AK571),NA())</f>
        <v>25.353524229074896</v>
      </c>
      <c r="AM571" s="46">
        <f t="shared" ca="1" si="130"/>
        <v>5650</v>
      </c>
      <c r="AN571" s="46" t="b">
        <f t="shared" si="131"/>
        <v>0</v>
      </c>
      <c r="AO571" s="50" t="b">
        <f t="shared" si="132"/>
        <v>0</v>
      </c>
    </row>
    <row r="572" spans="21:41" x14ac:dyDescent="0.2">
      <c r="U572" s="46">
        <f t="shared" si="123"/>
        <v>5652</v>
      </c>
      <c r="V572" s="46">
        <f t="shared" si="124"/>
        <v>5661</v>
      </c>
      <c r="W572" s="33" t="e">
        <f>IFERROR(AVERAGEIFS(data_brute!M:M,data_brute!J:J,"&lt;="&amp;V572,data_brute!J:J,"&gt;="&amp;U572),NA())</f>
        <v>#N/A</v>
      </c>
      <c r="X572" s="46" t="e">
        <f t="shared" si="125"/>
        <v>#N/A</v>
      </c>
      <c r="Y572" s="2" t="b">
        <f t="shared" si="126"/>
        <v>0</v>
      </c>
      <c r="Z572" s="2" t="b">
        <f t="shared" si="127"/>
        <v>0</v>
      </c>
      <c r="AE572" s="46">
        <f t="shared" si="120"/>
        <v>5652</v>
      </c>
      <c r="AF572" s="46">
        <f t="shared" si="121"/>
        <v>5661</v>
      </c>
      <c r="AG572" s="33" t="e">
        <f>IFERROR(AVERAGEIFS(data_brute!M:M,data_brute!J:J,"&gt;="&amp;AE572,data_brute!J:J,"&lt;="&amp;AF572),NA())</f>
        <v>#N/A</v>
      </c>
      <c r="AH572" s="46" t="e">
        <f t="shared" si="122"/>
        <v>#N/A</v>
      </c>
      <c r="AJ572" s="46">
        <f t="shared" si="128"/>
        <v>5652</v>
      </c>
      <c r="AK572" s="46">
        <f t="shared" si="129"/>
        <v>5661</v>
      </c>
      <c r="AL572" s="33">
        <f ca="1">IFERROR(AVERAGEIFS(data_brute!M:M,data_brute!J:J,"&lt;="&amp;AK572),NA())</f>
        <v>25.353524229074896</v>
      </c>
      <c r="AM572" s="46">
        <f t="shared" ca="1" si="130"/>
        <v>5660</v>
      </c>
      <c r="AN572" s="46" t="b">
        <f t="shared" si="131"/>
        <v>0</v>
      </c>
      <c r="AO572" s="50" t="b">
        <f t="shared" si="132"/>
        <v>0</v>
      </c>
    </row>
    <row r="573" spans="21:41" x14ac:dyDescent="0.2">
      <c r="U573" s="46">
        <f t="shared" si="123"/>
        <v>5662</v>
      </c>
      <c r="V573" s="46">
        <f t="shared" si="124"/>
        <v>5671</v>
      </c>
      <c r="W573" s="33" t="e">
        <f>IFERROR(AVERAGEIFS(data_brute!M:M,data_brute!J:J,"&lt;="&amp;V573,data_brute!J:J,"&gt;="&amp;U573),NA())</f>
        <v>#N/A</v>
      </c>
      <c r="X573" s="46" t="e">
        <f t="shared" si="125"/>
        <v>#N/A</v>
      </c>
      <c r="Y573" s="2" t="b">
        <f t="shared" si="126"/>
        <v>0</v>
      </c>
      <c r="Z573" s="2" t="b">
        <f t="shared" si="127"/>
        <v>0</v>
      </c>
      <c r="AE573" s="46">
        <f t="shared" si="120"/>
        <v>5662</v>
      </c>
      <c r="AF573" s="46">
        <f t="shared" si="121"/>
        <v>5671</v>
      </c>
      <c r="AG573" s="33" t="e">
        <f>IFERROR(AVERAGEIFS(data_brute!M:M,data_brute!J:J,"&gt;="&amp;AE573,data_brute!J:J,"&lt;="&amp;AF573),NA())</f>
        <v>#N/A</v>
      </c>
      <c r="AH573" s="46" t="e">
        <f t="shared" si="122"/>
        <v>#N/A</v>
      </c>
      <c r="AJ573" s="46">
        <f t="shared" si="128"/>
        <v>5662</v>
      </c>
      <c r="AK573" s="46">
        <f t="shared" si="129"/>
        <v>5671</v>
      </c>
      <c r="AL573" s="33">
        <f ca="1">IFERROR(AVERAGEIFS(data_brute!M:M,data_brute!J:J,"&lt;="&amp;AK573),NA())</f>
        <v>25.353524229074896</v>
      </c>
      <c r="AM573" s="46">
        <f t="shared" ca="1" si="130"/>
        <v>5670</v>
      </c>
      <c r="AN573" s="46" t="b">
        <f t="shared" si="131"/>
        <v>0</v>
      </c>
      <c r="AO573" s="50" t="b">
        <f t="shared" si="132"/>
        <v>0</v>
      </c>
    </row>
    <row r="574" spans="21:41" x14ac:dyDescent="0.2">
      <c r="U574" s="46">
        <f t="shared" si="123"/>
        <v>5672</v>
      </c>
      <c r="V574" s="46">
        <f t="shared" si="124"/>
        <v>5681</v>
      </c>
      <c r="W574" s="33" t="e">
        <f>IFERROR(AVERAGEIFS(data_brute!M:M,data_brute!J:J,"&lt;="&amp;V574,data_brute!J:J,"&gt;="&amp;U574),NA())</f>
        <v>#N/A</v>
      </c>
      <c r="X574" s="46" t="e">
        <f t="shared" si="125"/>
        <v>#N/A</v>
      </c>
      <c r="Y574" s="2" t="b">
        <f t="shared" si="126"/>
        <v>0</v>
      </c>
      <c r="Z574" s="2" t="b">
        <f t="shared" si="127"/>
        <v>0</v>
      </c>
      <c r="AE574" s="46">
        <f t="shared" si="120"/>
        <v>5672</v>
      </c>
      <c r="AF574" s="46">
        <f t="shared" si="121"/>
        <v>5681</v>
      </c>
      <c r="AG574" s="33" t="e">
        <f>IFERROR(AVERAGEIFS(data_brute!M:M,data_brute!J:J,"&gt;="&amp;AE574,data_brute!J:J,"&lt;="&amp;AF574),NA())</f>
        <v>#N/A</v>
      </c>
      <c r="AH574" s="46" t="e">
        <f t="shared" si="122"/>
        <v>#N/A</v>
      </c>
      <c r="AJ574" s="46">
        <f t="shared" si="128"/>
        <v>5672</v>
      </c>
      <c r="AK574" s="46">
        <f t="shared" si="129"/>
        <v>5681</v>
      </c>
      <c r="AL574" s="33">
        <f ca="1">IFERROR(AVERAGEIFS(data_brute!M:M,data_brute!J:J,"&lt;="&amp;AK574),NA())</f>
        <v>25.353524229074896</v>
      </c>
      <c r="AM574" s="46">
        <f t="shared" ca="1" si="130"/>
        <v>5680</v>
      </c>
      <c r="AN574" s="46" t="b">
        <f t="shared" si="131"/>
        <v>0</v>
      </c>
      <c r="AO574" s="50" t="b">
        <f t="shared" si="132"/>
        <v>0</v>
      </c>
    </row>
    <row r="575" spans="21:41" x14ac:dyDescent="0.2">
      <c r="U575" s="46">
        <f t="shared" si="123"/>
        <v>5682</v>
      </c>
      <c r="V575" s="46">
        <f t="shared" si="124"/>
        <v>5691</v>
      </c>
      <c r="W575" s="33" t="e">
        <f>IFERROR(AVERAGEIFS(data_brute!M:M,data_brute!J:J,"&lt;="&amp;V575,data_brute!J:J,"&gt;="&amp;U575),NA())</f>
        <v>#N/A</v>
      </c>
      <c r="X575" s="46" t="e">
        <f t="shared" si="125"/>
        <v>#N/A</v>
      </c>
      <c r="Y575" s="2" t="b">
        <f t="shared" si="126"/>
        <v>0</v>
      </c>
      <c r="Z575" s="2" t="b">
        <f t="shared" si="127"/>
        <v>0</v>
      </c>
      <c r="AE575" s="46">
        <f t="shared" si="120"/>
        <v>5682</v>
      </c>
      <c r="AF575" s="46">
        <f t="shared" si="121"/>
        <v>5691</v>
      </c>
      <c r="AG575" s="33" t="e">
        <f>IFERROR(AVERAGEIFS(data_brute!M:M,data_brute!J:J,"&gt;="&amp;AE575,data_brute!J:J,"&lt;="&amp;AF575),NA())</f>
        <v>#N/A</v>
      </c>
      <c r="AH575" s="46" t="e">
        <f t="shared" si="122"/>
        <v>#N/A</v>
      </c>
      <c r="AJ575" s="46">
        <f t="shared" si="128"/>
        <v>5682</v>
      </c>
      <c r="AK575" s="46">
        <f t="shared" si="129"/>
        <v>5691</v>
      </c>
      <c r="AL575" s="33">
        <f ca="1">IFERROR(AVERAGEIFS(data_brute!M:M,data_brute!J:J,"&lt;="&amp;AK575),NA())</f>
        <v>25.353524229074896</v>
      </c>
      <c r="AM575" s="46">
        <f t="shared" ca="1" si="130"/>
        <v>5690</v>
      </c>
      <c r="AN575" s="46" t="b">
        <f t="shared" si="131"/>
        <v>0</v>
      </c>
      <c r="AO575" s="50" t="b">
        <f t="shared" si="132"/>
        <v>0</v>
      </c>
    </row>
    <row r="576" spans="21:41" x14ac:dyDescent="0.2">
      <c r="U576" s="46">
        <f t="shared" si="123"/>
        <v>5692</v>
      </c>
      <c r="V576" s="46">
        <f t="shared" si="124"/>
        <v>5701</v>
      </c>
      <c r="W576" s="33" t="e">
        <f>IFERROR(AVERAGEIFS(data_brute!M:M,data_brute!J:J,"&lt;="&amp;V576,data_brute!J:J,"&gt;="&amp;U576),NA())</f>
        <v>#N/A</v>
      </c>
      <c r="X576" s="46" t="e">
        <f t="shared" si="125"/>
        <v>#N/A</v>
      </c>
      <c r="Y576" s="2" t="b">
        <f t="shared" si="126"/>
        <v>0</v>
      </c>
      <c r="Z576" s="2" t="b">
        <f t="shared" si="127"/>
        <v>0</v>
      </c>
      <c r="AE576" s="46">
        <f t="shared" si="120"/>
        <v>5692</v>
      </c>
      <c r="AF576" s="46">
        <f t="shared" si="121"/>
        <v>5701</v>
      </c>
      <c r="AG576" s="33" t="e">
        <f>IFERROR(AVERAGEIFS(data_brute!M:M,data_brute!J:J,"&gt;="&amp;AE576,data_brute!J:J,"&lt;="&amp;AF576),NA())</f>
        <v>#N/A</v>
      </c>
      <c r="AH576" s="46" t="e">
        <f t="shared" si="122"/>
        <v>#N/A</v>
      </c>
      <c r="AJ576" s="46">
        <f t="shared" si="128"/>
        <v>5692</v>
      </c>
      <c r="AK576" s="46">
        <f t="shared" si="129"/>
        <v>5701</v>
      </c>
      <c r="AL576" s="33">
        <f ca="1">IFERROR(AVERAGEIFS(data_brute!M:M,data_brute!J:J,"&lt;="&amp;AK576),NA())</f>
        <v>25.353524229074896</v>
      </c>
      <c r="AM576" s="46">
        <f t="shared" ca="1" si="130"/>
        <v>5700</v>
      </c>
      <c r="AN576" s="46" t="b">
        <f t="shared" si="131"/>
        <v>0</v>
      </c>
      <c r="AO576" s="50" t="b">
        <f t="shared" si="132"/>
        <v>0</v>
      </c>
    </row>
    <row r="577" spans="21:41" x14ac:dyDescent="0.2">
      <c r="U577" s="46">
        <f t="shared" si="123"/>
        <v>5702</v>
      </c>
      <c r="V577" s="46">
        <f t="shared" si="124"/>
        <v>5711</v>
      </c>
      <c r="W577" s="33" t="e">
        <f>IFERROR(AVERAGEIFS(data_brute!M:M,data_brute!J:J,"&lt;="&amp;V577,data_brute!J:J,"&gt;="&amp;U577),NA())</f>
        <v>#N/A</v>
      </c>
      <c r="X577" s="46" t="e">
        <f t="shared" si="125"/>
        <v>#N/A</v>
      </c>
      <c r="Y577" s="2" t="b">
        <f t="shared" si="126"/>
        <v>0</v>
      </c>
      <c r="Z577" s="2" t="b">
        <f t="shared" si="127"/>
        <v>0</v>
      </c>
      <c r="AE577" s="46">
        <f t="shared" si="120"/>
        <v>5702</v>
      </c>
      <c r="AF577" s="46">
        <f t="shared" si="121"/>
        <v>5711</v>
      </c>
      <c r="AG577" s="33" t="e">
        <f>IFERROR(AVERAGEIFS(data_brute!M:M,data_brute!J:J,"&gt;="&amp;AE577,data_brute!J:J,"&lt;="&amp;AF577),NA())</f>
        <v>#N/A</v>
      </c>
      <c r="AH577" s="46" t="e">
        <f t="shared" si="122"/>
        <v>#N/A</v>
      </c>
      <c r="AJ577" s="46">
        <f t="shared" si="128"/>
        <v>5702</v>
      </c>
      <c r="AK577" s="46">
        <f t="shared" si="129"/>
        <v>5711</v>
      </c>
      <c r="AL577" s="33">
        <f ca="1">IFERROR(AVERAGEIFS(data_brute!M:M,data_brute!J:J,"&lt;="&amp;AK577),NA())</f>
        <v>25.353524229074896</v>
      </c>
      <c r="AM577" s="46">
        <f t="shared" ca="1" si="130"/>
        <v>5710</v>
      </c>
      <c r="AN577" s="46" t="b">
        <f t="shared" si="131"/>
        <v>0</v>
      </c>
      <c r="AO577" s="50" t="b">
        <f t="shared" si="132"/>
        <v>0</v>
      </c>
    </row>
    <row r="578" spans="21:41" x14ac:dyDescent="0.2">
      <c r="U578" s="46">
        <f t="shared" si="123"/>
        <v>5712</v>
      </c>
      <c r="V578" s="46">
        <f t="shared" si="124"/>
        <v>5721</v>
      </c>
      <c r="W578" s="33" t="e">
        <f>IFERROR(AVERAGEIFS(data_brute!M:M,data_brute!J:J,"&lt;="&amp;V578,data_brute!J:J,"&gt;="&amp;U578),NA())</f>
        <v>#N/A</v>
      </c>
      <c r="X578" s="46" t="e">
        <f t="shared" si="125"/>
        <v>#N/A</v>
      </c>
      <c r="Y578" s="2" t="b">
        <f t="shared" si="126"/>
        <v>0</v>
      </c>
      <c r="Z578" s="2" t="b">
        <f t="shared" si="127"/>
        <v>0</v>
      </c>
      <c r="AE578" s="46">
        <f t="shared" si="120"/>
        <v>5712</v>
      </c>
      <c r="AF578" s="46">
        <f t="shared" si="121"/>
        <v>5721</v>
      </c>
      <c r="AG578" s="33" t="e">
        <f>IFERROR(AVERAGEIFS(data_brute!M:M,data_brute!J:J,"&gt;="&amp;AE578,data_brute!J:J,"&lt;="&amp;AF578),NA())</f>
        <v>#N/A</v>
      </c>
      <c r="AH578" s="46" t="e">
        <f t="shared" si="122"/>
        <v>#N/A</v>
      </c>
      <c r="AJ578" s="46">
        <f t="shared" si="128"/>
        <v>5712</v>
      </c>
      <c r="AK578" s="46">
        <f t="shared" si="129"/>
        <v>5721</v>
      </c>
      <c r="AL578" s="33">
        <f ca="1">IFERROR(AVERAGEIFS(data_brute!M:M,data_brute!J:J,"&lt;="&amp;AK578),NA())</f>
        <v>25.353524229074896</v>
      </c>
      <c r="AM578" s="46">
        <f t="shared" ca="1" si="130"/>
        <v>5720</v>
      </c>
      <c r="AN578" s="46" t="b">
        <f t="shared" si="131"/>
        <v>0</v>
      </c>
      <c r="AO578" s="50" t="b">
        <f t="shared" si="132"/>
        <v>0</v>
      </c>
    </row>
    <row r="579" spans="21:41" x14ac:dyDescent="0.2">
      <c r="U579" s="46">
        <f t="shared" si="123"/>
        <v>5722</v>
      </c>
      <c r="V579" s="46">
        <f t="shared" si="124"/>
        <v>5731</v>
      </c>
      <c r="W579" s="33" t="e">
        <f>IFERROR(AVERAGEIFS(data_brute!M:M,data_brute!J:J,"&lt;="&amp;V579,data_brute!J:J,"&gt;="&amp;U579),NA())</f>
        <v>#N/A</v>
      </c>
      <c r="X579" s="46" t="e">
        <f t="shared" si="125"/>
        <v>#N/A</v>
      </c>
      <c r="Y579" s="2" t="b">
        <f t="shared" si="126"/>
        <v>0</v>
      </c>
      <c r="Z579" s="2" t="b">
        <f t="shared" si="127"/>
        <v>0</v>
      </c>
      <c r="AE579" s="46">
        <f t="shared" si="120"/>
        <v>5722</v>
      </c>
      <c r="AF579" s="46">
        <f t="shared" si="121"/>
        <v>5731</v>
      </c>
      <c r="AG579" s="33" t="e">
        <f>IFERROR(AVERAGEIFS(data_brute!M:M,data_brute!J:J,"&gt;="&amp;AE579,data_brute!J:J,"&lt;="&amp;AF579),NA())</f>
        <v>#N/A</v>
      </c>
      <c r="AH579" s="46" t="e">
        <f t="shared" si="122"/>
        <v>#N/A</v>
      </c>
      <c r="AJ579" s="46">
        <f t="shared" si="128"/>
        <v>5722</v>
      </c>
      <c r="AK579" s="46">
        <f t="shared" si="129"/>
        <v>5731</v>
      </c>
      <c r="AL579" s="33">
        <f ca="1">IFERROR(AVERAGEIFS(data_brute!M:M,data_brute!J:J,"&lt;="&amp;AK579),NA())</f>
        <v>25.353524229074896</v>
      </c>
      <c r="AM579" s="46">
        <f t="shared" ca="1" si="130"/>
        <v>5730</v>
      </c>
      <c r="AN579" s="46" t="b">
        <f t="shared" si="131"/>
        <v>0</v>
      </c>
      <c r="AO579" s="50" t="b">
        <f t="shared" si="132"/>
        <v>0</v>
      </c>
    </row>
    <row r="580" spans="21:41" x14ac:dyDescent="0.2">
      <c r="U580" s="46">
        <f t="shared" si="123"/>
        <v>5732</v>
      </c>
      <c r="V580" s="46">
        <f t="shared" si="124"/>
        <v>5741</v>
      </c>
      <c r="W580" s="33" t="e">
        <f>IFERROR(AVERAGEIFS(data_brute!M:M,data_brute!J:J,"&lt;="&amp;V580,data_brute!J:J,"&gt;="&amp;U580),NA())</f>
        <v>#N/A</v>
      </c>
      <c r="X580" s="46" t="e">
        <f t="shared" si="125"/>
        <v>#N/A</v>
      </c>
      <c r="Y580" s="2" t="b">
        <f t="shared" si="126"/>
        <v>0</v>
      </c>
      <c r="Z580" s="2" t="b">
        <f t="shared" si="127"/>
        <v>0</v>
      </c>
      <c r="AE580" s="46">
        <f t="shared" si="120"/>
        <v>5732</v>
      </c>
      <c r="AF580" s="46">
        <f t="shared" si="121"/>
        <v>5741</v>
      </c>
      <c r="AG580" s="33" t="e">
        <f>IFERROR(AVERAGEIFS(data_brute!M:M,data_brute!J:J,"&gt;="&amp;AE580,data_brute!J:J,"&lt;="&amp;AF580),NA())</f>
        <v>#N/A</v>
      </c>
      <c r="AH580" s="46" t="e">
        <f t="shared" si="122"/>
        <v>#N/A</v>
      </c>
      <c r="AJ580" s="46">
        <f t="shared" si="128"/>
        <v>5732</v>
      </c>
      <c r="AK580" s="46">
        <f t="shared" si="129"/>
        <v>5741</v>
      </c>
      <c r="AL580" s="33">
        <f ca="1">IFERROR(AVERAGEIFS(data_brute!M:M,data_brute!J:J,"&lt;="&amp;AK580),NA())</f>
        <v>25.353524229074896</v>
      </c>
      <c r="AM580" s="46">
        <f t="shared" ca="1" si="130"/>
        <v>5740</v>
      </c>
      <c r="AN580" s="46" t="b">
        <f t="shared" si="131"/>
        <v>0</v>
      </c>
      <c r="AO580" s="50" t="b">
        <f t="shared" si="132"/>
        <v>0</v>
      </c>
    </row>
    <row r="581" spans="21:41" x14ac:dyDescent="0.2">
      <c r="U581" s="46">
        <f t="shared" si="123"/>
        <v>5742</v>
      </c>
      <c r="V581" s="46">
        <f t="shared" si="124"/>
        <v>5751</v>
      </c>
      <c r="W581" s="33" t="e">
        <f>IFERROR(AVERAGEIFS(data_brute!M:M,data_brute!J:J,"&lt;="&amp;V581,data_brute!J:J,"&gt;="&amp;U581),NA())</f>
        <v>#N/A</v>
      </c>
      <c r="X581" s="46" t="e">
        <f t="shared" si="125"/>
        <v>#N/A</v>
      </c>
      <c r="Y581" s="2" t="b">
        <f t="shared" si="126"/>
        <v>0</v>
      </c>
      <c r="Z581" s="2" t="b">
        <f t="shared" si="127"/>
        <v>0</v>
      </c>
      <c r="AE581" s="46">
        <f t="shared" si="120"/>
        <v>5742</v>
      </c>
      <c r="AF581" s="46">
        <f t="shared" si="121"/>
        <v>5751</v>
      </c>
      <c r="AG581" s="33" t="e">
        <f>IFERROR(AVERAGEIFS(data_brute!M:M,data_brute!J:J,"&gt;="&amp;AE581,data_brute!J:J,"&lt;="&amp;AF581),NA())</f>
        <v>#N/A</v>
      </c>
      <c r="AH581" s="46" t="e">
        <f t="shared" si="122"/>
        <v>#N/A</v>
      </c>
      <c r="AJ581" s="46">
        <f t="shared" si="128"/>
        <v>5742</v>
      </c>
      <c r="AK581" s="46">
        <f t="shared" si="129"/>
        <v>5751</v>
      </c>
      <c r="AL581" s="33">
        <f ca="1">IFERROR(AVERAGEIFS(data_brute!M:M,data_brute!J:J,"&lt;="&amp;AK581),NA())</f>
        <v>25.353524229074896</v>
      </c>
      <c r="AM581" s="46">
        <f t="shared" ca="1" si="130"/>
        <v>5750</v>
      </c>
      <c r="AN581" s="46" t="b">
        <f t="shared" si="131"/>
        <v>0</v>
      </c>
      <c r="AO581" s="50" t="b">
        <f t="shared" si="132"/>
        <v>0</v>
      </c>
    </row>
    <row r="582" spans="21:41" x14ac:dyDescent="0.2">
      <c r="U582" s="46">
        <f t="shared" si="123"/>
        <v>5752</v>
      </c>
      <c r="V582" s="46">
        <f t="shared" si="124"/>
        <v>5761</v>
      </c>
      <c r="W582" s="33" t="e">
        <f>IFERROR(AVERAGEIFS(data_brute!M:M,data_brute!J:J,"&lt;="&amp;V582,data_brute!J:J,"&gt;="&amp;U582),NA())</f>
        <v>#N/A</v>
      </c>
      <c r="X582" s="46" t="e">
        <f t="shared" si="125"/>
        <v>#N/A</v>
      </c>
      <c r="Y582" s="2" t="b">
        <f t="shared" si="126"/>
        <v>0</v>
      </c>
      <c r="Z582" s="2" t="b">
        <f t="shared" si="127"/>
        <v>0</v>
      </c>
      <c r="AE582" s="46">
        <f t="shared" si="120"/>
        <v>5752</v>
      </c>
      <c r="AF582" s="46">
        <f t="shared" si="121"/>
        <v>5761</v>
      </c>
      <c r="AG582" s="33" t="e">
        <f>IFERROR(AVERAGEIFS(data_brute!M:M,data_brute!J:J,"&gt;="&amp;AE582,data_brute!J:J,"&lt;="&amp;AF582),NA())</f>
        <v>#N/A</v>
      </c>
      <c r="AH582" s="46" t="e">
        <f t="shared" si="122"/>
        <v>#N/A</v>
      </c>
      <c r="AJ582" s="46">
        <f t="shared" si="128"/>
        <v>5752</v>
      </c>
      <c r="AK582" s="46">
        <f t="shared" si="129"/>
        <v>5761</v>
      </c>
      <c r="AL582" s="33">
        <f ca="1">IFERROR(AVERAGEIFS(data_brute!M:M,data_brute!J:J,"&lt;="&amp;AK582),NA())</f>
        <v>25.353524229074896</v>
      </c>
      <c r="AM582" s="46">
        <f t="shared" ca="1" si="130"/>
        <v>5760</v>
      </c>
      <c r="AN582" s="46" t="b">
        <f t="shared" si="131"/>
        <v>0</v>
      </c>
      <c r="AO582" s="50" t="b">
        <f t="shared" si="132"/>
        <v>0</v>
      </c>
    </row>
    <row r="583" spans="21:41" x14ac:dyDescent="0.2">
      <c r="U583" s="46">
        <f t="shared" si="123"/>
        <v>5762</v>
      </c>
      <c r="V583" s="46">
        <f t="shared" si="124"/>
        <v>5771</v>
      </c>
      <c r="W583" s="33" t="e">
        <f>IFERROR(AVERAGEIFS(data_brute!M:M,data_brute!J:J,"&lt;="&amp;V583,data_brute!J:J,"&gt;="&amp;U583),NA())</f>
        <v>#N/A</v>
      </c>
      <c r="X583" s="46" t="e">
        <f t="shared" si="125"/>
        <v>#N/A</v>
      </c>
      <c r="Y583" s="2" t="b">
        <f t="shared" si="126"/>
        <v>0</v>
      </c>
      <c r="Z583" s="2" t="b">
        <f t="shared" si="127"/>
        <v>0</v>
      </c>
      <c r="AE583" s="46">
        <f t="shared" si="120"/>
        <v>5762</v>
      </c>
      <c r="AF583" s="46">
        <f t="shared" si="121"/>
        <v>5771</v>
      </c>
      <c r="AG583" s="33" t="e">
        <f>IFERROR(AVERAGEIFS(data_brute!M:M,data_brute!J:J,"&gt;="&amp;AE583,data_brute!J:J,"&lt;="&amp;AF583),NA())</f>
        <v>#N/A</v>
      </c>
      <c r="AH583" s="46" t="e">
        <f t="shared" si="122"/>
        <v>#N/A</v>
      </c>
      <c r="AJ583" s="46">
        <f t="shared" si="128"/>
        <v>5762</v>
      </c>
      <c r="AK583" s="46">
        <f t="shared" si="129"/>
        <v>5771</v>
      </c>
      <c r="AL583" s="33">
        <f ca="1">IFERROR(AVERAGEIFS(data_brute!M:M,data_brute!J:J,"&lt;="&amp;AK583),NA())</f>
        <v>25.353524229074896</v>
      </c>
      <c r="AM583" s="46">
        <f t="shared" ca="1" si="130"/>
        <v>5770</v>
      </c>
      <c r="AN583" s="46" t="b">
        <f t="shared" si="131"/>
        <v>0</v>
      </c>
      <c r="AO583" s="50" t="b">
        <f t="shared" si="132"/>
        <v>0</v>
      </c>
    </row>
    <row r="584" spans="21:41" x14ac:dyDescent="0.2">
      <c r="U584" s="46">
        <f t="shared" si="123"/>
        <v>5772</v>
      </c>
      <c r="V584" s="46">
        <f t="shared" si="124"/>
        <v>5781</v>
      </c>
      <c r="W584" s="33" t="e">
        <f>IFERROR(AVERAGEIFS(data_brute!M:M,data_brute!J:J,"&lt;="&amp;V584,data_brute!J:J,"&gt;="&amp;U584),NA())</f>
        <v>#N/A</v>
      </c>
      <c r="X584" s="46" t="e">
        <f t="shared" si="125"/>
        <v>#N/A</v>
      </c>
      <c r="Y584" s="2" t="b">
        <f t="shared" si="126"/>
        <v>0</v>
      </c>
      <c r="Z584" s="2" t="b">
        <f t="shared" si="127"/>
        <v>0</v>
      </c>
      <c r="AE584" s="46">
        <f t="shared" si="120"/>
        <v>5772</v>
      </c>
      <c r="AF584" s="46">
        <f t="shared" si="121"/>
        <v>5781</v>
      </c>
      <c r="AG584" s="33" t="e">
        <f>IFERROR(AVERAGEIFS(data_brute!M:M,data_brute!J:J,"&gt;="&amp;AE584,data_brute!J:J,"&lt;="&amp;AF584),NA())</f>
        <v>#N/A</v>
      </c>
      <c r="AH584" s="46" t="e">
        <f t="shared" si="122"/>
        <v>#N/A</v>
      </c>
      <c r="AJ584" s="46">
        <f t="shared" si="128"/>
        <v>5772</v>
      </c>
      <c r="AK584" s="46">
        <f t="shared" si="129"/>
        <v>5781</v>
      </c>
      <c r="AL584" s="33">
        <f ca="1">IFERROR(AVERAGEIFS(data_brute!M:M,data_brute!J:J,"&lt;="&amp;AK584),NA())</f>
        <v>25.353524229074896</v>
      </c>
      <c r="AM584" s="46">
        <f t="shared" ca="1" si="130"/>
        <v>5780</v>
      </c>
      <c r="AN584" s="46" t="b">
        <f t="shared" si="131"/>
        <v>0</v>
      </c>
      <c r="AO584" s="50" t="b">
        <f t="shared" si="132"/>
        <v>0</v>
      </c>
    </row>
    <row r="585" spans="21:41" x14ac:dyDescent="0.2">
      <c r="U585" s="46">
        <f t="shared" si="123"/>
        <v>5782</v>
      </c>
      <c r="V585" s="46">
        <f t="shared" si="124"/>
        <v>5791</v>
      </c>
      <c r="W585" s="33" t="e">
        <f>IFERROR(AVERAGEIFS(data_brute!M:M,data_brute!J:J,"&lt;="&amp;V585,data_brute!J:J,"&gt;="&amp;U585),NA())</f>
        <v>#N/A</v>
      </c>
      <c r="X585" s="46" t="e">
        <f t="shared" si="125"/>
        <v>#N/A</v>
      </c>
      <c r="Y585" s="2" t="b">
        <f t="shared" si="126"/>
        <v>0</v>
      </c>
      <c r="Z585" s="2" t="b">
        <f t="shared" si="127"/>
        <v>0</v>
      </c>
      <c r="AE585" s="46">
        <f t="shared" si="120"/>
        <v>5782</v>
      </c>
      <c r="AF585" s="46">
        <f t="shared" si="121"/>
        <v>5791</v>
      </c>
      <c r="AG585" s="33" t="e">
        <f>IFERROR(AVERAGEIFS(data_brute!M:M,data_brute!J:J,"&gt;="&amp;AE585,data_brute!J:J,"&lt;="&amp;AF585),NA())</f>
        <v>#N/A</v>
      </c>
      <c r="AH585" s="46" t="e">
        <f t="shared" si="122"/>
        <v>#N/A</v>
      </c>
      <c r="AJ585" s="46">
        <f t="shared" si="128"/>
        <v>5782</v>
      </c>
      <c r="AK585" s="46">
        <f t="shared" si="129"/>
        <v>5791</v>
      </c>
      <c r="AL585" s="33">
        <f ca="1">IFERROR(AVERAGEIFS(data_brute!M:M,data_brute!J:J,"&lt;="&amp;AK585),NA())</f>
        <v>25.353524229074896</v>
      </c>
      <c r="AM585" s="46">
        <f t="shared" ca="1" si="130"/>
        <v>5790</v>
      </c>
      <c r="AN585" s="46" t="b">
        <f t="shared" si="131"/>
        <v>0</v>
      </c>
      <c r="AO585" s="50" t="b">
        <f t="shared" si="132"/>
        <v>0</v>
      </c>
    </row>
    <row r="586" spans="21:41" x14ac:dyDescent="0.2">
      <c r="U586" s="46">
        <f t="shared" si="123"/>
        <v>5792</v>
      </c>
      <c r="V586" s="46">
        <f t="shared" si="124"/>
        <v>5801</v>
      </c>
      <c r="W586" s="33" t="e">
        <f>IFERROR(AVERAGEIFS(data_brute!M:M,data_brute!J:J,"&lt;="&amp;V586,data_brute!J:J,"&gt;="&amp;U586),NA())</f>
        <v>#N/A</v>
      </c>
      <c r="X586" s="46" t="e">
        <f t="shared" si="125"/>
        <v>#N/A</v>
      </c>
      <c r="Y586" s="2" t="b">
        <f t="shared" si="126"/>
        <v>0</v>
      </c>
      <c r="Z586" s="2" t="b">
        <f t="shared" si="127"/>
        <v>0</v>
      </c>
      <c r="AE586" s="46">
        <f t="shared" si="120"/>
        <v>5792</v>
      </c>
      <c r="AF586" s="46">
        <f t="shared" si="121"/>
        <v>5801</v>
      </c>
      <c r="AG586" s="33" t="e">
        <f>IFERROR(AVERAGEIFS(data_brute!M:M,data_brute!J:J,"&gt;="&amp;AE586,data_brute!J:J,"&lt;="&amp;AF586),NA())</f>
        <v>#N/A</v>
      </c>
      <c r="AH586" s="46" t="e">
        <f t="shared" si="122"/>
        <v>#N/A</v>
      </c>
      <c r="AJ586" s="46">
        <f t="shared" si="128"/>
        <v>5792</v>
      </c>
      <c r="AK586" s="46">
        <f t="shared" si="129"/>
        <v>5801</v>
      </c>
      <c r="AL586" s="33">
        <f ca="1">IFERROR(AVERAGEIFS(data_brute!M:M,data_brute!J:J,"&lt;="&amp;AK586),NA())</f>
        <v>25.353524229074896</v>
      </c>
      <c r="AM586" s="46">
        <f t="shared" ca="1" si="130"/>
        <v>5800</v>
      </c>
      <c r="AN586" s="46" t="b">
        <f t="shared" si="131"/>
        <v>0</v>
      </c>
      <c r="AO586" s="50" t="b">
        <f t="shared" si="132"/>
        <v>0</v>
      </c>
    </row>
    <row r="587" spans="21:41" x14ac:dyDescent="0.2">
      <c r="U587" s="46">
        <f t="shared" si="123"/>
        <v>5802</v>
      </c>
      <c r="V587" s="46">
        <f t="shared" si="124"/>
        <v>5811</v>
      </c>
      <c r="W587" s="33" t="e">
        <f>IFERROR(AVERAGEIFS(data_brute!M:M,data_brute!J:J,"&lt;="&amp;V587,data_brute!J:J,"&gt;="&amp;U587),NA())</f>
        <v>#N/A</v>
      </c>
      <c r="X587" s="46" t="e">
        <f t="shared" si="125"/>
        <v>#N/A</v>
      </c>
      <c r="Y587" s="2" t="b">
        <f t="shared" si="126"/>
        <v>0</v>
      </c>
      <c r="Z587" s="2" t="b">
        <f t="shared" si="127"/>
        <v>0</v>
      </c>
      <c r="AE587" s="46">
        <f t="shared" si="120"/>
        <v>5802</v>
      </c>
      <c r="AF587" s="46">
        <f t="shared" si="121"/>
        <v>5811</v>
      </c>
      <c r="AG587" s="33" t="e">
        <f>IFERROR(AVERAGEIFS(data_brute!M:M,data_brute!J:J,"&gt;="&amp;AE587,data_brute!J:J,"&lt;="&amp;AF587),NA())</f>
        <v>#N/A</v>
      </c>
      <c r="AH587" s="46" t="e">
        <f t="shared" si="122"/>
        <v>#N/A</v>
      </c>
      <c r="AJ587" s="46">
        <f t="shared" si="128"/>
        <v>5802</v>
      </c>
      <c r="AK587" s="46">
        <f t="shared" si="129"/>
        <v>5811</v>
      </c>
      <c r="AL587" s="33">
        <f ca="1">IFERROR(AVERAGEIFS(data_brute!M:M,data_brute!J:J,"&lt;="&amp;AK587),NA())</f>
        <v>25.353524229074896</v>
      </c>
      <c r="AM587" s="46">
        <f t="shared" ca="1" si="130"/>
        <v>5810</v>
      </c>
      <c r="AN587" s="46" t="b">
        <f t="shared" si="131"/>
        <v>0</v>
      </c>
      <c r="AO587" s="50" t="b">
        <f t="shared" si="132"/>
        <v>0</v>
      </c>
    </row>
    <row r="588" spans="21:41" x14ac:dyDescent="0.2">
      <c r="U588" s="46">
        <f t="shared" si="123"/>
        <v>5812</v>
      </c>
      <c r="V588" s="46">
        <f t="shared" si="124"/>
        <v>5821</v>
      </c>
      <c r="W588" s="33" t="e">
        <f>IFERROR(AVERAGEIFS(data_brute!M:M,data_brute!J:J,"&lt;="&amp;V588,data_brute!J:J,"&gt;="&amp;U588),NA())</f>
        <v>#N/A</v>
      </c>
      <c r="X588" s="46" t="e">
        <f t="shared" si="125"/>
        <v>#N/A</v>
      </c>
      <c r="Y588" s="2" t="b">
        <f t="shared" si="126"/>
        <v>0</v>
      </c>
      <c r="Z588" s="2" t="b">
        <f t="shared" si="127"/>
        <v>0</v>
      </c>
      <c r="AE588" s="46">
        <f t="shared" si="120"/>
        <v>5812</v>
      </c>
      <c r="AF588" s="46">
        <f t="shared" si="121"/>
        <v>5821</v>
      </c>
      <c r="AG588" s="33" t="e">
        <f>IFERROR(AVERAGEIFS(data_brute!M:M,data_brute!J:J,"&gt;="&amp;AE588,data_brute!J:J,"&lt;="&amp;AF588),NA())</f>
        <v>#N/A</v>
      </c>
      <c r="AH588" s="46" t="e">
        <f t="shared" si="122"/>
        <v>#N/A</v>
      </c>
      <c r="AJ588" s="46">
        <f t="shared" si="128"/>
        <v>5812</v>
      </c>
      <c r="AK588" s="46">
        <f t="shared" si="129"/>
        <v>5821</v>
      </c>
      <c r="AL588" s="33">
        <f ca="1">IFERROR(AVERAGEIFS(data_brute!M:M,data_brute!J:J,"&lt;="&amp;AK588),NA())</f>
        <v>25.353524229074896</v>
      </c>
      <c r="AM588" s="46">
        <f t="shared" ca="1" si="130"/>
        <v>5820</v>
      </c>
      <c r="AN588" s="46" t="b">
        <f t="shared" si="131"/>
        <v>0</v>
      </c>
      <c r="AO588" s="50" t="b">
        <f t="shared" si="132"/>
        <v>0</v>
      </c>
    </row>
    <row r="589" spans="21:41" x14ac:dyDescent="0.2">
      <c r="U589" s="46">
        <f t="shared" si="123"/>
        <v>5822</v>
      </c>
      <c r="V589" s="46">
        <f t="shared" si="124"/>
        <v>5831</v>
      </c>
      <c r="W589" s="33" t="e">
        <f>IFERROR(AVERAGEIFS(data_brute!M:M,data_brute!J:J,"&lt;="&amp;V589,data_brute!J:J,"&gt;="&amp;U589),NA())</f>
        <v>#N/A</v>
      </c>
      <c r="X589" s="46" t="e">
        <f t="shared" si="125"/>
        <v>#N/A</v>
      </c>
      <c r="Y589" s="2" t="b">
        <f t="shared" si="126"/>
        <v>0</v>
      </c>
      <c r="Z589" s="2" t="b">
        <f t="shared" si="127"/>
        <v>0</v>
      </c>
      <c r="AE589" s="46">
        <f t="shared" si="120"/>
        <v>5822</v>
      </c>
      <c r="AF589" s="46">
        <f t="shared" si="121"/>
        <v>5831</v>
      </c>
      <c r="AG589" s="33" t="e">
        <f>IFERROR(AVERAGEIFS(data_brute!M:M,data_brute!J:J,"&gt;="&amp;AE589,data_brute!J:J,"&lt;="&amp;AF589),NA())</f>
        <v>#N/A</v>
      </c>
      <c r="AH589" s="46" t="e">
        <f t="shared" si="122"/>
        <v>#N/A</v>
      </c>
      <c r="AJ589" s="46">
        <f t="shared" si="128"/>
        <v>5822</v>
      </c>
      <c r="AK589" s="46">
        <f t="shared" si="129"/>
        <v>5831</v>
      </c>
      <c r="AL589" s="33">
        <f ca="1">IFERROR(AVERAGEIFS(data_brute!M:M,data_brute!J:J,"&lt;="&amp;AK589),NA())</f>
        <v>25.353524229074896</v>
      </c>
      <c r="AM589" s="46">
        <f t="shared" ca="1" si="130"/>
        <v>5830</v>
      </c>
      <c r="AN589" s="46" t="b">
        <f t="shared" si="131"/>
        <v>0</v>
      </c>
      <c r="AO589" s="50" t="b">
        <f t="shared" si="132"/>
        <v>0</v>
      </c>
    </row>
    <row r="590" spans="21:41" x14ac:dyDescent="0.2">
      <c r="U590" s="46">
        <f t="shared" si="123"/>
        <v>5832</v>
      </c>
      <c r="V590" s="46">
        <f t="shared" si="124"/>
        <v>5841</v>
      </c>
      <c r="W590" s="33" t="e">
        <f>IFERROR(AVERAGEIFS(data_brute!M:M,data_brute!J:J,"&lt;="&amp;V590,data_brute!J:J,"&gt;="&amp;U590),NA())</f>
        <v>#N/A</v>
      </c>
      <c r="X590" s="46" t="e">
        <f t="shared" si="125"/>
        <v>#N/A</v>
      </c>
      <c r="Y590" s="2" t="b">
        <f t="shared" si="126"/>
        <v>0</v>
      </c>
      <c r="Z590" s="2" t="b">
        <f t="shared" si="127"/>
        <v>0</v>
      </c>
      <c r="AE590" s="46">
        <f t="shared" si="120"/>
        <v>5832</v>
      </c>
      <c r="AF590" s="46">
        <f t="shared" si="121"/>
        <v>5841</v>
      </c>
      <c r="AG590" s="33" t="e">
        <f>IFERROR(AVERAGEIFS(data_brute!M:M,data_brute!J:J,"&gt;="&amp;AE590,data_brute!J:J,"&lt;="&amp;AF590),NA())</f>
        <v>#N/A</v>
      </c>
      <c r="AH590" s="46" t="e">
        <f t="shared" si="122"/>
        <v>#N/A</v>
      </c>
      <c r="AJ590" s="46">
        <f t="shared" si="128"/>
        <v>5832</v>
      </c>
      <c r="AK590" s="46">
        <f t="shared" si="129"/>
        <v>5841</v>
      </c>
      <c r="AL590" s="33">
        <f ca="1">IFERROR(AVERAGEIFS(data_brute!M:M,data_brute!J:J,"&lt;="&amp;AK590),NA())</f>
        <v>25.353524229074896</v>
      </c>
      <c r="AM590" s="46">
        <f t="shared" ca="1" si="130"/>
        <v>5840</v>
      </c>
      <c r="AN590" s="46" t="b">
        <f t="shared" si="131"/>
        <v>0</v>
      </c>
      <c r="AO590" s="50" t="b">
        <f t="shared" si="132"/>
        <v>0</v>
      </c>
    </row>
    <row r="591" spans="21:41" x14ac:dyDescent="0.2">
      <c r="U591" s="46">
        <f t="shared" si="123"/>
        <v>5842</v>
      </c>
      <c r="V591" s="46">
        <f t="shared" si="124"/>
        <v>5851</v>
      </c>
      <c r="W591" s="33" t="e">
        <f>IFERROR(AVERAGEIFS(data_brute!M:M,data_brute!J:J,"&lt;="&amp;V591,data_brute!J:J,"&gt;="&amp;U591),NA())</f>
        <v>#N/A</v>
      </c>
      <c r="X591" s="46" t="e">
        <f t="shared" si="125"/>
        <v>#N/A</v>
      </c>
      <c r="Y591" s="2" t="b">
        <f t="shared" si="126"/>
        <v>0</v>
      </c>
      <c r="Z591" s="2" t="b">
        <f t="shared" si="127"/>
        <v>0</v>
      </c>
      <c r="AE591" s="46">
        <f t="shared" si="120"/>
        <v>5842</v>
      </c>
      <c r="AF591" s="46">
        <f t="shared" si="121"/>
        <v>5851</v>
      </c>
      <c r="AG591" s="33" t="e">
        <f>IFERROR(AVERAGEIFS(data_brute!M:M,data_brute!J:J,"&gt;="&amp;AE591,data_brute!J:J,"&lt;="&amp;AF591),NA())</f>
        <v>#N/A</v>
      </c>
      <c r="AH591" s="46" t="e">
        <f t="shared" si="122"/>
        <v>#N/A</v>
      </c>
      <c r="AJ591" s="46">
        <f t="shared" si="128"/>
        <v>5842</v>
      </c>
      <c r="AK591" s="46">
        <f t="shared" si="129"/>
        <v>5851</v>
      </c>
      <c r="AL591" s="33">
        <f ca="1">IFERROR(AVERAGEIFS(data_brute!M:M,data_brute!J:J,"&lt;="&amp;AK591),NA())</f>
        <v>25.353524229074896</v>
      </c>
      <c r="AM591" s="46">
        <f t="shared" ca="1" si="130"/>
        <v>5850</v>
      </c>
      <c r="AN591" s="46" t="b">
        <f t="shared" si="131"/>
        <v>0</v>
      </c>
      <c r="AO591" s="50" t="b">
        <f t="shared" si="132"/>
        <v>0</v>
      </c>
    </row>
    <row r="592" spans="21:41" x14ac:dyDescent="0.2">
      <c r="U592" s="46">
        <f t="shared" si="123"/>
        <v>5852</v>
      </c>
      <c r="V592" s="46">
        <f t="shared" si="124"/>
        <v>5861</v>
      </c>
      <c r="W592" s="33" t="e">
        <f>IFERROR(AVERAGEIFS(data_brute!M:M,data_brute!J:J,"&lt;="&amp;V592,data_brute!J:J,"&gt;="&amp;U592),NA())</f>
        <v>#N/A</v>
      </c>
      <c r="X592" s="46" t="e">
        <f t="shared" si="125"/>
        <v>#N/A</v>
      </c>
      <c r="Y592" s="2" t="b">
        <f t="shared" si="126"/>
        <v>0</v>
      </c>
      <c r="Z592" s="2" t="b">
        <f t="shared" si="127"/>
        <v>0</v>
      </c>
      <c r="AE592" s="46">
        <f t="shared" si="120"/>
        <v>5852</v>
      </c>
      <c r="AF592" s="46">
        <f t="shared" si="121"/>
        <v>5861</v>
      </c>
      <c r="AG592" s="33" t="e">
        <f>IFERROR(AVERAGEIFS(data_brute!M:M,data_brute!J:J,"&gt;="&amp;AE592,data_brute!J:J,"&lt;="&amp;AF592),NA())</f>
        <v>#N/A</v>
      </c>
      <c r="AH592" s="46" t="e">
        <f t="shared" si="122"/>
        <v>#N/A</v>
      </c>
      <c r="AJ592" s="46">
        <f t="shared" si="128"/>
        <v>5852</v>
      </c>
      <c r="AK592" s="46">
        <f t="shared" si="129"/>
        <v>5861</v>
      </c>
      <c r="AL592" s="33">
        <f ca="1">IFERROR(AVERAGEIFS(data_brute!M:M,data_brute!J:J,"&lt;="&amp;AK592),NA())</f>
        <v>25.353524229074896</v>
      </c>
      <c r="AM592" s="46">
        <f t="shared" ca="1" si="130"/>
        <v>5860</v>
      </c>
      <c r="AN592" s="46" t="b">
        <f t="shared" si="131"/>
        <v>0</v>
      </c>
      <c r="AO592" s="50" t="b">
        <f t="shared" si="132"/>
        <v>0</v>
      </c>
    </row>
    <row r="593" spans="21:41" x14ac:dyDescent="0.2">
      <c r="U593" s="46">
        <f t="shared" si="123"/>
        <v>5862</v>
      </c>
      <c r="V593" s="46">
        <f t="shared" si="124"/>
        <v>5871</v>
      </c>
      <c r="W593" s="33" t="e">
        <f>IFERROR(AVERAGEIFS(data_brute!M:M,data_brute!J:J,"&lt;="&amp;V593,data_brute!J:J,"&gt;="&amp;U593),NA())</f>
        <v>#N/A</v>
      </c>
      <c r="X593" s="46" t="e">
        <f t="shared" si="125"/>
        <v>#N/A</v>
      </c>
      <c r="Y593" s="2" t="b">
        <f t="shared" si="126"/>
        <v>0</v>
      </c>
      <c r="Z593" s="2" t="b">
        <f t="shared" si="127"/>
        <v>0</v>
      </c>
      <c r="AE593" s="46">
        <f t="shared" si="120"/>
        <v>5862</v>
      </c>
      <c r="AF593" s="46">
        <f t="shared" si="121"/>
        <v>5871</v>
      </c>
      <c r="AG593" s="33" t="e">
        <f>IFERROR(AVERAGEIFS(data_brute!M:M,data_brute!J:J,"&gt;="&amp;AE593,data_brute!J:J,"&lt;="&amp;AF593),NA())</f>
        <v>#N/A</v>
      </c>
      <c r="AH593" s="46" t="e">
        <f t="shared" si="122"/>
        <v>#N/A</v>
      </c>
      <c r="AJ593" s="46">
        <f t="shared" si="128"/>
        <v>5862</v>
      </c>
      <c r="AK593" s="46">
        <f t="shared" si="129"/>
        <v>5871</v>
      </c>
      <c r="AL593" s="33">
        <f ca="1">IFERROR(AVERAGEIFS(data_brute!M:M,data_brute!J:J,"&lt;="&amp;AK593),NA())</f>
        <v>25.353524229074896</v>
      </c>
      <c r="AM593" s="46">
        <f t="shared" ca="1" si="130"/>
        <v>5870</v>
      </c>
      <c r="AN593" s="46" t="b">
        <f t="shared" si="131"/>
        <v>0</v>
      </c>
      <c r="AO593" s="50" t="b">
        <f t="shared" si="132"/>
        <v>0</v>
      </c>
    </row>
    <row r="594" spans="21:41" x14ac:dyDescent="0.2">
      <c r="U594" s="46">
        <f t="shared" si="123"/>
        <v>5872</v>
      </c>
      <c r="V594" s="46">
        <f t="shared" si="124"/>
        <v>5881</v>
      </c>
      <c r="W594" s="33" t="e">
        <f>IFERROR(AVERAGEIFS(data_brute!M:M,data_brute!J:J,"&lt;="&amp;V594,data_brute!J:J,"&gt;="&amp;U594),NA())</f>
        <v>#N/A</v>
      </c>
      <c r="X594" s="46" t="e">
        <f t="shared" si="125"/>
        <v>#N/A</v>
      </c>
      <c r="Y594" s="2" t="b">
        <f t="shared" si="126"/>
        <v>0</v>
      </c>
      <c r="Z594" s="2" t="b">
        <f t="shared" si="127"/>
        <v>0</v>
      </c>
      <c r="AE594" s="46">
        <f t="shared" si="120"/>
        <v>5872</v>
      </c>
      <c r="AF594" s="46">
        <f t="shared" si="121"/>
        <v>5881</v>
      </c>
      <c r="AG594" s="33" t="e">
        <f>IFERROR(AVERAGEIFS(data_brute!M:M,data_brute!J:J,"&gt;="&amp;AE594,data_brute!J:J,"&lt;="&amp;AF594),NA())</f>
        <v>#N/A</v>
      </c>
      <c r="AH594" s="46" t="e">
        <f t="shared" si="122"/>
        <v>#N/A</v>
      </c>
      <c r="AJ594" s="46">
        <f t="shared" si="128"/>
        <v>5872</v>
      </c>
      <c r="AK594" s="46">
        <f t="shared" si="129"/>
        <v>5881</v>
      </c>
      <c r="AL594" s="33">
        <f ca="1">IFERROR(AVERAGEIFS(data_brute!M:M,data_brute!J:J,"&lt;="&amp;AK594),NA())</f>
        <v>25.353524229074896</v>
      </c>
      <c r="AM594" s="46">
        <f t="shared" ca="1" si="130"/>
        <v>5880</v>
      </c>
      <c r="AN594" s="46" t="b">
        <f t="shared" si="131"/>
        <v>0</v>
      </c>
      <c r="AO594" s="50" t="b">
        <f t="shared" si="132"/>
        <v>0</v>
      </c>
    </row>
    <row r="595" spans="21:41" x14ac:dyDescent="0.2">
      <c r="U595" s="46">
        <f t="shared" si="123"/>
        <v>5882</v>
      </c>
      <c r="V595" s="46">
        <f t="shared" si="124"/>
        <v>5891</v>
      </c>
      <c r="W595" s="33" t="e">
        <f>IFERROR(AVERAGEIFS(data_brute!M:M,data_brute!J:J,"&lt;="&amp;V595,data_brute!J:J,"&gt;="&amp;U595),NA())</f>
        <v>#N/A</v>
      </c>
      <c r="X595" s="46" t="e">
        <f t="shared" si="125"/>
        <v>#N/A</v>
      </c>
      <c r="Y595" s="2" t="b">
        <f t="shared" si="126"/>
        <v>0</v>
      </c>
      <c r="Z595" s="2" t="b">
        <f t="shared" si="127"/>
        <v>0</v>
      </c>
      <c r="AE595" s="46">
        <f t="shared" si="120"/>
        <v>5882</v>
      </c>
      <c r="AF595" s="46">
        <f t="shared" si="121"/>
        <v>5891</v>
      </c>
      <c r="AG595" s="33" t="e">
        <f>IFERROR(AVERAGEIFS(data_brute!M:M,data_brute!J:J,"&gt;="&amp;AE595,data_brute!J:J,"&lt;="&amp;AF595),NA())</f>
        <v>#N/A</v>
      </c>
      <c r="AH595" s="46" t="e">
        <f t="shared" si="122"/>
        <v>#N/A</v>
      </c>
      <c r="AJ595" s="46">
        <f t="shared" si="128"/>
        <v>5882</v>
      </c>
      <c r="AK595" s="46">
        <f t="shared" si="129"/>
        <v>5891</v>
      </c>
      <c r="AL595" s="33">
        <f ca="1">IFERROR(AVERAGEIFS(data_brute!M:M,data_brute!J:J,"&lt;="&amp;AK595),NA())</f>
        <v>25.353524229074896</v>
      </c>
      <c r="AM595" s="46">
        <f t="shared" ca="1" si="130"/>
        <v>5890</v>
      </c>
      <c r="AN595" s="46" t="b">
        <f t="shared" si="131"/>
        <v>0</v>
      </c>
      <c r="AO595" s="50" t="b">
        <f t="shared" si="132"/>
        <v>0</v>
      </c>
    </row>
    <row r="596" spans="21:41" x14ac:dyDescent="0.2">
      <c r="U596" s="46">
        <f t="shared" si="123"/>
        <v>5892</v>
      </c>
      <c r="V596" s="46">
        <f t="shared" si="124"/>
        <v>5901</v>
      </c>
      <c r="W596" s="33" t="e">
        <f>IFERROR(AVERAGEIFS(data_brute!M:M,data_brute!J:J,"&lt;="&amp;V596,data_brute!J:J,"&gt;="&amp;U596),NA())</f>
        <v>#N/A</v>
      </c>
      <c r="X596" s="46" t="e">
        <f t="shared" si="125"/>
        <v>#N/A</v>
      </c>
      <c r="Y596" s="2" t="b">
        <f t="shared" si="126"/>
        <v>0</v>
      </c>
      <c r="Z596" s="2" t="b">
        <f t="shared" si="127"/>
        <v>0</v>
      </c>
      <c r="AE596" s="46">
        <f t="shared" si="120"/>
        <v>5892</v>
      </c>
      <c r="AF596" s="46">
        <f t="shared" si="121"/>
        <v>5901</v>
      </c>
      <c r="AG596" s="33" t="e">
        <f>IFERROR(AVERAGEIFS(data_brute!M:M,data_brute!J:J,"&gt;="&amp;AE596,data_brute!J:J,"&lt;="&amp;AF596),NA())</f>
        <v>#N/A</v>
      </c>
      <c r="AH596" s="46" t="e">
        <f t="shared" si="122"/>
        <v>#N/A</v>
      </c>
      <c r="AJ596" s="46">
        <f t="shared" si="128"/>
        <v>5892</v>
      </c>
      <c r="AK596" s="46">
        <f t="shared" si="129"/>
        <v>5901</v>
      </c>
      <c r="AL596" s="33">
        <f ca="1">IFERROR(AVERAGEIFS(data_brute!M:M,data_brute!J:J,"&lt;="&amp;AK596),NA())</f>
        <v>25.353524229074896</v>
      </c>
      <c r="AM596" s="46">
        <f t="shared" ca="1" si="130"/>
        <v>5900</v>
      </c>
      <c r="AN596" s="46" t="b">
        <f t="shared" si="131"/>
        <v>0</v>
      </c>
      <c r="AO596" s="50" t="b">
        <f t="shared" si="132"/>
        <v>0</v>
      </c>
    </row>
    <row r="597" spans="21:41" x14ac:dyDescent="0.2">
      <c r="U597" s="46">
        <f t="shared" si="123"/>
        <v>5902</v>
      </c>
      <c r="V597" s="46">
        <f t="shared" si="124"/>
        <v>5911</v>
      </c>
      <c r="W597" s="33" t="e">
        <f>IFERROR(AVERAGEIFS(data_brute!M:M,data_brute!J:J,"&lt;="&amp;V597,data_brute!J:J,"&gt;="&amp;U597),NA())</f>
        <v>#N/A</v>
      </c>
      <c r="X597" s="46" t="e">
        <f t="shared" si="125"/>
        <v>#N/A</v>
      </c>
      <c r="Y597" s="2" t="b">
        <f t="shared" si="126"/>
        <v>0</v>
      </c>
      <c r="Z597" s="2" t="b">
        <f t="shared" si="127"/>
        <v>0</v>
      </c>
      <c r="AE597" s="46">
        <f t="shared" si="120"/>
        <v>5902</v>
      </c>
      <c r="AF597" s="46">
        <f t="shared" si="121"/>
        <v>5911</v>
      </c>
      <c r="AG597" s="33" t="e">
        <f>IFERROR(AVERAGEIFS(data_brute!M:M,data_brute!J:J,"&gt;="&amp;AE597,data_brute!J:J,"&lt;="&amp;AF597),NA())</f>
        <v>#N/A</v>
      </c>
      <c r="AH597" s="46" t="e">
        <f t="shared" si="122"/>
        <v>#N/A</v>
      </c>
      <c r="AJ597" s="46">
        <f t="shared" si="128"/>
        <v>5902</v>
      </c>
      <c r="AK597" s="46">
        <f t="shared" si="129"/>
        <v>5911</v>
      </c>
      <c r="AL597" s="33">
        <f ca="1">IFERROR(AVERAGEIFS(data_brute!M:M,data_brute!J:J,"&lt;="&amp;AK597),NA())</f>
        <v>25.353524229074896</v>
      </c>
      <c r="AM597" s="46">
        <f t="shared" ca="1" si="130"/>
        <v>5910</v>
      </c>
      <c r="AN597" s="46" t="b">
        <f t="shared" si="131"/>
        <v>0</v>
      </c>
      <c r="AO597" s="50" t="b">
        <f t="shared" si="132"/>
        <v>0</v>
      </c>
    </row>
    <row r="598" spans="21:41" x14ac:dyDescent="0.2">
      <c r="U598" s="46">
        <f t="shared" si="123"/>
        <v>5912</v>
      </c>
      <c r="V598" s="46">
        <f t="shared" si="124"/>
        <v>5921</v>
      </c>
      <c r="W598" s="33" t="e">
        <f>IFERROR(AVERAGEIFS(data_brute!M:M,data_brute!J:J,"&lt;="&amp;V598,data_brute!J:J,"&gt;="&amp;U598),NA())</f>
        <v>#N/A</v>
      </c>
      <c r="X598" s="46" t="e">
        <f t="shared" si="125"/>
        <v>#N/A</v>
      </c>
      <c r="Y598" s="2" t="b">
        <f t="shared" si="126"/>
        <v>0</v>
      </c>
      <c r="Z598" s="2" t="b">
        <f t="shared" si="127"/>
        <v>0</v>
      </c>
      <c r="AE598" s="46">
        <f t="shared" si="120"/>
        <v>5912</v>
      </c>
      <c r="AF598" s="46">
        <f t="shared" si="121"/>
        <v>5921</v>
      </c>
      <c r="AG598" s="33" t="e">
        <f>IFERROR(AVERAGEIFS(data_brute!M:M,data_brute!J:J,"&gt;="&amp;AE598,data_brute!J:J,"&lt;="&amp;AF598),NA())</f>
        <v>#N/A</v>
      </c>
      <c r="AH598" s="46" t="e">
        <f t="shared" si="122"/>
        <v>#N/A</v>
      </c>
      <c r="AJ598" s="46">
        <f t="shared" si="128"/>
        <v>5912</v>
      </c>
      <c r="AK598" s="46">
        <f t="shared" si="129"/>
        <v>5921</v>
      </c>
      <c r="AL598" s="33">
        <f ca="1">IFERROR(AVERAGEIFS(data_brute!M:M,data_brute!J:J,"&lt;="&amp;AK598),NA())</f>
        <v>25.353524229074896</v>
      </c>
      <c r="AM598" s="46">
        <f t="shared" ca="1" si="130"/>
        <v>5920</v>
      </c>
      <c r="AN598" s="46" t="b">
        <f t="shared" si="131"/>
        <v>0</v>
      </c>
      <c r="AO598" s="50" t="b">
        <f t="shared" si="132"/>
        <v>0</v>
      </c>
    </row>
    <row r="599" spans="21:41" x14ac:dyDescent="0.2">
      <c r="U599" s="46">
        <f t="shared" si="123"/>
        <v>5922</v>
      </c>
      <c r="V599" s="46">
        <f t="shared" si="124"/>
        <v>5931</v>
      </c>
      <c r="W599" s="33" t="e">
        <f>IFERROR(AVERAGEIFS(data_brute!M:M,data_brute!J:J,"&lt;="&amp;V599,data_brute!J:J,"&gt;="&amp;U599),NA())</f>
        <v>#N/A</v>
      </c>
      <c r="X599" s="46" t="e">
        <f t="shared" si="125"/>
        <v>#N/A</v>
      </c>
      <c r="Y599" s="2" t="b">
        <f t="shared" si="126"/>
        <v>0</v>
      </c>
      <c r="Z599" s="2" t="b">
        <f t="shared" si="127"/>
        <v>0</v>
      </c>
      <c r="AE599" s="46">
        <f t="shared" si="120"/>
        <v>5922</v>
      </c>
      <c r="AF599" s="46">
        <f t="shared" si="121"/>
        <v>5931</v>
      </c>
      <c r="AG599" s="33" t="e">
        <f>IFERROR(AVERAGEIFS(data_brute!M:M,data_brute!J:J,"&gt;="&amp;AE599,data_brute!J:J,"&lt;="&amp;AF599),NA())</f>
        <v>#N/A</v>
      </c>
      <c r="AH599" s="46" t="e">
        <f t="shared" si="122"/>
        <v>#N/A</v>
      </c>
      <c r="AJ599" s="46">
        <f t="shared" si="128"/>
        <v>5922</v>
      </c>
      <c r="AK599" s="46">
        <f t="shared" si="129"/>
        <v>5931</v>
      </c>
      <c r="AL599" s="33">
        <f ca="1">IFERROR(AVERAGEIFS(data_brute!M:M,data_brute!J:J,"&lt;="&amp;AK599),NA())</f>
        <v>25.353524229074896</v>
      </c>
      <c r="AM599" s="46">
        <f t="shared" ca="1" si="130"/>
        <v>5930</v>
      </c>
      <c r="AN599" s="46" t="b">
        <f t="shared" si="131"/>
        <v>0</v>
      </c>
      <c r="AO599" s="50" t="b">
        <f t="shared" si="132"/>
        <v>0</v>
      </c>
    </row>
    <row r="600" spans="21:41" x14ac:dyDescent="0.2">
      <c r="U600" s="46">
        <f t="shared" si="123"/>
        <v>5932</v>
      </c>
      <c r="V600" s="46">
        <f t="shared" si="124"/>
        <v>5941</v>
      </c>
      <c r="W600" s="33" t="e">
        <f>IFERROR(AVERAGEIFS(data_brute!M:M,data_brute!J:J,"&lt;="&amp;V600,data_brute!J:J,"&gt;="&amp;U600),NA())</f>
        <v>#N/A</v>
      </c>
      <c r="X600" s="46" t="e">
        <f t="shared" si="125"/>
        <v>#N/A</v>
      </c>
      <c r="Y600" s="2" t="b">
        <f t="shared" si="126"/>
        <v>0</v>
      </c>
      <c r="Z600" s="2" t="b">
        <f t="shared" si="127"/>
        <v>0</v>
      </c>
      <c r="AE600" s="46">
        <f t="shared" ref="AE600:AE663" si="133">AF599+1</f>
        <v>5932</v>
      </c>
      <c r="AF600" s="46">
        <f t="shared" ref="AF600:AF663" si="134">AE600+$AG$2-1</f>
        <v>5941</v>
      </c>
      <c r="AG600" s="33" t="e">
        <f>IFERROR(AVERAGEIFS(data_brute!M:M,data_brute!J:J,"&gt;="&amp;AE600,data_brute!J:J,"&lt;="&amp;AF600),NA())</f>
        <v>#N/A</v>
      </c>
      <c r="AH600" s="46" t="e">
        <f t="shared" ref="AH600:AH663" si="135">IF(AG600&lt;&gt;"",$AG$2*(ROW()-ROW($AH$6)),NA())</f>
        <v>#N/A</v>
      </c>
      <c r="AJ600" s="46">
        <f t="shared" si="128"/>
        <v>5932</v>
      </c>
      <c r="AK600" s="46">
        <f t="shared" si="129"/>
        <v>5941</v>
      </c>
      <c r="AL600" s="33">
        <f ca="1">IFERROR(AVERAGEIFS(data_brute!M:M,data_brute!J:J,"&lt;="&amp;AK600),NA())</f>
        <v>25.353524229074896</v>
      </c>
      <c r="AM600" s="46">
        <f t="shared" ca="1" si="130"/>
        <v>5940</v>
      </c>
      <c r="AN600" s="46" t="b">
        <f t="shared" si="131"/>
        <v>0</v>
      </c>
      <c r="AO600" s="50" t="b">
        <f t="shared" si="132"/>
        <v>0</v>
      </c>
    </row>
    <row r="601" spans="21:41" x14ac:dyDescent="0.2">
      <c r="U601" s="46">
        <f t="shared" si="123"/>
        <v>5942</v>
      </c>
      <c r="V601" s="46">
        <f t="shared" si="124"/>
        <v>5951</v>
      </c>
      <c r="W601" s="33" t="e">
        <f>IFERROR(AVERAGEIFS(data_brute!M:M,data_brute!J:J,"&lt;="&amp;V601,data_brute!J:J,"&gt;="&amp;U601),NA())</f>
        <v>#N/A</v>
      </c>
      <c r="X601" s="46" t="e">
        <f t="shared" si="125"/>
        <v>#N/A</v>
      </c>
      <c r="Y601" s="2" t="b">
        <f t="shared" si="126"/>
        <v>0</v>
      </c>
      <c r="Z601" s="2" t="b">
        <f t="shared" si="127"/>
        <v>0</v>
      </c>
      <c r="AE601" s="46">
        <f t="shared" si="133"/>
        <v>5942</v>
      </c>
      <c r="AF601" s="46">
        <f t="shared" si="134"/>
        <v>5951</v>
      </c>
      <c r="AG601" s="33" t="e">
        <f>IFERROR(AVERAGEIFS(data_brute!M:M,data_brute!J:J,"&gt;="&amp;AE601,data_brute!J:J,"&lt;="&amp;AF601),NA())</f>
        <v>#N/A</v>
      </c>
      <c r="AH601" s="46" t="e">
        <f t="shared" si="135"/>
        <v>#N/A</v>
      </c>
      <c r="AJ601" s="46">
        <f t="shared" si="128"/>
        <v>5942</v>
      </c>
      <c r="AK601" s="46">
        <f t="shared" si="129"/>
        <v>5951</v>
      </c>
      <c r="AL601" s="33">
        <f ca="1">IFERROR(AVERAGEIFS(data_brute!M:M,data_brute!J:J,"&lt;="&amp;AK601),NA())</f>
        <v>25.353524229074896</v>
      </c>
      <c r="AM601" s="46">
        <f t="shared" ca="1" si="130"/>
        <v>5950</v>
      </c>
      <c r="AN601" s="46" t="b">
        <f t="shared" si="131"/>
        <v>0</v>
      </c>
      <c r="AO601" s="50" t="b">
        <f t="shared" si="132"/>
        <v>0</v>
      </c>
    </row>
    <row r="602" spans="21:41" x14ac:dyDescent="0.2">
      <c r="U602" s="46">
        <f t="shared" si="123"/>
        <v>5952</v>
      </c>
      <c r="V602" s="46">
        <f t="shared" si="124"/>
        <v>5961</v>
      </c>
      <c r="W602" s="33" t="e">
        <f>IFERROR(AVERAGEIFS(data_brute!M:M,data_brute!J:J,"&lt;="&amp;V602,data_brute!J:J,"&gt;="&amp;U602),NA())</f>
        <v>#N/A</v>
      </c>
      <c r="X602" s="46" t="e">
        <f t="shared" si="125"/>
        <v>#N/A</v>
      </c>
      <c r="Y602" s="2" t="b">
        <f t="shared" si="126"/>
        <v>0</v>
      </c>
      <c r="Z602" s="2" t="b">
        <f t="shared" si="127"/>
        <v>0</v>
      </c>
      <c r="AE602" s="46">
        <f t="shared" si="133"/>
        <v>5952</v>
      </c>
      <c r="AF602" s="46">
        <f t="shared" si="134"/>
        <v>5961</v>
      </c>
      <c r="AG602" s="33" t="e">
        <f>IFERROR(AVERAGEIFS(data_brute!M:M,data_brute!J:J,"&gt;="&amp;AE602,data_brute!J:J,"&lt;="&amp;AF602),NA())</f>
        <v>#N/A</v>
      </c>
      <c r="AH602" s="46" t="e">
        <f t="shared" si="135"/>
        <v>#N/A</v>
      </c>
      <c r="AJ602" s="46">
        <f t="shared" si="128"/>
        <v>5952</v>
      </c>
      <c r="AK602" s="46">
        <f t="shared" si="129"/>
        <v>5961</v>
      </c>
      <c r="AL602" s="33">
        <f ca="1">IFERROR(AVERAGEIFS(data_brute!M:M,data_brute!J:J,"&lt;="&amp;AK602),NA())</f>
        <v>25.353524229074896</v>
      </c>
      <c r="AM602" s="46">
        <f t="shared" ca="1" si="130"/>
        <v>5960</v>
      </c>
      <c r="AN602" s="46" t="b">
        <f t="shared" si="131"/>
        <v>0</v>
      </c>
      <c r="AO602" s="50" t="b">
        <f t="shared" si="132"/>
        <v>0</v>
      </c>
    </row>
    <row r="603" spans="21:41" x14ac:dyDescent="0.2">
      <c r="U603" s="46">
        <f t="shared" si="123"/>
        <v>5962</v>
      </c>
      <c r="V603" s="46">
        <f t="shared" si="124"/>
        <v>5971</v>
      </c>
      <c r="W603" s="33" t="e">
        <f>IFERROR(AVERAGEIFS(data_brute!M:M,data_brute!J:J,"&lt;="&amp;V603,data_brute!J:J,"&gt;="&amp;U603),NA())</f>
        <v>#N/A</v>
      </c>
      <c r="X603" s="46" t="e">
        <f t="shared" si="125"/>
        <v>#N/A</v>
      </c>
      <c r="Y603" s="2" t="b">
        <f t="shared" si="126"/>
        <v>0</v>
      </c>
      <c r="Z603" s="2" t="b">
        <f t="shared" si="127"/>
        <v>0</v>
      </c>
      <c r="AE603" s="46">
        <f t="shared" si="133"/>
        <v>5962</v>
      </c>
      <c r="AF603" s="46">
        <f t="shared" si="134"/>
        <v>5971</v>
      </c>
      <c r="AG603" s="33" t="e">
        <f>IFERROR(AVERAGEIFS(data_brute!M:M,data_brute!J:J,"&gt;="&amp;AE603,data_brute!J:J,"&lt;="&amp;AF603),NA())</f>
        <v>#N/A</v>
      </c>
      <c r="AH603" s="46" t="e">
        <f t="shared" si="135"/>
        <v>#N/A</v>
      </c>
      <c r="AJ603" s="46">
        <f t="shared" si="128"/>
        <v>5962</v>
      </c>
      <c r="AK603" s="46">
        <f t="shared" si="129"/>
        <v>5971</v>
      </c>
      <c r="AL603" s="33">
        <f ca="1">IFERROR(AVERAGEIFS(data_brute!M:M,data_brute!J:J,"&lt;="&amp;AK603),NA())</f>
        <v>25.353524229074896</v>
      </c>
      <c r="AM603" s="46">
        <f t="shared" ca="1" si="130"/>
        <v>5970</v>
      </c>
      <c r="AN603" s="46" t="b">
        <f t="shared" si="131"/>
        <v>0</v>
      </c>
      <c r="AO603" s="50" t="b">
        <f t="shared" si="132"/>
        <v>0</v>
      </c>
    </row>
    <row r="604" spans="21:41" x14ac:dyDescent="0.2">
      <c r="U604" s="46">
        <f t="shared" si="123"/>
        <v>5972</v>
      </c>
      <c r="V604" s="46">
        <f t="shared" si="124"/>
        <v>5981</v>
      </c>
      <c r="W604" s="33" t="e">
        <f>IFERROR(AVERAGEIFS(data_brute!M:M,data_brute!J:J,"&lt;="&amp;V604,data_brute!J:J,"&gt;="&amp;U604),NA())</f>
        <v>#N/A</v>
      </c>
      <c r="X604" s="46" t="e">
        <f t="shared" si="125"/>
        <v>#N/A</v>
      </c>
      <c r="Y604" s="2" t="b">
        <f t="shared" si="126"/>
        <v>0</v>
      </c>
      <c r="Z604" s="2" t="b">
        <f t="shared" si="127"/>
        <v>0</v>
      </c>
      <c r="AE604" s="46">
        <f t="shared" si="133"/>
        <v>5972</v>
      </c>
      <c r="AF604" s="46">
        <f t="shared" si="134"/>
        <v>5981</v>
      </c>
      <c r="AG604" s="33" t="e">
        <f>IFERROR(AVERAGEIFS(data_brute!M:M,data_brute!J:J,"&gt;="&amp;AE604,data_brute!J:J,"&lt;="&amp;AF604),NA())</f>
        <v>#N/A</v>
      </c>
      <c r="AH604" s="46" t="e">
        <f t="shared" si="135"/>
        <v>#N/A</v>
      </c>
      <c r="AJ604" s="46">
        <f t="shared" si="128"/>
        <v>5972</v>
      </c>
      <c r="AK604" s="46">
        <f t="shared" si="129"/>
        <v>5981</v>
      </c>
      <c r="AL604" s="33">
        <f ca="1">IFERROR(AVERAGEIFS(data_brute!M:M,data_brute!J:J,"&lt;="&amp;AK604),NA())</f>
        <v>25.353524229074896</v>
      </c>
      <c r="AM604" s="46">
        <f t="shared" ca="1" si="130"/>
        <v>5980</v>
      </c>
      <c r="AN604" s="46" t="b">
        <f t="shared" si="131"/>
        <v>0</v>
      </c>
      <c r="AO604" s="50" t="b">
        <f t="shared" si="132"/>
        <v>0</v>
      </c>
    </row>
    <row r="605" spans="21:41" x14ac:dyDescent="0.2">
      <c r="U605" s="46">
        <f t="shared" si="123"/>
        <v>5982</v>
      </c>
      <c r="V605" s="46">
        <f t="shared" si="124"/>
        <v>5991</v>
      </c>
      <c r="W605" s="33" t="e">
        <f>IFERROR(AVERAGEIFS(data_brute!M:M,data_brute!J:J,"&lt;="&amp;V605,data_brute!J:J,"&gt;="&amp;U605),NA())</f>
        <v>#N/A</v>
      </c>
      <c r="X605" s="46" t="e">
        <f t="shared" si="125"/>
        <v>#N/A</v>
      </c>
      <c r="Y605" s="2" t="b">
        <f t="shared" si="126"/>
        <v>0</v>
      </c>
      <c r="Z605" s="2" t="b">
        <f t="shared" si="127"/>
        <v>0</v>
      </c>
      <c r="AE605" s="46">
        <f t="shared" si="133"/>
        <v>5982</v>
      </c>
      <c r="AF605" s="46">
        <f t="shared" si="134"/>
        <v>5991</v>
      </c>
      <c r="AG605" s="33" t="e">
        <f>IFERROR(AVERAGEIFS(data_brute!M:M,data_brute!J:J,"&gt;="&amp;AE605,data_brute!J:J,"&lt;="&amp;AF605),NA())</f>
        <v>#N/A</v>
      </c>
      <c r="AH605" s="46" t="e">
        <f t="shared" si="135"/>
        <v>#N/A</v>
      </c>
      <c r="AJ605" s="46">
        <f t="shared" si="128"/>
        <v>5982</v>
      </c>
      <c r="AK605" s="46">
        <f t="shared" si="129"/>
        <v>5991</v>
      </c>
      <c r="AL605" s="33">
        <f ca="1">IFERROR(AVERAGEIFS(data_brute!M:M,data_brute!J:J,"&lt;="&amp;AK605),NA())</f>
        <v>25.353524229074896</v>
      </c>
      <c r="AM605" s="46">
        <f t="shared" ca="1" si="130"/>
        <v>5990</v>
      </c>
      <c r="AN605" s="46" t="b">
        <f t="shared" si="131"/>
        <v>0</v>
      </c>
      <c r="AO605" s="50" t="b">
        <f t="shared" si="132"/>
        <v>0</v>
      </c>
    </row>
    <row r="606" spans="21:41" x14ac:dyDescent="0.2">
      <c r="U606" s="46">
        <f t="shared" si="123"/>
        <v>5992</v>
      </c>
      <c r="V606" s="46">
        <f t="shared" si="124"/>
        <v>6001</v>
      </c>
      <c r="W606" s="33" t="e">
        <f>IFERROR(AVERAGEIFS(data_brute!M:M,data_brute!J:J,"&lt;="&amp;V606,data_brute!J:J,"&gt;="&amp;U606),NA())</f>
        <v>#N/A</v>
      </c>
      <c r="X606" s="46" t="e">
        <f t="shared" si="125"/>
        <v>#N/A</v>
      </c>
      <c r="Y606" s="2" t="b">
        <f t="shared" si="126"/>
        <v>0</v>
      </c>
      <c r="Z606" s="2" t="b">
        <f t="shared" si="127"/>
        <v>0</v>
      </c>
      <c r="AE606" s="46">
        <f t="shared" si="133"/>
        <v>5992</v>
      </c>
      <c r="AF606" s="46">
        <f t="shared" si="134"/>
        <v>6001</v>
      </c>
      <c r="AG606" s="33" t="e">
        <f>IFERROR(AVERAGEIFS(data_brute!M:M,data_brute!J:J,"&gt;="&amp;AE606,data_brute!J:J,"&lt;="&amp;AF606),NA())</f>
        <v>#N/A</v>
      </c>
      <c r="AH606" s="46" t="e">
        <f t="shared" si="135"/>
        <v>#N/A</v>
      </c>
      <c r="AJ606" s="46">
        <f t="shared" si="128"/>
        <v>5992</v>
      </c>
      <c r="AK606" s="46">
        <f t="shared" si="129"/>
        <v>6001</v>
      </c>
      <c r="AL606" s="33">
        <f ca="1">IFERROR(AVERAGEIFS(data_brute!M:M,data_brute!J:J,"&lt;="&amp;AK606),NA())</f>
        <v>25.353524229074896</v>
      </c>
      <c r="AM606" s="46">
        <f t="shared" ca="1" si="130"/>
        <v>6000</v>
      </c>
      <c r="AN606" s="46" t="b">
        <f t="shared" si="131"/>
        <v>0</v>
      </c>
      <c r="AO606" s="50" t="b">
        <f t="shared" si="132"/>
        <v>0</v>
      </c>
    </row>
    <row r="607" spans="21:41" x14ac:dyDescent="0.2">
      <c r="U607" s="46">
        <f t="shared" si="123"/>
        <v>6002</v>
      </c>
      <c r="V607" s="46">
        <f t="shared" si="124"/>
        <v>6011</v>
      </c>
      <c r="W607" s="33" t="e">
        <f>IFERROR(AVERAGEIFS(data_brute!M:M,data_brute!J:J,"&lt;="&amp;V607,data_brute!J:J,"&gt;="&amp;U607),NA())</f>
        <v>#N/A</v>
      </c>
      <c r="X607" s="46" t="e">
        <f t="shared" si="125"/>
        <v>#N/A</v>
      </c>
      <c r="Y607" s="2" t="b">
        <f t="shared" si="126"/>
        <v>0</v>
      </c>
      <c r="Z607" s="2" t="b">
        <f t="shared" si="127"/>
        <v>0</v>
      </c>
      <c r="AE607" s="46">
        <f t="shared" si="133"/>
        <v>6002</v>
      </c>
      <c r="AF607" s="46">
        <f t="shared" si="134"/>
        <v>6011</v>
      </c>
      <c r="AG607" s="33" t="e">
        <f>IFERROR(AVERAGEIFS(data_brute!M:M,data_brute!J:J,"&gt;="&amp;AE607,data_brute!J:J,"&lt;="&amp;AF607),NA())</f>
        <v>#N/A</v>
      </c>
      <c r="AH607" s="46" t="e">
        <f t="shared" si="135"/>
        <v>#N/A</v>
      </c>
      <c r="AJ607" s="46">
        <f t="shared" si="128"/>
        <v>6002</v>
      </c>
      <c r="AK607" s="46">
        <f t="shared" si="129"/>
        <v>6011</v>
      </c>
      <c r="AL607" s="33">
        <f ca="1">IFERROR(AVERAGEIFS(data_brute!M:M,data_brute!J:J,"&lt;="&amp;AK607),NA())</f>
        <v>25.353524229074896</v>
      </c>
      <c r="AM607" s="46">
        <f t="shared" ca="1" si="130"/>
        <v>6010</v>
      </c>
      <c r="AN607" s="46" t="b">
        <f t="shared" si="131"/>
        <v>0</v>
      </c>
      <c r="AO607" s="50" t="b">
        <f t="shared" si="132"/>
        <v>0</v>
      </c>
    </row>
    <row r="608" spans="21:41" x14ac:dyDescent="0.2">
      <c r="U608" s="46">
        <f t="shared" si="123"/>
        <v>6012</v>
      </c>
      <c r="V608" s="46">
        <f t="shared" si="124"/>
        <v>6021</v>
      </c>
      <c r="W608" s="33" t="e">
        <f>IFERROR(AVERAGEIFS(data_brute!M:M,data_brute!J:J,"&lt;="&amp;V608,data_brute!J:J,"&gt;="&amp;U608),NA())</f>
        <v>#N/A</v>
      </c>
      <c r="X608" s="46" t="e">
        <f t="shared" si="125"/>
        <v>#N/A</v>
      </c>
      <c r="Y608" s="2" t="b">
        <f t="shared" si="126"/>
        <v>0</v>
      </c>
      <c r="Z608" s="2" t="b">
        <f t="shared" si="127"/>
        <v>0</v>
      </c>
      <c r="AE608" s="46">
        <f t="shared" si="133"/>
        <v>6012</v>
      </c>
      <c r="AF608" s="46">
        <f t="shared" si="134"/>
        <v>6021</v>
      </c>
      <c r="AG608" s="33" t="e">
        <f>IFERROR(AVERAGEIFS(data_brute!M:M,data_brute!J:J,"&gt;="&amp;AE608,data_brute!J:J,"&lt;="&amp;AF608),NA())</f>
        <v>#N/A</v>
      </c>
      <c r="AH608" s="46" t="e">
        <f t="shared" si="135"/>
        <v>#N/A</v>
      </c>
      <c r="AJ608" s="46">
        <f t="shared" si="128"/>
        <v>6012</v>
      </c>
      <c r="AK608" s="46">
        <f t="shared" si="129"/>
        <v>6021</v>
      </c>
      <c r="AL608" s="33">
        <f ca="1">IFERROR(AVERAGEIFS(data_brute!M:M,data_brute!J:J,"&lt;="&amp;AK608),NA())</f>
        <v>25.353524229074896</v>
      </c>
      <c r="AM608" s="46">
        <f t="shared" ca="1" si="130"/>
        <v>6020</v>
      </c>
      <c r="AN608" s="46" t="b">
        <f t="shared" si="131"/>
        <v>0</v>
      </c>
      <c r="AO608" s="50" t="b">
        <f t="shared" si="132"/>
        <v>0</v>
      </c>
    </row>
    <row r="609" spans="21:41" x14ac:dyDescent="0.2">
      <c r="U609" s="46">
        <f t="shared" si="123"/>
        <v>6022</v>
      </c>
      <c r="V609" s="46">
        <f t="shared" si="124"/>
        <v>6031</v>
      </c>
      <c r="W609" s="33" t="e">
        <f>IFERROR(AVERAGEIFS(data_brute!M:M,data_brute!J:J,"&lt;="&amp;V609,data_brute!J:J,"&gt;="&amp;U609),NA())</f>
        <v>#N/A</v>
      </c>
      <c r="X609" s="46" t="e">
        <f t="shared" si="125"/>
        <v>#N/A</v>
      </c>
      <c r="Y609" s="2" t="b">
        <f t="shared" si="126"/>
        <v>0</v>
      </c>
      <c r="Z609" s="2" t="b">
        <f t="shared" si="127"/>
        <v>0</v>
      </c>
      <c r="AE609" s="46">
        <f t="shared" si="133"/>
        <v>6022</v>
      </c>
      <c r="AF609" s="46">
        <f t="shared" si="134"/>
        <v>6031</v>
      </c>
      <c r="AG609" s="33" t="e">
        <f>IFERROR(AVERAGEIFS(data_brute!M:M,data_brute!J:J,"&gt;="&amp;AE609,data_brute!J:J,"&lt;="&amp;AF609),NA())</f>
        <v>#N/A</v>
      </c>
      <c r="AH609" s="46" t="e">
        <f t="shared" si="135"/>
        <v>#N/A</v>
      </c>
      <c r="AJ609" s="46">
        <f t="shared" si="128"/>
        <v>6022</v>
      </c>
      <c r="AK609" s="46">
        <f t="shared" si="129"/>
        <v>6031</v>
      </c>
      <c r="AL609" s="33">
        <f ca="1">IFERROR(AVERAGEIFS(data_brute!M:M,data_brute!J:J,"&lt;="&amp;AK609),NA())</f>
        <v>25.353524229074896</v>
      </c>
      <c r="AM609" s="46">
        <f t="shared" ca="1" si="130"/>
        <v>6030</v>
      </c>
      <c r="AN609" s="46" t="b">
        <f t="shared" si="131"/>
        <v>0</v>
      </c>
      <c r="AO609" s="50" t="b">
        <f t="shared" si="132"/>
        <v>0</v>
      </c>
    </row>
    <row r="610" spans="21:41" x14ac:dyDescent="0.2">
      <c r="U610" s="46">
        <f t="shared" si="123"/>
        <v>6032</v>
      </c>
      <c r="V610" s="46">
        <f t="shared" si="124"/>
        <v>6041</v>
      </c>
      <c r="W610" s="33" t="e">
        <f>IFERROR(AVERAGEIFS(data_brute!M:M,data_brute!J:J,"&lt;="&amp;V610,data_brute!J:J,"&gt;="&amp;U610),NA())</f>
        <v>#N/A</v>
      </c>
      <c r="X610" s="46" t="e">
        <f t="shared" si="125"/>
        <v>#N/A</v>
      </c>
      <c r="Y610" s="2" t="b">
        <f t="shared" si="126"/>
        <v>0</v>
      </c>
      <c r="Z610" s="2" t="b">
        <f t="shared" si="127"/>
        <v>0</v>
      </c>
      <c r="AE610" s="46">
        <f t="shared" si="133"/>
        <v>6032</v>
      </c>
      <c r="AF610" s="46">
        <f t="shared" si="134"/>
        <v>6041</v>
      </c>
      <c r="AG610" s="33" t="e">
        <f>IFERROR(AVERAGEIFS(data_brute!M:M,data_brute!J:J,"&gt;="&amp;AE610,data_brute!J:J,"&lt;="&amp;AF610),NA())</f>
        <v>#N/A</v>
      </c>
      <c r="AH610" s="46" t="e">
        <f t="shared" si="135"/>
        <v>#N/A</v>
      </c>
      <c r="AJ610" s="46">
        <f t="shared" si="128"/>
        <v>6032</v>
      </c>
      <c r="AK610" s="46">
        <f t="shared" si="129"/>
        <v>6041</v>
      </c>
      <c r="AL610" s="33">
        <f ca="1">IFERROR(AVERAGEIFS(data_brute!M:M,data_brute!J:J,"&lt;="&amp;AK610),NA())</f>
        <v>25.353524229074896</v>
      </c>
      <c r="AM610" s="46">
        <f t="shared" ca="1" si="130"/>
        <v>6040</v>
      </c>
      <c r="AN610" s="46" t="b">
        <f t="shared" si="131"/>
        <v>0</v>
      </c>
      <c r="AO610" s="50" t="b">
        <f t="shared" si="132"/>
        <v>0</v>
      </c>
    </row>
    <row r="611" spans="21:41" x14ac:dyDescent="0.2">
      <c r="U611" s="46">
        <f t="shared" ref="U611:U674" si="136">V610+1</f>
        <v>6042</v>
      </c>
      <c r="V611" s="46">
        <f t="shared" ref="V611:V674" si="137">U611+$AG$2-1</f>
        <v>6051</v>
      </c>
      <c r="W611" s="33" t="e">
        <f>IFERROR(AVERAGEIFS(data_brute!M:M,data_brute!J:J,"&lt;="&amp;V611,data_brute!J:J,"&gt;="&amp;U611),NA())</f>
        <v>#N/A</v>
      </c>
      <c r="X611" s="46" t="e">
        <f t="shared" ref="X611:X674" si="138">IF(W611&lt;&gt;"",$AG$2*(ROW()-ROW($AH$6)),NA())</f>
        <v>#N/A</v>
      </c>
      <c r="Y611" s="2" t="b">
        <f t="shared" ref="Y611:Y674" si="139">IF(AND($F$5&gt;=U611,$F$5&lt;=V611,V611=$F$5),TRUE,FALSE)</f>
        <v>0</v>
      </c>
      <c r="Z611" s="2" t="b">
        <f t="shared" ref="Z611:Z674" si="140">IF(AND($F$5&gt;=U611,$F$5&lt;=V611),TRUE,FALSE)</f>
        <v>0</v>
      </c>
      <c r="AE611" s="46">
        <f t="shared" si="133"/>
        <v>6042</v>
      </c>
      <c r="AF611" s="46">
        <f t="shared" si="134"/>
        <v>6051</v>
      </c>
      <c r="AG611" s="33" t="e">
        <f>IFERROR(AVERAGEIFS(data_brute!M:M,data_brute!J:J,"&gt;="&amp;AE611,data_brute!J:J,"&lt;="&amp;AF611),NA())</f>
        <v>#N/A</v>
      </c>
      <c r="AH611" s="46" t="e">
        <f t="shared" si="135"/>
        <v>#N/A</v>
      </c>
      <c r="AJ611" s="46">
        <f t="shared" si="128"/>
        <v>6042</v>
      </c>
      <c r="AK611" s="46">
        <f t="shared" si="129"/>
        <v>6051</v>
      </c>
      <c r="AL611" s="33">
        <f ca="1">IFERROR(AVERAGEIFS(data_brute!M:M,data_brute!J:J,"&lt;="&amp;AK611),NA())</f>
        <v>25.353524229074896</v>
      </c>
      <c r="AM611" s="46">
        <f t="shared" ca="1" si="130"/>
        <v>6050</v>
      </c>
      <c r="AN611" s="46" t="b">
        <f t="shared" si="131"/>
        <v>0</v>
      </c>
      <c r="AO611" s="50" t="b">
        <f t="shared" si="132"/>
        <v>0</v>
      </c>
    </row>
    <row r="612" spans="21:41" x14ac:dyDescent="0.2">
      <c r="U612" s="46">
        <f t="shared" si="136"/>
        <v>6052</v>
      </c>
      <c r="V612" s="46">
        <f t="shared" si="137"/>
        <v>6061</v>
      </c>
      <c r="W612" s="33" t="e">
        <f>IFERROR(AVERAGEIFS(data_brute!M:M,data_brute!J:J,"&lt;="&amp;V612,data_brute!J:J,"&gt;="&amp;U612),NA())</f>
        <v>#N/A</v>
      </c>
      <c r="X612" s="46" t="e">
        <f t="shared" si="138"/>
        <v>#N/A</v>
      </c>
      <c r="Y612" s="2" t="b">
        <f t="shared" si="139"/>
        <v>0</v>
      </c>
      <c r="Z612" s="2" t="b">
        <f t="shared" si="140"/>
        <v>0</v>
      </c>
      <c r="AE612" s="46">
        <f t="shared" si="133"/>
        <v>6052</v>
      </c>
      <c r="AF612" s="46">
        <f t="shared" si="134"/>
        <v>6061</v>
      </c>
      <c r="AG612" s="33" t="e">
        <f>IFERROR(AVERAGEIFS(data_brute!M:M,data_brute!J:J,"&gt;="&amp;AE612,data_brute!J:J,"&lt;="&amp;AF612),NA())</f>
        <v>#N/A</v>
      </c>
      <c r="AH612" s="46" t="e">
        <f t="shared" si="135"/>
        <v>#N/A</v>
      </c>
      <c r="AJ612" s="46">
        <f t="shared" ref="AJ612:AJ675" si="141">AK611+1</f>
        <v>6052</v>
      </c>
      <c r="AK612" s="46">
        <f t="shared" ref="AK612:AK675" si="142">AJ612+$AG$2-1</f>
        <v>6061</v>
      </c>
      <c r="AL612" s="33">
        <f ca="1">IFERROR(AVERAGEIFS(data_brute!M:M,data_brute!J:J,"&lt;="&amp;AK612),NA())</f>
        <v>25.353524229074896</v>
      </c>
      <c r="AM612" s="46">
        <f t="shared" ref="AM612:AM675" ca="1" si="143">IF(AL612&lt;&gt;"",$AG$2*(ROW()-ROW($AH$6)),NA())</f>
        <v>6060</v>
      </c>
      <c r="AN612" s="46" t="b">
        <f t="shared" ref="AN612:AN675" si="144">IF(AND($F$5&gt;=AJ612,$F$5&lt;=AK612,AK612=$F$5),TRUE,FALSE)</f>
        <v>0</v>
      </c>
      <c r="AO612" s="50" t="b">
        <f t="shared" ref="AO612:AO675" si="145">IF(AND($F$5&gt;=AJ612,$F$5&lt;=AK612),TRUE,FALSE)</f>
        <v>0</v>
      </c>
    </row>
    <row r="613" spans="21:41" x14ac:dyDescent="0.2">
      <c r="U613" s="46">
        <f t="shared" si="136"/>
        <v>6062</v>
      </c>
      <c r="V613" s="46">
        <f t="shared" si="137"/>
        <v>6071</v>
      </c>
      <c r="W613" s="33" t="e">
        <f>IFERROR(AVERAGEIFS(data_brute!M:M,data_brute!J:J,"&lt;="&amp;V613,data_brute!J:J,"&gt;="&amp;U613),NA())</f>
        <v>#N/A</v>
      </c>
      <c r="X613" s="46" t="e">
        <f t="shared" si="138"/>
        <v>#N/A</v>
      </c>
      <c r="Y613" s="2" t="b">
        <f t="shared" si="139"/>
        <v>0</v>
      </c>
      <c r="Z613" s="2" t="b">
        <f t="shared" si="140"/>
        <v>0</v>
      </c>
      <c r="AE613" s="46">
        <f t="shared" si="133"/>
        <v>6062</v>
      </c>
      <c r="AF613" s="46">
        <f t="shared" si="134"/>
        <v>6071</v>
      </c>
      <c r="AG613" s="33" t="e">
        <f>IFERROR(AVERAGEIFS(data_brute!M:M,data_brute!J:J,"&gt;="&amp;AE613,data_brute!J:J,"&lt;="&amp;AF613),NA())</f>
        <v>#N/A</v>
      </c>
      <c r="AH613" s="46" t="e">
        <f t="shared" si="135"/>
        <v>#N/A</v>
      </c>
      <c r="AJ613" s="46">
        <f t="shared" si="141"/>
        <v>6062</v>
      </c>
      <c r="AK613" s="46">
        <f t="shared" si="142"/>
        <v>6071</v>
      </c>
      <c r="AL613" s="33">
        <f ca="1">IFERROR(AVERAGEIFS(data_brute!M:M,data_brute!J:J,"&lt;="&amp;AK613),NA())</f>
        <v>25.353524229074896</v>
      </c>
      <c r="AM613" s="46">
        <f t="shared" ca="1" si="143"/>
        <v>6070</v>
      </c>
      <c r="AN613" s="46" t="b">
        <f t="shared" si="144"/>
        <v>0</v>
      </c>
      <c r="AO613" s="50" t="b">
        <f t="shared" si="145"/>
        <v>0</v>
      </c>
    </row>
    <row r="614" spans="21:41" x14ac:dyDescent="0.2">
      <c r="U614" s="46">
        <f t="shared" si="136"/>
        <v>6072</v>
      </c>
      <c r="V614" s="46">
        <f t="shared" si="137"/>
        <v>6081</v>
      </c>
      <c r="W614" s="33" t="e">
        <f>IFERROR(AVERAGEIFS(data_brute!M:M,data_brute!J:J,"&lt;="&amp;V614,data_brute!J:J,"&gt;="&amp;U614),NA())</f>
        <v>#N/A</v>
      </c>
      <c r="X614" s="46" t="e">
        <f t="shared" si="138"/>
        <v>#N/A</v>
      </c>
      <c r="Y614" s="2" t="b">
        <f t="shared" si="139"/>
        <v>0</v>
      </c>
      <c r="Z614" s="2" t="b">
        <f t="shared" si="140"/>
        <v>0</v>
      </c>
      <c r="AE614" s="46">
        <f t="shared" si="133"/>
        <v>6072</v>
      </c>
      <c r="AF614" s="46">
        <f t="shared" si="134"/>
        <v>6081</v>
      </c>
      <c r="AG614" s="33" t="e">
        <f>IFERROR(AVERAGEIFS(data_brute!M:M,data_brute!J:J,"&gt;="&amp;AE614,data_brute!J:J,"&lt;="&amp;AF614),NA())</f>
        <v>#N/A</v>
      </c>
      <c r="AH614" s="46" t="e">
        <f t="shared" si="135"/>
        <v>#N/A</v>
      </c>
      <c r="AJ614" s="46">
        <f t="shared" si="141"/>
        <v>6072</v>
      </c>
      <c r="AK614" s="46">
        <f t="shared" si="142"/>
        <v>6081</v>
      </c>
      <c r="AL614" s="33">
        <f ca="1">IFERROR(AVERAGEIFS(data_brute!M:M,data_brute!J:J,"&lt;="&amp;AK614),NA())</f>
        <v>25.353524229074896</v>
      </c>
      <c r="AM614" s="46">
        <f t="shared" ca="1" si="143"/>
        <v>6080</v>
      </c>
      <c r="AN614" s="46" t="b">
        <f t="shared" si="144"/>
        <v>0</v>
      </c>
      <c r="AO614" s="50" t="b">
        <f t="shared" si="145"/>
        <v>0</v>
      </c>
    </row>
    <row r="615" spans="21:41" x14ac:dyDescent="0.2">
      <c r="U615" s="46">
        <f t="shared" si="136"/>
        <v>6082</v>
      </c>
      <c r="V615" s="46">
        <f t="shared" si="137"/>
        <v>6091</v>
      </c>
      <c r="W615" s="33" t="e">
        <f>IFERROR(AVERAGEIFS(data_brute!M:M,data_brute!J:J,"&lt;="&amp;V615,data_brute!J:J,"&gt;="&amp;U615),NA())</f>
        <v>#N/A</v>
      </c>
      <c r="X615" s="46" t="e">
        <f t="shared" si="138"/>
        <v>#N/A</v>
      </c>
      <c r="Y615" s="2" t="b">
        <f t="shared" si="139"/>
        <v>0</v>
      </c>
      <c r="Z615" s="2" t="b">
        <f t="shared" si="140"/>
        <v>0</v>
      </c>
      <c r="AE615" s="46">
        <f t="shared" si="133"/>
        <v>6082</v>
      </c>
      <c r="AF615" s="46">
        <f t="shared" si="134"/>
        <v>6091</v>
      </c>
      <c r="AG615" s="33" t="e">
        <f>IFERROR(AVERAGEIFS(data_brute!M:M,data_brute!J:J,"&gt;="&amp;AE615,data_brute!J:J,"&lt;="&amp;AF615),NA())</f>
        <v>#N/A</v>
      </c>
      <c r="AH615" s="46" t="e">
        <f t="shared" si="135"/>
        <v>#N/A</v>
      </c>
      <c r="AJ615" s="46">
        <f t="shared" si="141"/>
        <v>6082</v>
      </c>
      <c r="AK615" s="46">
        <f t="shared" si="142"/>
        <v>6091</v>
      </c>
      <c r="AL615" s="33">
        <f ca="1">IFERROR(AVERAGEIFS(data_brute!M:M,data_brute!J:J,"&lt;="&amp;AK615),NA())</f>
        <v>25.353524229074896</v>
      </c>
      <c r="AM615" s="46">
        <f t="shared" ca="1" si="143"/>
        <v>6090</v>
      </c>
      <c r="AN615" s="46" t="b">
        <f t="shared" si="144"/>
        <v>0</v>
      </c>
      <c r="AO615" s="50" t="b">
        <f t="shared" si="145"/>
        <v>0</v>
      </c>
    </row>
    <row r="616" spans="21:41" x14ac:dyDescent="0.2">
      <c r="U616" s="46">
        <f t="shared" si="136"/>
        <v>6092</v>
      </c>
      <c r="V616" s="46">
        <f t="shared" si="137"/>
        <v>6101</v>
      </c>
      <c r="W616" s="33" t="e">
        <f>IFERROR(AVERAGEIFS(data_brute!M:M,data_brute!J:J,"&lt;="&amp;V616,data_brute!J:J,"&gt;="&amp;U616),NA())</f>
        <v>#N/A</v>
      </c>
      <c r="X616" s="46" t="e">
        <f t="shared" si="138"/>
        <v>#N/A</v>
      </c>
      <c r="Y616" s="2" t="b">
        <f t="shared" si="139"/>
        <v>0</v>
      </c>
      <c r="Z616" s="2" t="b">
        <f t="shared" si="140"/>
        <v>0</v>
      </c>
      <c r="AE616" s="46">
        <f t="shared" si="133"/>
        <v>6092</v>
      </c>
      <c r="AF616" s="46">
        <f t="shared" si="134"/>
        <v>6101</v>
      </c>
      <c r="AG616" s="33" t="e">
        <f>IFERROR(AVERAGEIFS(data_brute!M:M,data_brute!J:J,"&gt;="&amp;AE616,data_brute!J:J,"&lt;="&amp;AF616),NA())</f>
        <v>#N/A</v>
      </c>
      <c r="AH616" s="46" t="e">
        <f t="shared" si="135"/>
        <v>#N/A</v>
      </c>
      <c r="AJ616" s="46">
        <f t="shared" si="141"/>
        <v>6092</v>
      </c>
      <c r="AK616" s="46">
        <f t="shared" si="142"/>
        <v>6101</v>
      </c>
      <c r="AL616" s="33">
        <f ca="1">IFERROR(AVERAGEIFS(data_brute!M:M,data_brute!J:J,"&lt;="&amp;AK616),NA())</f>
        <v>25.353524229074896</v>
      </c>
      <c r="AM616" s="46">
        <f t="shared" ca="1" si="143"/>
        <v>6100</v>
      </c>
      <c r="AN616" s="46" t="b">
        <f t="shared" si="144"/>
        <v>0</v>
      </c>
      <c r="AO616" s="50" t="b">
        <f t="shared" si="145"/>
        <v>0</v>
      </c>
    </row>
    <row r="617" spans="21:41" x14ac:dyDescent="0.2">
      <c r="U617" s="46">
        <f t="shared" si="136"/>
        <v>6102</v>
      </c>
      <c r="V617" s="46">
        <f t="shared" si="137"/>
        <v>6111</v>
      </c>
      <c r="W617" s="33" t="e">
        <f>IFERROR(AVERAGEIFS(data_brute!M:M,data_brute!J:J,"&lt;="&amp;V617,data_brute!J:J,"&gt;="&amp;U617),NA())</f>
        <v>#N/A</v>
      </c>
      <c r="X617" s="46" t="e">
        <f t="shared" si="138"/>
        <v>#N/A</v>
      </c>
      <c r="Y617" s="2" t="b">
        <f t="shared" si="139"/>
        <v>0</v>
      </c>
      <c r="Z617" s="2" t="b">
        <f t="shared" si="140"/>
        <v>0</v>
      </c>
      <c r="AE617" s="46">
        <f t="shared" si="133"/>
        <v>6102</v>
      </c>
      <c r="AF617" s="46">
        <f t="shared" si="134"/>
        <v>6111</v>
      </c>
      <c r="AG617" s="33" t="e">
        <f>IFERROR(AVERAGEIFS(data_brute!M:M,data_brute!J:J,"&gt;="&amp;AE617,data_brute!J:J,"&lt;="&amp;AF617),NA())</f>
        <v>#N/A</v>
      </c>
      <c r="AH617" s="46" t="e">
        <f t="shared" si="135"/>
        <v>#N/A</v>
      </c>
      <c r="AJ617" s="46">
        <f t="shared" si="141"/>
        <v>6102</v>
      </c>
      <c r="AK617" s="46">
        <f t="shared" si="142"/>
        <v>6111</v>
      </c>
      <c r="AL617" s="33">
        <f ca="1">IFERROR(AVERAGEIFS(data_brute!M:M,data_brute!J:J,"&lt;="&amp;AK617),NA())</f>
        <v>25.353524229074896</v>
      </c>
      <c r="AM617" s="46">
        <f t="shared" ca="1" si="143"/>
        <v>6110</v>
      </c>
      <c r="AN617" s="46" t="b">
        <f t="shared" si="144"/>
        <v>0</v>
      </c>
      <c r="AO617" s="50" t="b">
        <f t="shared" si="145"/>
        <v>0</v>
      </c>
    </row>
    <row r="618" spans="21:41" x14ac:dyDescent="0.2">
      <c r="U618" s="46">
        <f t="shared" si="136"/>
        <v>6112</v>
      </c>
      <c r="V618" s="46">
        <f t="shared" si="137"/>
        <v>6121</v>
      </c>
      <c r="W618" s="33" t="e">
        <f>IFERROR(AVERAGEIFS(data_brute!M:M,data_brute!J:J,"&lt;="&amp;V618,data_brute!J:J,"&gt;="&amp;U618),NA())</f>
        <v>#N/A</v>
      </c>
      <c r="X618" s="46" t="e">
        <f t="shared" si="138"/>
        <v>#N/A</v>
      </c>
      <c r="Y618" s="2" t="b">
        <f t="shared" si="139"/>
        <v>0</v>
      </c>
      <c r="Z618" s="2" t="b">
        <f t="shared" si="140"/>
        <v>0</v>
      </c>
      <c r="AE618" s="46">
        <f t="shared" si="133"/>
        <v>6112</v>
      </c>
      <c r="AF618" s="46">
        <f t="shared" si="134"/>
        <v>6121</v>
      </c>
      <c r="AG618" s="33" t="e">
        <f>IFERROR(AVERAGEIFS(data_brute!M:M,data_brute!J:J,"&gt;="&amp;AE618,data_brute!J:J,"&lt;="&amp;AF618),NA())</f>
        <v>#N/A</v>
      </c>
      <c r="AH618" s="46" t="e">
        <f t="shared" si="135"/>
        <v>#N/A</v>
      </c>
      <c r="AJ618" s="46">
        <f t="shared" si="141"/>
        <v>6112</v>
      </c>
      <c r="AK618" s="46">
        <f t="shared" si="142"/>
        <v>6121</v>
      </c>
      <c r="AL618" s="33">
        <f ca="1">IFERROR(AVERAGEIFS(data_brute!M:M,data_brute!J:J,"&lt;="&amp;AK618),NA())</f>
        <v>25.353524229074896</v>
      </c>
      <c r="AM618" s="46">
        <f t="shared" ca="1" si="143"/>
        <v>6120</v>
      </c>
      <c r="AN618" s="46" t="b">
        <f t="shared" si="144"/>
        <v>0</v>
      </c>
      <c r="AO618" s="50" t="b">
        <f t="shared" si="145"/>
        <v>0</v>
      </c>
    </row>
    <row r="619" spans="21:41" x14ac:dyDescent="0.2">
      <c r="U619" s="46">
        <f t="shared" si="136"/>
        <v>6122</v>
      </c>
      <c r="V619" s="46">
        <f t="shared" si="137"/>
        <v>6131</v>
      </c>
      <c r="W619" s="33" t="e">
        <f>IFERROR(AVERAGEIFS(data_brute!M:M,data_brute!J:J,"&lt;="&amp;V619,data_brute!J:J,"&gt;="&amp;U619),NA())</f>
        <v>#N/A</v>
      </c>
      <c r="X619" s="46" t="e">
        <f t="shared" si="138"/>
        <v>#N/A</v>
      </c>
      <c r="Y619" s="2" t="b">
        <f t="shared" si="139"/>
        <v>0</v>
      </c>
      <c r="Z619" s="2" t="b">
        <f t="shared" si="140"/>
        <v>0</v>
      </c>
      <c r="AE619" s="46">
        <f t="shared" si="133"/>
        <v>6122</v>
      </c>
      <c r="AF619" s="46">
        <f t="shared" si="134"/>
        <v>6131</v>
      </c>
      <c r="AG619" s="33" t="e">
        <f>IFERROR(AVERAGEIFS(data_brute!M:M,data_brute!J:J,"&gt;="&amp;AE619,data_brute!J:J,"&lt;="&amp;AF619),NA())</f>
        <v>#N/A</v>
      </c>
      <c r="AH619" s="46" t="e">
        <f t="shared" si="135"/>
        <v>#N/A</v>
      </c>
      <c r="AJ619" s="46">
        <f t="shared" si="141"/>
        <v>6122</v>
      </c>
      <c r="AK619" s="46">
        <f t="shared" si="142"/>
        <v>6131</v>
      </c>
      <c r="AL619" s="33">
        <f ca="1">IFERROR(AVERAGEIFS(data_brute!M:M,data_brute!J:J,"&lt;="&amp;AK619),NA())</f>
        <v>25.353524229074896</v>
      </c>
      <c r="AM619" s="46">
        <f t="shared" ca="1" si="143"/>
        <v>6130</v>
      </c>
      <c r="AN619" s="46" t="b">
        <f t="shared" si="144"/>
        <v>0</v>
      </c>
      <c r="AO619" s="50" t="b">
        <f t="shared" si="145"/>
        <v>0</v>
      </c>
    </row>
    <row r="620" spans="21:41" x14ac:dyDescent="0.2">
      <c r="U620" s="46">
        <f t="shared" si="136"/>
        <v>6132</v>
      </c>
      <c r="V620" s="46">
        <f t="shared" si="137"/>
        <v>6141</v>
      </c>
      <c r="W620" s="33" t="e">
        <f>IFERROR(AVERAGEIFS(data_brute!M:M,data_brute!J:J,"&lt;="&amp;V620,data_brute!J:J,"&gt;="&amp;U620),NA())</f>
        <v>#N/A</v>
      </c>
      <c r="X620" s="46" t="e">
        <f t="shared" si="138"/>
        <v>#N/A</v>
      </c>
      <c r="Y620" s="2" t="b">
        <f t="shared" si="139"/>
        <v>0</v>
      </c>
      <c r="Z620" s="2" t="b">
        <f t="shared" si="140"/>
        <v>0</v>
      </c>
      <c r="AE620" s="46">
        <f t="shared" si="133"/>
        <v>6132</v>
      </c>
      <c r="AF620" s="46">
        <f t="shared" si="134"/>
        <v>6141</v>
      </c>
      <c r="AG620" s="33" t="e">
        <f>IFERROR(AVERAGEIFS(data_brute!M:M,data_brute!J:J,"&gt;="&amp;AE620,data_brute!J:J,"&lt;="&amp;AF620),NA())</f>
        <v>#N/A</v>
      </c>
      <c r="AH620" s="46" t="e">
        <f t="shared" si="135"/>
        <v>#N/A</v>
      </c>
      <c r="AJ620" s="46">
        <f t="shared" si="141"/>
        <v>6132</v>
      </c>
      <c r="AK620" s="46">
        <f t="shared" si="142"/>
        <v>6141</v>
      </c>
      <c r="AL620" s="33">
        <f ca="1">IFERROR(AVERAGEIFS(data_brute!M:M,data_brute!J:J,"&lt;="&amp;AK620),NA())</f>
        <v>25.353524229074896</v>
      </c>
      <c r="AM620" s="46">
        <f t="shared" ca="1" si="143"/>
        <v>6140</v>
      </c>
      <c r="AN620" s="46" t="b">
        <f t="shared" si="144"/>
        <v>0</v>
      </c>
      <c r="AO620" s="50" t="b">
        <f t="shared" si="145"/>
        <v>0</v>
      </c>
    </row>
    <row r="621" spans="21:41" x14ac:dyDescent="0.2">
      <c r="U621" s="46">
        <f t="shared" si="136"/>
        <v>6142</v>
      </c>
      <c r="V621" s="46">
        <f t="shared" si="137"/>
        <v>6151</v>
      </c>
      <c r="W621" s="33" t="e">
        <f>IFERROR(AVERAGEIFS(data_brute!M:M,data_brute!J:J,"&lt;="&amp;V621,data_brute!J:J,"&gt;="&amp;U621),NA())</f>
        <v>#N/A</v>
      </c>
      <c r="X621" s="46" t="e">
        <f t="shared" si="138"/>
        <v>#N/A</v>
      </c>
      <c r="Y621" s="2" t="b">
        <f t="shared" si="139"/>
        <v>0</v>
      </c>
      <c r="Z621" s="2" t="b">
        <f t="shared" si="140"/>
        <v>0</v>
      </c>
      <c r="AE621" s="46">
        <f t="shared" si="133"/>
        <v>6142</v>
      </c>
      <c r="AF621" s="46">
        <f t="shared" si="134"/>
        <v>6151</v>
      </c>
      <c r="AG621" s="33" t="e">
        <f>IFERROR(AVERAGEIFS(data_brute!M:M,data_brute!J:J,"&gt;="&amp;AE621,data_brute!J:J,"&lt;="&amp;AF621),NA())</f>
        <v>#N/A</v>
      </c>
      <c r="AH621" s="46" t="e">
        <f t="shared" si="135"/>
        <v>#N/A</v>
      </c>
      <c r="AJ621" s="46">
        <f t="shared" si="141"/>
        <v>6142</v>
      </c>
      <c r="AK621" s="46">
        <f t="shared" si="142"/>
        <v>6151</v>
      </c>
      <c r="AL621" s="33">
        <f ca="1">IFERROR(AVERAGEIFS(data_brute!M:M,data_brute!J:J,"&lt;="&amp;AK621),NA())</f>
        <v>25.353524229074896</v>
      </c>
      <c r="AM621" s="46">
        <f t="shared" ca="1" si="143"/>
        <v>6150</v>
      </c>
      <c r="AN621" s="46" t="b">
        <f t="shared" si="144"/>
        <v>0</v>
      </c>
      <c r="AO621" s="50" t="b">
        <f t="shared" si="145"/>
        <v>0</v>
      </c>
    </row>
    <row r="622" spans="21:41" x14ac:dyDescent="0.2">
      <c r="U622" s="46">
        <f t="shared" si="136"/>
        <v>6152</v>
      </c>
      <c r="V622" s="46">
        <f t="shared" si="137"/>
        <v>6161</v>
      </c>
      <c r="W622" s="33" t="e">
        <f>IFERROR(AVERAGEIFS(data_brute!M:M,data_brute!J:J,"&lt;="&amp;V622,data_brute!J:J,"&gt;="&amp;U622),NA())</f>
        <v>#N/A</v>
      </c>
      <c r="X622" s="46" t="e">
        <f t="shared" si="138"/>
        <v>#N/A</v>
      </c>
      <c r="Y622" s="2" t="b">
        <f t="shared" si="139"/>
        <v>0</v>
      </c>
      <c r="Z622" s="2" t="b">
        <f t="shared" si="140"/>
        <v>0</v>
      </c>
      <c r="AE622" s="46">
        <f t="shared" si="133"/>
        <v>6152</v>
      </c>
      <c r="AF622" s="46">
        <f t="shared" si="134"/>
        <v>6161</v>
      </c>
      <c r="AG622" s="33" t="e">
        <f>IFERROR(AVERAGEIFS(data_brute!M:M,data_brute!J:J,"&gt;="&amp;AE622,data_brute!J:J,"&lt;="&amp;AF622),NA())</f>
        <v>#N/A</v>
      </c>
      <c r="AH622" s="46" t="e">
        <f t="shared" si="135"/>
        <v>#N/A</v>
      </c>
      <c r="AJ622" s="46">
        <f t="shared" si="141"/>
        <v>6152</v>
      </c>
      <c r="AK622" s="46">
        <f t="shared" si="142"/>
        <v>6161</v>
      </c>
      <c r="AL622" s="33">
        <f ca="1">IFERROR(AVERAGEIFS(data_brute!M:M,data_brute!J:J,"&lt;="&amp;AK622),NA())</f>
        <v>25.353524229074896</v>
      </c>
      <c r="AM622" s="46">
        <f t="shared" ca="1" si="143"/>
        <v>6160</v>
      </c>
      <c r="AN622" s="46" t="b">
        <f t="shared" si="144"/>
        <v>0</v>
      </c>
      <c r="AO622" s="50" t="b">
        <f t="shared" si="145"/>
        <v>0</v>
      </c>
    </row>
    <row r="623" spans="21:41" x14ac:dyDescent="0.2">
      <c r="U623" s="46">
        <f t="shared" si="136"/>
        <v>6162</v>
      </c>
      <c r="V623" s="46">
        <f t="shared" si="137"/>
        <v>6171</v>
      </c>
      <c r="W623" s="33" t="e">
        <f>IFERROR(AVERAGEIFS(data_brute!M:M,data_brute!J:J,"&lt;="&amp;V623,data_brute!J:J,"&gt;="&amp;U623),NA())</f>
        <v>#N/A</v>
      </c>
      <c r="X623" s="46" t="e">
        <f t="shared" si="138"/>
        <v>#N/A</v>
      </c>
      <c r="Y623" s="2" t="b">
        <f t="shared" si="139"/>
        <v>0</v>
      </c>
      <c r="Z623" s="2" t="b">
        <f t="shared" si="140"/>
        <v>0</v>
      </c>
      <c r="AE623" s="46">
        <f t="shared" si="133"/>
        <v>6162</v>
      </c>
      <c r="AF623" s="46">
        <f t="shared" si="134"/>
        <v>6171</v>
      </c>
      <c r="AG623" s="33" t="e">
        <f>IFERROR(AVERAGEIFS(data_brute!M:M,data_brute!J:J,"&gt;="&amp;AE623,data_brute!J:J,"&lt;="&amp;AF623),NA())</f>
        <v>#N/A</v>
      </c>
      <c r="AH623" s="46" t="e">
        <f t="shared" si="135"/>
        <v>#N/A</v>
      </c>
      <c r="AJ623" s="46">
        <f t="shared" si="141"/>
        <v>6162</v>
      </c>
      <c r="AK623" s="46">
        <f t="shared" si="142"/>
        <v>6171</v>
      </c>
      <c r="AL623" s="33">
        <f ca="1">IFERROR(AVERAGEIFS(data_brute!M:M,data_brute!J:J,"&lt;="&amp;AK623),NA())</f>
        <v>25.353524229074896</v>
      </c>
      <c r="AM623" s="46">
        <f t="shared" ca="1" si="143"/>
        <v>6170</v>
      </c>
      <c r="AN623" s="46" t="b">
        <f t="shared" si="144"/>
        <v>0</v>
      </c>
      <c r="AO623" s="50" t="b">
        <f t="shared" si="145"/>
        <v>0</v>
      </c>
    </row>
    <row r="624" spans="21:41" x14ac:dyDescent="0.2">
      <c r="U624" s="46">
        <f t="shared" si="136"/>
        <v>6172</v>
      </c>
      <c r="V624" s="46">
        <f t="shared" si="137"/>
        <v>6181</v>
      </c>
      <c r="W624" s="33" t="e">
        <f>IFERROR(AVERAGEIFS(data_brute!M:M,data_brute!J:J,"&lt;="&amp;V624,data_brute!J:J,"&gt;="&amp;U624),NA())</f>
        <v>#N/A</v>
      </c>
      <c r="X624" s="46" t="e">
        <f t="shared" si="138"/>
        <v>#N/A</v>
      </c>
      <c r="Y624" s="2" t="b">
        <f t="shared" si="139"/>
        <v>0</v>
      </c>
      <c r="Z624" s="2" t="b">
        <f t="shared" si="140"/>
        <v>0</v>
      </c>
      <c r="AE624" s="46">
        <f t="shared" si="133"/>
        <v>6172</v>
      </c>
      <c r="AF624" s="46">
        <f t="shared" si="134"/>
        <v>6181</v>
      </c>
      <c r="AG624" s="33" t="e">
        <f>IFERROR(AVERAGEIFS(data_brute!M:M,data_brute!J:J,"&gt;="&amp;AE624,data_brute!J:J,"&lt;="&amp;AF624),NA())</f>
        <v>#N/A</v>
      </c>
      <c r="AH624" s="46" t="e">
        <f t="shared" si="135"/>
        <v>#N/A</v>
      </c>
      <c r="AJ624" s="46">
        <f t="shared" si="141"/>
        <v>6172</v>
      </c>
      <c r="AK624" s="46">
        <f t="shared" si="142"/>
        <v>6181</v>
      </c>
      <c r="AL624" s="33">
        <f ca="1">IFERROR(AVERAGEIFS(data_brute!M:M,data_brute!J:J,"&lt;="&amp;AK624),NA())</f>
        <v>25.353524229074896</v>
      </c>
      <c r="AM624" s="46">
        <f t="shared" ca="1" si="143"/>
        <v>6180</v>
      </c>
      <c r="AN624" s="46" t="b">
        <f t="shared" si="144"/>
        <v>0</v>
      </c>
      <c r="AO624" s="50" t="b">
        <f t="shared" si="145"/>
        <v>0</v>
      </c>
    </row>
    <row r="625" spans="21:41" x14ac:dyDescent="0.2">
      <c r="U625" s="46">
        <f t="shared" si="136"/>
        <v>6182</v>
      </c>
      <c r="V625" s="46">
        <f t="shared" si="137"/>
        <v>6191</v>
      </c>
      <c r="W625" s="33" t="e">
        <f>IFERROR(AVERAGEIFS(data_brute!M:M,data_brute!J:J,"&lt;="&amp;V625,data_brute!J:J,"&gt;="&amp;U625),NA())</f>
        <v>#N/A</v>
      </c>
      <c r="X625" s="46" t="e">
        <f t="shared" si="138"/>
        <v>#N/A</v>
      </c>
      <c r="Y625" s="2" t="b">
        <f t="shared" si="139"/>
        <v>0</v>
      </c>
      <c r="Z625" s="2" t="b">
        <f t="shared" si="140"/>
        <v>0</v>
      </c>
      <c r="AE625" s="46">
        <f t="shared" si="133"/>
        <v>6182</v>
      </c>
      <c r="AF625" s="46">
        <f t="shared" si="134"/>
        <v>6191</v>
      </c>
      <c r="AG625" s="33" t="e">
        <f>IFERROR(AVERAGEIFS(data_brute!M:M,data_brute!J:J,"&gt;="&amp;AE625,data_brute!J:J,"&lt;="&amp;AF625),NA())</f>
        <v>#N/A</v>
      </c>
      <c r="AH625" s="46" t="e">
        <f t="shared" si="135"/>
        <v>#N/A</v>
      </c>
      <c r="AJ625" s="46">
        <f t="shared" si="141"/>
        <v>6182</v>
      </c>
      <c r="AK625" s="46">
        <f t="shared" si="142"/>
        <v>6191</v>
      </c>
      <c r="AL625" s="33">
        <f ca="1">IFERROR(AVERAGEIFS(data_brute!M:M,data_brute!J:J,"&lt;="&amp;AK625),NA())</f>
        <v>25.353524229074896</v>
      </c>
      <c r="AM625" s="46">
        <f t="shared" ca="1" si="143"/>
        <v>6190</v>
      </c>
      <c r="AN625" s="46" t="b">
        <f t="shared" si="144"/>
        <v>0</v>
      </c>
      <c r="AO625" s="50" t="b">
        <f t="shared" si="145"/>
        <v>0</v>
      </c>
    </row>
    <row r="626" spans="21:41" x14ac:dyDescent="0.2">
      <c r="U626" s="46">
        <f t="shared" si="136"/>
        <v>6192</v>
      </c>
      <c r="V626" s="46">
        <f t="shared" si="137"/>
        <v>6201</v>
      </c>
      <c r="W626" s="33" t="e">
        <f>IFERROR(AVERAGEIFS(data_brute!M:M,data_brute!J:J,"&lt;="&amp;V626,data_brute!J:J,"&gt;="&amp;U626),NA())</f>
        <v>#N/A</v>
      </c>
      <c r="X626" s="46" t="e">
        <f t="shared" si="138"/>
        <v>#N/A</v>
      </c>
      <c r="Y626" s="2" t="b">
        <f t="shared" si="139"/>
        <v>0</v>
      </c>
      <c r="Z626" s="2" t="b">
        <f t="shared" si="140"/>
        <v>0</v>
      </c>
      <c r="AE626" s="46">
        <f t="shared" si="133"/>
        <v>6192</v>
      </c>
      <c r="AF626" s="46">
        <f t="shared" si="134"/>
        <v>6201</v>
      </c>
      <c r="AG626" s="33" t="e">
        <f>IFERROR(AVERAGEIFS(data_brute!M:M,data_brute!J:J,"&gt;="&amp;AE626,data_brute!J:J,"&lt;="&amp;AF626),NA())</f>
        <v>#N/A</v>
      </c>
      <c r="AH626" s="46" t="e">
        <f t="shared" si="135"/>
        <v>#N/A</v>
      </c>
      <c r="AJ626" s="46">
        <f t="shared" si="141"/>
        <v>6192</v>
      </c>
      <c r="AK626" s="46">
        <f t="shared" si="142"/>
        <v>6201</v>
      </c>
      <c r="AL626" s="33">
        <f ca="1">IFERROR(AVERAGEIFS(data_brute!M:M,data_brute!J:J,"&lt;="&amp;AK626),NA())</f>
        <v>25.353524229074896</v>
      </c>
      <c r="AM626" s="46">
        <f t="shared" ca="1" si="143"/>
        <v>6200</v>
      </c>
      <c r="AN626" s="46" t="b">
        <f t="shared" si="144"/>
        <v>0</v>
      </c>
      <c r="AO626" s="50" t="b">
        <f t="shared" si="145"/>
        <v>0</v>
      </c>
    </row>
    <row r="627" spans="21:41" x14ac:dyDescent="0.2">
      <c r="U627" s="46">
        <f t="shared" si="136"/>
        <v>6202</v>
      </c>
      <c r="V627" s="46">
        <f t="shared" si="137"/>
        <v>6211</v>
      </c>
      <c r="W627" s="33" t="e">
        <f>IFERROR(AVERAGEIFS(data_brute!M:M,data_brute!J:J,"&lt;="&amp;V627,data_brute!J:J,"&gt;="&amp;U627),NA())</f>
        <v>#N/A</v>
      </c>
      <c r="X627" s="46" t="e">
        <f t="shared" si="138"/>
        <v>#N/A</v>
      </c>
      <c r="Y627" s="2" t="b">
        <f t="shared" si="139"/>
        <v>0</v>
      </c>
      <c r="Z627" s="2" t="b">
        <f t="shared" si="140"/>
        <v>0</v>
      </c>
      <c r="AE627" s="46">
        <f t="shared" si="133"/>
        <v>6202</v>
      </c>
      <c r="AF627" s="46">
        <f t="shared" si="134"/>
        <v>6211</v>
      </c>
      <c r="AG627" s="33" t="e">
        <f>IFERROR(AVERAGEIFS(data_brute!M:M,data_brute!J:J,"&gt;="&amp;AE627,data_brute!J:J,"&lt;="&amp;AF627),NA())</f>
        <v>#N/A</v>
      </c>
      <c r="AH627" s="46" t="e">
        <f t="shared" si="135"/>
        <v>#N/A</v>
      </c>
      <c r="AJ627" s="46">
        <f t="shared" si="141"/>
        <v>6202</v>
      </c>
      <c r="AK627" s="46">
        <f t="shared" si="142"/>
        <v>6211</v>
      </c>
      <c r="AL627" s="33">
        <f ca="1">IFERROR(AVERAGEIFS(data_brute!M:M,data_brute!J:J,"&lt;="&amp;AK627),NA())</f>
        <v>25.353524229074896</v>
      </c>
      <c r="AM627" s="46">
        <f t="shared" ca="1" si="143"/>
        <v>6210</v>
      </c>
      <c r="AN627" s="46" t="b">
        <f t="shared" si="144"/>
        <v>0</v>
      </c>
      <c r="AO627" s="50" t="b">
        <f t="shared" si="145"/>
        <v>0</v>
      </c>
    </row>
    <row r="628" spans="21:41" x14ac:dyDescent="0.2">
      <c r="U628" s="46">
        <f t="shared" si="136"/>
        <v>6212</v>
      </c>
      <c r="V628" s="46">
        <f t="shared" si="137"/>
        <v>6221</v>
      </c>
      <c r="W628" s="33" t="e">
        <f>IFERROR(AVERAGEIFS(data_brute!M:M,data_brute!J:J,"&lt;="&amp;V628,data_brute!J:J,"&gt;="&amp;U628),NA())</f>
        <v>#N/A</v>
      </c>
      <c r="X628" s="46" t="e">
        <f t="shared" si="138"/>
        <v>#N/A</v>
      </c>
      <c r="Y628" s="2" t="b">
        <f t="shared" si="139"/>
        <v>0</v>
      </c>
      <c r="Z628" s="2" t="b">
        <f t="shared" si="140"/>
        <v>0</v>
      </c>
      <c r="AE628" s="46">
        <f t="shared" si="133"/>
        <v>6212</v>
      </c>
      <c r="AF628" s="46">
        <f t="shared" si="134"/>
        <v>6221</v>
      </c>
      <c r="AG628" s="33" t="e">
        <f>IFERROR(AVERAGEIFS(data_brute!M:M,data_brute!J:J,"&gt;="&amp;AE628,data_brute!J:J,"&lt;="&amp;AF628),NA())</f>
        <v>#N/A</v>
      </c>
      <c r="AH628" s="46" t="e">
        <f t="shared" si="135"/>
        <v>#N/A</v>
      </c>
      <c r="AJ628" s="46">
        <f t="shared" si="141"/>
        <v>6212</v>
      </c>
      <c r="AK628" s="46">
        <f t="shared" si="142"/>
        <v>6221</v>
      </c>
      <c r="AL628" s="33">
        <f ca="1">IFERROR(AVERAGEIFS(data_brute!M:M,data_brute!J:J,"&lt;="&amp;AK628),NA())</f>
        <v>25.353524229074896</v>
      </c>
      <c r="AM628" s="46">
        <f t="shared" ca="1" si="143"/>
        <v>6220</v>
      </c>
      <c r="AN628" s="46" t="b">
        <f t="shared" si="144"/>
        <v>0</v>
      </c>
      <c r="AO628" s="50" t="b">
        <f t="shared" si="145"/>
        <v>0</v>
      </c>
    </row>
    <row r="629" spans="21:41" x14ac:dyDescent="0.2">
      <c r="U629" s="46">
        <f t="shared" si="136"/>
        <v>6222</v>
      </c>
      <c r="V629" s="46">
        <f t="shared" si="137"/>
        <v>6231</v>
      </c>
      <c r="W629" s="33" t="e">
        <f>IFERROR(AVERAGEIFS(data_brute!M:M,data_brute!J:J,"&lt;="&amp;V629,data_brute!J:J,"&gt;="&amp;U629),NA())</f>
        <v>#N/A</v>
      </c>
      <c r="X629" s="46" t="e">
        <f t="shared" si="138"/>
        <v>#N/A</v>
      </c>
      <c r="Y629" s="2" t="b">
        <f t="shared" si="139"/>
        <v>0</v>
      </c>
      <c r="Z629" s="2" t="b">
        <f t="shared" si="140"/>
        <v>0</v>
      </c>
      <c r="AE629" s="46">
        <f t="shared" si="133"/>
        <v>6222</v>
      </c>
      <c r="AF629" s="46">
        <f t="shared" si="134"/>
        <v>6231</v>
      </c>
      <c r="AG629" s="33" t="e">
        <f>IFERROR(AVERAGEIFS(data_brute!M:M,data_brute!J:J,"&gt;="&amp;AE629,data_brute!J:J,"&lt;="&amp;AF629),NA())</f>
        <v>#N/A</v>
      </c>
      <c r="AH629" s="46" t="e">
        <f t="shared" si="135"/>
        <v>#N/A</v>
      </c>
      <c r="AJ629" s="46">
        <f t="shared" si="141"/>
        <v>6222</v>
      </c>
      <c r="AK629" s="46">
        <f t="shared" si="142"/>
        <v>6231</v>
      </c>
      <c r="AL629" s="33">
        <f ca="1">IFERROR(AVERAGEIFS(data_brute!M:M,data_brute!J:J,"&lt;="&amp;AK629),NA())</f>
        <v>25.353524229074896</v>
      </c>
      <c r="AM629" s="46">
        <f t="shared" ca="1" si="143"/>
        <v>6230</v>
      </c>
      <c r="AN629" s="46" t="b">
        <f t="shared" si="144"/>
        <v>0</v>
      </c>
      <c r="AO629" s="50" t="b">
        <f t="shared" si="145"/>
        <v>0</v>
      </c>
    </row>
    <row r="630" spans="21:41" x14ac:dyDescent="0.2">
      <c r="U630" s="46">
        <f t="shared" si="136"/>
        <v>6232</v>
      </c>
      <c r="V630" s="46">
        <f t="shared" si="137"/>
        <v>6241</v>
      </c>
      <c r="W630" s="33" t="e">
        <f>IFERROR(AVERAGEIFS(data_brute!M:M,data_brute!J:J,"&lt;="&amp;V630,data_brute!J:J,"&gt;="&amp;U630),NA())</f>
        <v>#N/A</v>
      </c>
      <c r="X630" s="46" t="e">
        <f t="shared" si="138"/>
        <v>#N/A</v>
      </c>
      <c r="Y630" s="2" t="b">
        <f t="shared" si="139"/>
        <v>0</v>
      </c>
      <c r="Z630" s="2" t="b">
        <f t="shared" si="140"/>
        <v>0</v>
      </c>
      <c r="AE630" s="46">
        <f t="shared" si="133"/>
        <v>6232</v>
      </c>
      <c r="AF630" s="46">
        <f t="shared" si="134"/>
        <v>6241</v>
      </c>
      <c r="AG630" s="33" t="e">
        <f>IFERROR(AVERAGEIFS(data_brute!M:M,data_brute!J:J,"&gt;="&amp;AE630,data_brute!J:J,"&lt;="&amp;AF630),NA())</f>
        <v>#N/A</v>
      </c>
      <c r="AH630" s="46" t="e">
        <f t="shared" si="135"/>
        <v>#N/A</v>
      </c>
      <c r="AJ630" s="46">
        <f t="shared" si="141"/>
        <v>6232</v>
      </c>
      <c r="AK630" s="46">
        <f t="shared" si="142"/>
        <v>6241</v>
      </c>
      <c r="AL630" s="33">
        <f ca="1">IFERROR(AVERAGEIFS(data_brute!M:M,data_brute!J:J,"&lt;="&amp;AK630),NA())</f>
        <v>25.353524229074896</v>
      </c>
      <c r="AM630" s="46">
        <f t="shared" ca="1" si="143"/>
        <v>6240</v>
      </c>
      <c r="AN630" s="46" t="b">
        <f t="shared" si="144"/>
        <v>0</v>
      </c>
      <c r="AO630" s="50" t="b">
        <f t="shared" si="145"/>
        <v>0</v>
      </c>
    </row>
    <row r="631" spans="21:41" x14ac:dyDescent="0.2">
      <c r="U631" s="46">
        <f t="shared" si="136"/>
        <v>6242</v>
      </c>
      <c r="V631" s="46">
        <f t="shared" si="137"/>
        <v>6251</v>
      </c>
      <c r="W631" s="33" t="e">
        <f>IFERROR(AVERAGEIFS(data_brute!M:M,data_brute!J:J,"&lt;="&amp;V631,data_brute!J:J,"&gt;="&amp;U631),NA())</f>
        <v>#N/A</v>
      </c>
      <c r="X631" s="46" t="e">
        <f t="shared" si="138"/>
        <v>#N/A</v>
      </c>
      <c r="Y631" s="2" t="b">
        <f t="shared" si="139"/>
        <v>0</v>
      </c>
      <c r="Z631" s="2" t="b">
        <f t="shared" si="140"/>
        <v>0</v>
      </c>
      <c r="AE631" s="46">
        <f t="shared" si="133"/>
        <v>6242</v>
      </c>
      <c r="AF631" s="46">
        <f t="shared" si="134"/>
        <v>6251</v>
      </c>
      <c r="AG631" s="33" t="e">
        <f>IFERROR(AVERAGEIFS(data_brute!M:M,data_brute!J:J,"&gt;="&amp;AE631,data_brute!J:J,"&lt;="&amp;AF631),NA())</f>
        <v>#N/A</v>
      </c>
      <c r="AH631" s="46" t="e">
        <f t="shared" si="135"/>
        <v>#N/A</v>
      </c>
      <c r="AJ631" s="46">
        <f t="shared" si="141"/>
        <v>6242</v>
      </c>
      <c r="AK631" s="46">
        <f t="shared" si="142"/>
        <v>6251</v>
      </c>
      <c r="AL631" s="33">
        <f ca="1">IFERROR(AVERAGEIFS(data_brute!M:M,data_brute!J:J,"&lt;="&amp;AK631),NA())</f>
        <v>25.353524229074896</v>
      </c>
      <c r="AM631" s="46">
        <f t="shared" ca="1" si="143"/>
        <v>6250</v>
      </c>
      <c r="AN631" s="46" t="b">
        <f t="shared" si="144"/>
        <v>0</v>
      </c>
      <c r="AO631" s="50" t="b">
        <f t="shared" si="145"/>
        <v>0</v>
      </c>
    </row>
    <row r="632" spans="21:41" x14ac:dyDescent="0.2">
      <c r="U632" s="46">
        <f t="shared" si="136"/>
        <v>6252</v>
      </c>
      <c r="V632" s="46">
        <f t="shared" si="137"/>
        <v>6261</v>
      </c>
      <c r="W632" s="33" t="e">
        <f>IFERROR(AVERAGEIFS(data_brute!M:M,data_brute!J:J,"&lt;="&amp;V632,data_brute!J:J,"&gt;="&amp;U632),NA())</f>
        <v>#N/A</v>
      </c>
      <c r="X632" s="46" t="e">
        <f t="shared" si="138"/>
        <v>#N/A</v>
      </c>
      <c r="Y632" s="2" t="b">
        <f t="shared" si="139"/>
        <v>0</v>
      </c>
      <c r="Z632" s="2" t="b">
        <f t="shared" si="140"/>
        <v>0</v>
      </c>
      <c r="AE632" s="46">
        <f t="shared" si="133"/>
        <v>6252</v>
      </c>
      <c r="AF632" s="46">
        <f t="shared" si="134"/>
        <v>6261</v>
      </c>
      <c r="AG632" s="33" t="e">
        <f>IFERROR(AVERAGEIFS(data_brute!M:M,data_brute!J:J,"&gt;="&amp;AE632,data_brute!J:J,"&lt;="&amp;AF632),NA())</f>
        <v>#N/A</v>
      </c>
      <c r="AH632" s="46" t="e">
        <f t="shared" si="135"/>
        <v>#N/A</v>
      </c>
      <c r="AJ632" s="46">
        <f t="shared" si="141"/>
        <v>6252</v>
      </c>
      <c r="AK632" s="46">
        <f t="shared" si="142"/>
        <v>6261</v>
      </c>
      <c r="AL632" s="33">
        <f ca="1">IFERROR(AVERAGEIFS(data_brute!M:M,data_brute!J:J,"&lt;="&amp;AK632),NA())</f>
        <v>25.353524229074896</v>
      </c>
      <c r="AM632" s="46">
        <f t="shared" ca="1" si="143"/>
        <v>6260</v>
      </c>
      <c r="AN632" s="46" t="b">
        <f t="shared" si="144"/>
        <v>0</v>
      </c>
      <c r="AO632" s="50" t="b">
        <f t="shared" si="145"/>
        <v>0</v>
      </c>
    </row>
    <row r="633" spans="21:41" x14ac:dyDescent="0.2">
      <c r="U633" s="46">
        <f t="shared" si="136"/>
        <v>6262</v>
      </c>
      <c r="V633" s="46">
        <f t="shared" si="137"/>
        <v>6271</v>
      </c>
      <c r="W633" s="33" t="e">
        <f>IFERROR(AVERAGEIFS(data_brute!M:M,data_brute!J:J,"&lt;="&amp;V633,data_brute!J:J,"&gt;="&amp;U633),NA())</f>
        <v>#N/A</v>
      </c>
      <c r="X633" s="46" t="e">
        <f t="shared" si="138"/>
        <v>#N/A</v>
      </c>
      <c r="Y633" s="2" t="b">
        <f t="shared" si="139"/>
        <v>0</v>
      </c>
      <c r="Z633" s="2" t="b">
        <f t="shared" si="140"/>
        <v>0</v>
      </c>
      <c r="AE633" s="46">
        <f t="shared" si="133"/>
        <v>6262</v>
      </c>
      <c r="AF633" s="46">
        <f t="shared" si="134"/>
        <v>6271</v>
      </c>
      <c r="AG633" s="33" t="e">
        <f>IFERROR(AVERAGEIFS(data_brute!M:M,data_brute!J:J,"&gt;="&amp;AE633,data_brute!J:J,"&lt;="&amp;AF633),NA())</f>
        <v>#N/A</v>
      </c>
      <c r="AH633" s="46" t="e">
        <f t="shared" si="135"/>
        <v>#N/A</v>
      </c>
      <c r="AJ633" s="46">
        <f t="shared" si="141"/>
        <v>6262</v>
      </c>
      <c r="AK633" s="46">
        <f t="shared" si="142"/>
        <v>6271</v>
      </c>
      <c r="AL633" s="33">
        <f ca="1">IFERROR(AVERAGEIFS(data_brute!M:M,data_brute!J:J,"&lt;="&amp;AK633),NA())</f>
        <v>25.353524229074896</v>
      </c>
      <c r="AM633" s="46">
        <f t="shared" ca="1" si="143"/>
        <v>6270</v>
      </c>
      <c r="AN633" s="46" t="b">
        <f t="shared" si="144"/>
        <v>0</v>
      </c>
      <c r="AO633" s="50" t="b">
        <f t="shared" si="145"/>
        <v>0</v>
      </c>
    </row>
    <row r="634" spans="21:41" x14ac:dyDescent="0.2">
      <c r="U634" s="46">
        <f t="shared" si="136"/>
        <v>6272</v>
      </c>
      <c r="V634" s="46">
        <f t="shared" si="137"/>
        <v>6281</v>
      </c>
      <c r="W634" s="33" t="e">
        <f>IFERROR(AVERAGEIFS(data_brute!M:M,data_brute!J:J,"&lt;="&amp;V634,data_brute!J:J,"&gt;="&amp;U634),NA())</f>
        <v>#N/A</v>
      </c>
      <c r="X634" s="46" t="e">
        <f t="shared" si="138"/>
        <v>#N/A</v>
      </c>
      <c r="Y634" s="2" t="b">
        <f t="shared" si="139"/>
        <v>0</v>
      </c>
      <c r="Z634" s="2" t="b">
        <f t="shared" si="140"/>
        <v>0</v>
      </c>
      <c r="AE634" s="46">
        <f t="shared" si="133"/>
        <v>6272</v>
      </c>
      <c r="AF634" s="46">
        <f t="shared" si="134"/>
        <v>6281</v>
      </c>
      <c r="AG634" s="33" t="e">
        <f>IFERROR(AVERAGEIFS(data_brute!M:M,data_brute!J:J,"&gt;="&amp;AE634,data_brute!J:J,"&lt;="&amp;AF634),NA())</f>
        <v>#N/A</v>
      </c>
      <c r="AH634" s="46" t="e">
        <f t="shared" si="135"/>
        <v>#N/A</v>
      </c>
      <c r="AJ634" s="46">
        <f t="shared" si="141"/>
        <v>6272</v>
      </c>
      <c r="AK634" s="46">
        <f t="shared" si="142"/>
        <v>6281</v>
      </c>
      <c r="AL634" s="33">
        <f ca="1">IFERROR(AVERAGEIFS(data_brute!M:M,data_brute!J:J,"&lt;="&amp;AK634),NA())</f>
        <v>25.353524229074896</v>
      </c>
      <c r="AM634" s="46">
        <f t="shared" ca="1" si="143"/>
        <v>6280</v>
      </c>
      <c r="AN634" s="46" t="b">
        <f t="shared" si="144"/>
        <v>0</v>
      </c>
      <c r="AO634" s="50" t="b">
        <f t="shared" si="145"/>
        <v>0</v>
      </c>
    </row>
    <row r="635" spans="21:41" x14ac:dyDescent="0.2">
      <c r="U635" s="46">
        <f t="shared" si="136"/>
        <v>6282</v>
      </c>
      <c r="V635" s="46">
        <f t="shared" si="137"/>
        <v>6291</v>
      </c>
      <c r="W635" s="33" t="e">
        <f>IFERROR(AVERAGEIFS(data_brute!M:M,data_brute!J:J,"&lt;="&amp;V635,data_brute!J:J,"&gt;="&amp;U635),NA())</f>
        <v>#N/A</v>
      </c>
      <c r="X635" s="46" t="e">
        <f t="shared" si="138"/>
        <v>#N/A</v>
      </c>
      <c r="Y635" s="2" t="b">
        <f t="shared" si="139"/>
        <v>0</v>
      </c>
      <c r="Z635" s="2" t="b">
        <f t="shared" si="140"/>
        <v>0</v>
      </c>
      <c r="AE635" s="46">
        <f t="shared" si="133"/>
        <v>6282</v>
      </c>
      <c r="AF635" s="46">
        <f t="shared" si="134"/>
        <v>6291</v>
      </c>
      <c r="AG635" s="33" t="e">
        <f>IFERROR(AVERAGEIFS(data_brute!M:M,data_brute!J:J,"&gt;="&amp;AE635,data_brute!J:J,"&lt;="&amp;AF635),NA())</f>
        <v>#N/A</v>
      </c>
      <c r="AH635" s="46" t="e">
        <f t="shared" si="135"/>
        <v>#N/A</v>
      </c>
      <c r="AJ635" s="46">
        <f t="shared" si="141"/>
        <v>6282</v>
      </c>
      <c r="AK635" s="46">
        <f t="shared" si="142"/>
        <v>6291</v>
      </c>
      <c r="AL635" s="33">
        <f ca="1">IFERROR(AVERAGEIFS(data_brute!M:M,data_brute!J:J,"&lt;="&amp;AK635),NA())</f>
        <v>25.353524229074896</v>
      </c>
      <c r="AM635" s="46">
        <f t="shared" ca="1" si="143"/>
        <v>6290</v>
      </c>
      <c r="AN635" s="46" t="b">
        <f t="shared" si="144"/>
        <v>0</v>
      </c>
      <c r="AO635" s="50" t="b">
        <f t="shared" si="145"/>
        <v>0</v>
      </c>
    </row>
    <row r="636" spans="21:41" x14ac:dyDescent="0.2">
      <c r="U636" s="46">
        <f t="shared" si="136"/>
        <v>6292</v>
      </c>
      <c r="V636" s="46">
        <f t="shared" si="137"/>
        <v>6301</v>
      </c>
      <c r="W636" s="33" t="e">
        <f>IFERROR(AVERAGEIFS(data_brute!M:M,data_brute!J:J,"&lt;="&amp;V636,data_brute!J:J,"&gt;="&amp;U636),NA())</f>
        <v>#N/A</v>
      </c>
      <c r="X636" s="46" t="e">
        <f t="shared" si="138"/>
        <v>#N/A</v>
      </c>
      <c r="Y636" s="2" t="b">
        <f t="shared" si="139"/>
        <v>0</v>
      </c>
      <c r="Z636" s="2" t="b">
        <f t="shared" si="140"/>
        <v>0</v>
      </c>
      <c r="AE636" s="46">
        <f t="shared" si="133"/>
        <v>6292</v>
      </c>
      <c r="AF636" s="46">
        <f t="shared" si="134"/>
        <v>6301</v>
      </c>
      <c r="AG636" s="33" t="e">
        <f>IFERROR(AVERAGEIFS(data_brute!M:M,data_brute!J:J,"&gt;="&amp;AE636,data_brute!J:J,"&lt;="&amp;AF636),NA())</f>
        <v>#N/A</v>
      </c>
      <c r="AH636" s="46" t="e">
        <f t="shared" si="135"/>
        <v>#N/A</v>
      </c>
      <c r="AJ636" s="46">
        <f t="shared" si="141"/>
        <v>6292</v>
      </c>
      <c r="AK636" s="46">
        <f t="shared" si="142"/>
        <v>6301</v>
      </c>
      <c r="AL636" s="33">
        <f ca="1">IFERROR(AVERAGEIFS(data_brute!M:M,data_brute!J:J,"&lt;="&amp;AK636),NA())</f>
        <v>25.353524229074896</v>
      </c>
      <c r="AM636" s="46">
        <f t="shared" ca="1" si="143"/>
        <v>6300</v>
      </c>
      <c r="AN636" s="46" t="b">
        <f t="shared" si="144"/>
        <v>0</v>
      </c>
      <c r="AO636" s="50" t="b">
        <f t="shared" si="145"/>
        <v>0</v>
      </c>
    </row>
    <row r="637" spans="21:41" x14ac:dyDescent="0.2">
      <c r="U637" s="46">
        <f t="shared" si="136"/>
        <v>6302</v>
      </c>
      <c r="V637" s="46">
        <f t="shared" si="137"/>
        <v>6311</v>
      </c>
      <c r="W637" s="33" t="e">
        <f>IFERROR(AVERAGEIFS(data_brute!M:M,data_brute!J:J,"&lt;="&amp;V637,data_brute!J:J,"&gt;="&amp;U637),NA())</f>
        <v>#N/A</v>
      </c>
      <c r="X637" s="46" t="e">
        <f t="shared" si="138"/>
        <v>#N/A</v>
      </c>
      <c r="Y637" s="2" t="b">
        <f t="shared" si="139"/>
        <v>0</v>
      </c>
      <c r="Z637" s="2" t="b">
        <f t="shared" si="140"/>
        <v>0</v>
      </c>
      <c r="AE637" s="46">
        <f t="shared" si="133"/>
        <v>6302</v>
      </c>
      <c r="AF637" s="46">
        <f t="shared" si="134"/>
        <v>6311</v>
      </c>
      <c r="AG637" s="33" t="e">
        <f>IFERROR(AVERAGEIFS(data_brute!M:M,data_brute!J:J,"&gt;="&amp;AE637,data_brute!J:J,"&lt;="&amp;AF637),NA())</f>
        <v>#N/A</v>
      </c>
      <c r="AH637" s="46" t="e">
        <f t="shared" si="135"/>
        <v>#N/A</v>
      </c>
      <c r="AJ637" s="46">
        <f t="shared" si="141"/>
        <v>6302</v>
      </c>
      <c r="AK637" s="46">
        <f t="shared" si="142"/>
        <v>6311</v>
      </c>
      <c r="AL637" s="33">
        <f ca="1">IFERROR(AVERAGEIFS(data_brute!M:M,data_brute!J:J,"&lt;="&amp;AK637),NA())</f>
        <v>25.353524229074896</v>
      </c>
      <c r="AM637" s="46">
        <f t="shared" ca="1" si="143"/>
        <v>6310</v>
      </c>
      <c r="AN637" s="46" t="b">
        <f t="shared" si="144"/>
        <v>0</v>
      </c>
      <c r="AO637" s="50" t="b">
        <f t="shared" si="145"/>
        <v>0</v>
      </c>
    </row>
    <row r="638" spans="21:41" x14ac:dyDescent="0.2">
      <c r="U638" s="46">
        <f t="shared" si="136"/>
        <v>6312</v>
      </c>
      <c r="V638" s="46">
        <f t="shared" si="137"/>
        <v>6321</v>
      </c>
      <c r="W638" s="33" t="e">
        <f>IFERROR(AVERAGEIFS(data_brute!M:M,data_brute!J:J,"&lt;="&amp;V638,data_brute!J:J,"&gt;="&amp;U638),NA())</f>
        <v>#N/A</v>
      </c>
      <c r="X638" s="46" t="e">
        <f t="shared" si="138"/>
        <v>#N/A</v>
      </c>
      <c r="Y638" s="2" t="b">
        <f t="shared" si="139"/>
        <v>0</v>
      </c>
      <c r="Z638" s="2" t="b">
        <f t="shared" si="140"/>
        <v>0</v>
      </c>
      <c r="AE638" s="46">
        <f t="shared" si="133"/>
        <v>6312</v>
      </c>
      <c r="AF638" s="46">
        <f t="shared" si="134"/>
        <v>6321</v>
      </c>
      <c r="AG638" s="33" t="e">
        <f>IFERROR(AVERAGEIFS(data_brute!M:M,data_brute!J:J,"&gt;="&amp;AE638,data_brute!J:J,"&lt;="&amp;AF638),NA())</f>
        <v>#N/A</v>
      </c>
      <c r="AH638" s="46" t="e">
        <f t="shared" si="135"/>
        <v>#N/A</v>
      </c>
      <c r="AJ638" s="46">
        <f t="shared" si="141"/>
        <v>6312</v>
      </c>
      <c r="AK638" s="46">
        <f t="shared" si="142"/>
        <v>6321</v>
      </c>
      <c r="AL638" s="33">
        <f ca="1">IFERROR(AVERAGEIFS(data_brute!M:M,data_brute!J:J,"&lt;="&amp;AK638),NA())</f>
        <v>25.353524229074896</v>
      </c>
      <c r="AM638" s="46">
        <f t="shared" ca="1" si="143"/>
        <v>6320</v>
      </c>
      <c r="AN638" s="46" t="b">
        <f t="shared" si="144"/>
        <v>0</v>
      </c>
      <c r="AO638" s="50" t="b">
        <f t="shared" si="145"/>
        <v>0</v>
      </c>
    </row>
    <row r="639" spans="21:41" x14ac:dyDescent="0.2">
      <c r="U639" s="46">
        <f t="shared" si="136"/>
        <v>6322</v>
      </c>
      <c r="V639" s="46">
        <f t="shared" si="137"/>
        <v>6331</v>
      </c>
      <c r="W639" s="33" t="e">
        <f>IFERROR(AVERAGEIFS(data_brute!M:M,data_brute!J:J,"&lt;="&amp;V639,data_brute!J:J,"&gt;="&amp;U639),NA())</f>
        <v>#N/A</v>
      </c>
      <c r="X639" s="46" t="e">
        <f t="shared" si="138"/>
        <v>#N/A</v>
      </c>
      <c r="Y639" s="2" t="b">
        <f t="shared" si="139"/>
        <v>0</v>
      </c>
      <c r="Z639" s="2" t="b">
        <f t="shared" si="140"/>
        <v>0</v>
      </c>
      <c r="AE639" s="46">
        <f t="shared" si="133"/>
        <v>6322</v>
      </c>
      <c r="AF639" s="46">
        <f t="shared" si="134"/>
        <v>6331</v>
      </c>
      <c r="AG639" s="33" t="e">
        <f>IFERROR(AVERAGEIFS(data_brute!M:M,data_brute!J:J,"&gt;="&amp;AE639,data_brute!J:J,"&lt;="&amp;AF639),NA())</f>
        <v>#N/A</v>
      </c>
      <c r="AH639" s="46" t="e">
        <f t="shared" si="135"/>
        <v>#N/A</v>
      </c>
      <c r="AJ639" s="46">
        <f t="shared" si="141"/>
        <v>6322</v>
      </c>
      <c r="AK639" s="46">
        <f t="shared" si="142"/>
        <v>6331</v>
      </c>
      <c r="AL639" s="33">
        <f ca="1">IFERROR(AVERAGEIFS(data_brute!M:M,data_brute!J:J,"&lt;="&amp;AK639),NA())</f>
        <v>25.353524229074896</v>
      </c>
      <c r="AM639" s="46">
        <f t="shared" ca="1" si="143"/>
        <v>6330</v>
      </c>
      <c r="AN639" s="46" t="b">
        <f t="shared" si="144"/>
        <v>0</v>
      </c>
      <c r="AO639" s="50" t="b">
        <f t="shared" si="145"/>
        <v>0</v>
      </c>
    </row>
    <row r="640" spans="21:41" x14ac:dyDescent="0.2">
      <c r="U640" s="46">
        <f t="shared" si="136"/>
        <v>6332</v>
      </c>
      <c r="V640" s="46">
        <f t="shared" si="137"/>
        <v>6341</v>
      </c>
      <c r="W640" s="33" t="e">
        <f>IFERROR(AVERAGEIFS(data_brute!M:M,data_brute!J:J,"&lt;="&amp;V640,data_brute!J:J,"&gt;="&amp;U640),NA())</f>
        <v>#N/A</v>
      </c>
      <c r="X640" s="46" t="e">
        <f t="shared" si="138"/>
        <v>#N/A</v>
      </c>
      <c r="Y640" s="2" t="b">
        <f t="shared" si="139"/>
        <v>0</v>
      </c>
      <c r="Z640" s="2" t="b">
        <f t="shared" si="140"/>
        <v>0</v>
      </c>
      <c r="AE640" s="46">
        <f t="shared" si="133"/>
        <v>6332</v>
      </c>
      <c r="AF640" s="46">
        <f t="shared" si="134"/>
        <v>6341</v>
      </c>
      <c r="AG640" s="33" t="e">
        <f>IFERROR(AVERAGEIFS(data_brute!M:M,data_brute!J:J,"&gt;="&amp;AE640,data_brute!J:J,"&lt;="&amp;AF640),NA())</f>
        <v>#N/A</v>
      </c>
      <c r="AH640" s="46" t="e">
        <f t="shared" si="135"/>
        <v>#N/A</v>
      </c>
      <c r="AJ640" s="46">
        <f t="shared" si="141"/>
        <v>6332</v>
      </c>
      <c r="AK640" s="46">
        <f t="shared" si="142"/>
        <v>6341</v>
      </c>
      <c r="AL640" s="33">
        <f ca="1">IFERROR(AVERAGEIFS(data_brute!M:M,data_brute!J:J,"&lt;="&amp;AK640),NA())</f>
        <v>25.353524229074896</v>
      </c>
      <c r="AM640" s="46">
        <f t="shared" ca="1" si="143"/>
        <v>6340</v>
      </c>
      <c r="AN640" s="46" t="b">
        <f t="shared" si="144"/>
        <v>0</v>
      </c>
      <c r="AO640" s="50" t="b">
        <f t="shared" si="145"/>
        <v>0</v>
      </c>
    </row>
    <row r="641" spans="21:41" x14ac:dyDescent="0.2">
      <c r="U641" s="46">
        <f t="shared" si="136"/>
        <v>6342</v>
      </c>
      <c r="V641" s="46">
        <f t="shared" si="137"/>
        <v>6351</v>
      </c>
      <c r="W641" s="33" t="e">
        <f>IFERROR(AVERAGEIFS(data_brute!M:M,data_brute!J:J,"&lt;="&amp;V641,data_brute!J:J,"&gt;="&amp;U641),NA())</f>
        <v>#N/A</v>
      </c>
      <c r="X641" s="46" t="e">
        <f t="shared" si="138"/>
        <v>#N/A</v>
      </c>
      <c r="Y641" s="2" t="b">
        <f t="shared" si="139"/>
        <v>0</v>
      </c>
      <c r="Z641" s="2" t="b">
        <f t="shared" si="140"/>
        <v>0</v>
      </c>
      <c r="AE641" s="46">
        <f t="shared" si="133"/>
        <v>6342</v>
      </c>
      <c r="AF641" s="46">
        <f t="shared" si="134"/>
        <v>6351</v>
      </c>
      <c r="AG641" s="33" t="e">
        <f>IFERROR(AVERAGEIFS(data_brute!M:M,data_brute!J:J,"&gt;="&amp;AE641,data_brute!J:J,"&lt;="&amp;AF641),NA())</f>
        <v>#N/A</v>
      </c>
      <c r="AH641" s="46" t="e">
        <f t="shared" si="135"/>
        <v>#N/A</v>
      </c>
      <c r="AJ641" s="46">
        <f t="shared" si="141"/>
        <v>6342</v>
      </c>
      <c r="AK641" s="46">
        <f t="shared" si="142"/>
        <v>6351</v>
      </c>
      <c r="AL641" s="33">
        <f ca="1">IFERROR(AVERAGEIFS(data_brute!M:M,data_brute!J:J,"&lt;="&amp;AK641),NA())</f>
        <v>25.353524229074896</v>
      </c>
      <c r="AM641" s="46">
        <f t="shared" ca="1" si="143"/>
        <v>6350</v>
      </c>
      <c r="AN641" s="46" t="b">
        <f t="shared" si="144"/>
        <v>0</v>
      </c>
      <c r="AO641" s="50" t="b">
        <f t="shared" si="145"/>
        <v>0</v>
      </c>
    </row>
    <row r="642" spans="21:41" x14ac:dyDescent="0.2">
      <c r="U642" s="46">
        <f t="shared" si="136"/>
        <v>6352</v>
      </c>
      <c r="V642" s="46">
        <f t="shared" si="137"/>
        <v>6361</v>
      </c>
      <c r="W642" s="33" t="e">
        <f>IFERROR(AVERAGEIFS(data_brute!M:M,data_brute!J:J,"&lt;="&amp;V642,data_brute!J:J,"&gt;="&amp;U642),NA())</f>
        <v>#N/A</v>
      </c>
      <c r="X642" s="46" t="e">
        <f t="shared" si="138"/>
        <v>#N/A</v>
      </c>
      <c r="Y642" s="2" t="b">
        <f t="shared" si="139"/>
        <v>0</v>
      </c>
      <c r="Z642" s="2" t="b">
        <f t="shared" si="140"/>
        <v>0</v>
      </c>
      <c r="AE642" s="46">
        <f t="shared" si="133"/>
        <v>6352</v>
      </c>
      <c r="AF642" s="46">
        <f t="shared" si="134"/>
        <v>6361</v>
      </c>
      <c r="AG642" s="33" t="e">
        <f>IFERROR(AVERAGEIFS(data_brute!M:M,data_brute!J:J,"&gt;="&amp;AE642,data_brute!J:J,"&lt;="&amp;AF642),NA())</f>
        <v>#N/A</v>
      </c>
      <c r="AH642" s="46" t="e">
        <f t="shared" si="135"/>
        <v>#N/A</v>
      </c>
      <c r="AJ642" s="46">
        <f t="shared" si="141"/>
        <v>6352</v>
      </c>
      <c r="AK642" s="46">
        <f t="shared" si="142"/>
        <v>6361</v>
      </c>
      <c r="AL642" s="33">
        <f ca="1">IFERROR(AVERAGEIFS(data_brute!M:M,data_brute!J:J,"&lt;="&amp;AK642),NA())</f>
        <v>25.353524229074896</v>
      </c>
      <c r="AM642" s="46">
        <f t="shared" ca="1" si="143"/>
        <v>6360</v>
      </c>
      <c r="AN642" s="46" t="b">
        <f t="shared" si="144"/>
        <v>0</v>
      </c>
      <c r="AO642" s="50" t="b">
        <f t="shared" si="145"/>
        <v>0</v>
      </c>
    </row>
    <row r="643" spans="21:41" x14ac:dyDescent="0.2">
      <c r="U643" s="46">
        <f t="shared" si="136"/>
        <v>6362</v>
      </c>
      <c r="V643" s="46">
        <f t="shared" si="137"/>
        <v>6371</v>
      </c>
      <c r="W643" s="33" t="e">
        <f>IFERROR(AVERAGEIFS(data_brute!M:M,data_brute!J:J,"&lt;="&amp;V643,data_brute!J:J,"&gt;="&amp;U643),NA())</f>
        <v>#N/A</v>
      </c>
      <c r="X643" s="46" t="e">
        <f t="shared" si="138"/>
        <v>#N/A</v>
      </c>
      <c r="Y643" s="2" t="b">
        <f t="shared" si="139"/>
        <v>0</v>
      </c>
      <c r="Z643" s="2" t="b">
        <f t="shared" si="140"/>
        <v>0</v>
      </c>
      <c r="AE643" s="46">
        <f t="shared" si="133"/>
        <v>6362</v>
      </c>
      <c r="AF643" s="46">
        <f t="shared" si="134"/>
        <v>6371</v>
      </c>
      <c r="AG643" s="33" t="e">
        <f>IFERROR(AVERAGEIFS(data_brute!M:M,data_brute!J:J,"&gt;="&amp;AE643,data_brute!J:J,"&lt;="&amp;AF643),NA())</f>
        <v>#N/A</v>
      </c>
      <c r="AH643" s="46" t="e">
        <f t="shared" si="135"/>
        <v>#N/A</v>
      </c>
      <c r="AJ643" s="46">
        <f t="shared" si="141"/>
        <v>6362</v>
      </c>
      <c r="AK643" s="46">
        <f t="shared" si="142"/>
        <v>6371</v>
      </c>
      <c r="AL643" s="33">
        <f ca="1">IFERROR(AVERAGEIFS(data_brute!M:M,data_brute!J:J,"&lt;="&amp;AK643),NA())</f>
        <v>25.353524229074896</v>
      </c>
      <c r="AM643" s="46">
        <f t="shared" ca="1" si="143"/>
        <v>6370</v>
      </c>
      <c r="AN643" s="46" t="b">
        <f t="shared" si="144"/>
        <v>0</v>
      </c>
      <c r="AO643" s="50" t="b">
        <f t="shared" si="145"/>
        <v>0</v>
      </c>
    </row>
    <row r="644" spans="21:41" x14ac:dyDescent="0.2">
      <c r="U644" s="46">
        <f t="shared" si="136"/>
        <v>6372</v>
      </c>
      <c r="V644" s="46">
        <f t="shared" si="137"/>
        <v>6381</v>
      </c>
      <c r="W644" s="33" t="e">
        <f>IFERROR(AVERAGEIFS(data_brute!M:M,data_brute!J:J,"&lt;="&amp;V644,data_brute!J:J,"&gt;="&amp;U644),NA())</f>
        <v>#N/A</v>
      </c>
      <c r="X644" s="46" t="e">
        <f t="shared" si="138"/>
        <v>#N/A</v>
      </c>
      <c r="Y644" s="2" t="b">
        <f t="shared" si="139"/>
        <v>0</v>
      </c>
      <c r="Z644" s="2" t="b">
        <f t="shared" si="140"/>
        <v>0</v>
      </c>
      <c r="AE644" s="46">
        <f t="shared" si="133"/>
        <v>6372</v>
      </c>
      <c r="AF644" s="46">
        <f t="shared" si="134"/>
        <v>6381</v>
      </c>
      <c r="AG644" s="33" t="e">
        <f>IFERROR(AVERAGEIFS(data_brute!M:M,data_brute!J:J,"&gt;="&amp;AE644,data_brute!J:J,"&lt;="&amp;AF644),NA())</f>
        <v>#N/A</v>
      </c>
      <c r="AH644" s="46" t="e">
        <f t="shared" si="135"/>
        <v>#N/A</v>
      </c>
      <c r="AJ644" s="46">
        <f t="shared" si="141"/>
        <v>6372</v>
      </c>
      <c r="AK644" s="46">
        <f t="shared" si="142"/>
        <v>6381</v>
      </c>
      <c r="AL644" s="33">
        <f ca="1">IFERROR(AVERAGEIFS(data_brute!M:M,data_brute!J:J,"&lt;="&amp;AK644),NA())</f>
        <v>25.353524229074896</v>
      </c>
      <c r="AM644" s="46">
        <f t="shared" ca="1" si="143"/>
        <v>6380</v>
      </c>
      <c r="AN644" s="46" t="b">
        <f t="shared" si="144"/>
        <v>0</v>
      </c>
      <c r="AO644" s="50" t="b">
        <f t="shared" si="145"/>
        <v>0</v>
      </c>
    </row>
    <row r="645" spans="21:41" x14ac:dyDescent="0.2">
      <c r="U645" s="46">
        <f t="shared" si="136"/>
        <v>6382</v>
      </c>
      <c r="V645" s="46">
        <f t="shared" si="137"/>
        <v>6391</v>
      </c>
      <c r="W645" s="33" t="e">
        <f>IFERROR(AVERAGEIFS(data_brute!M:M,data_brute!J:J,"&lt;="&amp;V645,data_brute!J:J,"&gt;="&amp;U645),NA())</f>
        <v>#N/A</v>
      </c>
      <c r="X645" s="46" t="e">
        <f t="shared" si="138"/>
        <v>#N/A</v>
      </c>
      <c r="Y645" s="2" t="b">
        <f t="shared" si="139"/>
        <v>0</v>
      </c>
      <c r="Z645" s="2" t="b">
        <f t="shared" si="140"/>
        <v>0</v>
      </c>
      <c r="AE645" s="46">
        <f t="shared" si="133"/>
        <v>6382</v>
      </c>
      <c r="AF645" s="46">
        <f t="shared" si="134"/>
        <v>6391</v>
      </c>
      <c r="AG645" s="33" t="e">
        <f>IFERROR(AVERAGEIFS(data_brute!M:M,data_brute!J:J,"&gt;="&amp;AE645,data_brute!J:J,"&lt;="&amp;AF645),NA())</f>
        <v>#N/A</v>
      </c>
      <c r="AH645" s="46" t="e">
        <f t="shared" si="135"/>
        <v>#N/A</v>
      </c>
      <c r="AJ645" s="46">
        <f t="shared" si="141"/>
        <v>6382</v>
      </c>
      <c r="AK645" s="46">
        <f t="shared" si="142"/>
        <v>6391</v>
      </c>
      <c r="AL645" s="33">
        <f ca="1">IFERROR(AVERAGEIFS(data_brute!M:M,data_brute!J:J,"&lt;="&amp;AK645),NA())</f>
        <v>25.353524229074896</v>
      </c>
      <c r="AM645" s="46">
        <f t="shared" ca="1" si="143"/>
        <v>6390</v>
      </c>
      <c r="AN645" s="46" t="b">
        <f t="shared" si="144"/>
        <v>0</v>
      </c>
      <c r="AO645" s="50" t="b">
        <f t="shared" si="145"/>
        <v>0</v>
      </c>
    </row>
    <row r="646" spans="21:41" x14ac:dyDescent="0.2">
      <c r="U646" s="46">
        <f t="shared" si="136"/>
        <v>6392</v>
      </c>
      <c r="V646" s="46">
        <f t="shared" si="137"/>
        <v>6401</v>
      </c>
      <c r="W646" s="33" t="e">
        <f>IFERROR(AVERAGEIFS(data_brute!M:M,data_brute!J:J,"&lt;="&amp;V646,data_brute!J:J,"&gt;="&amp;U646),NA())</f>
        <v>#N/A</v>
      </c>
      <c r="X646" s="46" t="e">
        <f t="shared" si="138"/>
        <v>#N/A</v>
      </c>
      <c r="Y646" s="2" t="b">
        <f t="shared" si="139"/>
        <v>0</v>
      </c>
      <c r="Z646" s="2" t="b">
        <f t="shared" si="140"/>
        <v>0</v>
      </c>
      <c r="AE646" s="46">
        <f t="shared" si="133"/>
        <v>6392</v>
      </c>
      <c r="AF646" s="46">
        <f t="shared" si="134"/>
        <v>6401</v>
      </c>
      <c r="AG646" s="33" t="e">
        <f>IFERROR(AVERAGEIFS(data_brute!M:M,data_brute!J:J,"&gt;="&amp;AE646,data_brute!J:J,"&lt;="&amp;AF646),NA())</f>
        <v>#N/A</v>
      </c>
      <c r="AH646" s="46" t="e">
        <f t="shared" si="135"/>
        <v>#N/A</v>
      </c>
      <c r="AJ646" s="46">
        <f t="shared" si="141"/>
        <v>6392</v>
      </c>
      <c r="AK646" s="46">
        <f t="shared" si="142"/>
        <v>6401</v>
      </c>
      <c r="AL646" s="33">
        <f ca="1">IFERROR(AVERAGEIFS(data_brute!M:M,data_brute!J:J,"&lt;="&amp;AK646),NA())</f>
        <v>25.353524229074896</v>
      </c>
      <c r="AM646" s="46">
        <f t="shared" ca="1" si="143"/>
        <v>6400</v>
      </c>
      <c r="AN646" s="46" t="b">
        <f t="shared" si="144"/>
        <v>0</v>
      </c>
      <c r="AO646" s="50" t="b">
        <f t="shared" si="145"/>
        <v>0</v>
      </c>
    </row>
    <row r="647" spans="21:41" x14ac:dyDescent="0.2">
      <c r="U647" s="46">
        <f t="shared" si="136"/>
        <v>6402</v>
      </c>
      <c r="V647" s="46">
        <f t="shared" si="137"/>
        <v>6411</v>
      </c>
      <c r="W647" s="33" t="e">
        <f>IFERROR(AVERAGEIFS(data_brute!M:M,data_brute!J:J,"&lt;="&amp;V647,data_brute!J:J,"&gt;="&amp;U647),NA())</f>
        <v>#N/A</v>
      </c>
      <c r="X647" s="46" t="e">
        <f t="shared" si="138"/>
        <v>#N/A</v>
      </c>
      <c r="Y647" s="2" t="b">
        <f t="shared" si="139"/>
        <v>0</v>
      </c>
      <c r="Z647" s="2" t="b">
        <f t="shared" si="140"/>
        <v>0</v>
      </c>
      <c r="AE647" s="46">
        <f t="shared" si="133"/>
        <v>6402</v>
      </c>
      <c r="AF647" s="46">
        <f t="shared" si="134"/>
        <v>6411</v>
      </c>
      <c r="AG647" s="33" t="e">
        <f>IFERROR(AVERAGEIFS(data_brute!M:M,data_brute!J:J,"&gt;="&amp;AE647,data_brute!J:J,"&lt;="&amp;AF647),NA())</f>
        <v>#N/A</v>
      </c>
      <c r="AH647" s="46" t="e">
        <f t="shared" si="135"/>
        <v>#N/A</v>
      </c>
      <c r="AJ647" s="46">
        <f t="shared" si="141"/>
        <v>6402</v>
      </c>
      <c r="AK647" s="46">
        <f t="shared" si="142"/>
        <v>6411</v>
      </c>
      <c r="AL647" s="33">
        <f ca="1">IFERROR(AVERAGEIFS(data_brute!M:M,data_brute!J:J,"&lt;="&amp;AK647),NA())</f>
        <v>25.353524229074896</v>
      </c>
      <c r="AM647" s="46">
        <f t="shared" ca="1" si="143"/>
        <v>6410</v>
      </c>
      <c r="AN647" s="46" t="b">
        <f t="shared" si="144"/>
        <v>0</v>
      </c>
      <c r="AO647" s="50" t="b">
        <f t="shared" si="145"/>
        <v>0</v>
      </c>
    </row>
    <row r="648" spans="21:41" x14ac:dyDescent="0.2">
      <c r="U648" s="46">
        <f t="shared" si="136"/>
        <v>6412</v>
      </c>
      <c r="V648" s="46">
        <f t="shared" si="137"/>
        <v>6421</v>
      </c>
      <c r="W648" s="33" t="e">
        <f>IFERROR(AVERAGEIFS(data_brute!M:M,data_brute!J:J,"&lt;="&amp;V648,data_brute!J:J,"&gt;="&amp;U648),NA())</f>
        <v>#N/A</v>
      </c>
      <c r="X648" s="46" t="e">
        <f t="shared" si="138"/>
        <v>#N/A</v>
      </c>
      <c r="Y648" s="2" t="b">
        <f t="shared" si="139"/>
        <v>0</v>
      </c>
      <c r="Z648" s="2" t="b">
        <f t="shared" si="140"/>
        <v>0</v>
      </c>
      <c r="AE648" s="46">
        <f t="shared" si="133"/>
        <v>6412</v>
      </c>
      <c r="AF648" s="46">
        <f t="shared" si="134"/>
        <v>6421</v>
      </c>
      <c r="AG648" s="33" t="e">
        <f>IFERROR(AVERAGEIFS(data_brute!M:M,data_brute!J:J,"&gt;="&amp;AE648,data_brute!J:J,"&lt;="&amp;AF648),NA())</f>
        <v>#N/A</v>
      </c>
      <c r="AH648" s="46" t="e">
        <f t="shared" si="135"/>
        <v>#N/A</v>
      </c>
      <c r="AJ648" s="46">
        <f t="shared" si="141"/>
        <v>6412</v>
      </c>
      <c r="AK648" s="46">
        <f t="shared" si="142"/>
        <v>6421</v>
      </c>
      <c r="AL648" s="33">
        <f ca="1">IFERROR(AVERAGEIFS(data_brute!M:M,data_brute!J:J,"&lt;="&amp;AK648),NA())</f>
        <v>25.353524229074896</v>
      </c>
      <c r="AM648" s="46">
        <f t="shared" ca="1" si="143"/>
        <v>6420</v>
      </c>
      <c r="AN648" s="46" t="b">
        <f t="shared" si="144"/>
        <v>0</v>
      </c>
      <c r="AO648" s="50" t="b">
        <f t="shared" si="145"/>
        <v>0</v>
      </c>
    </row>
    <row r="649" spans="21:41" x14ac:dyDescent="0.2">
      <c r="U649" s="46">
        <f t="shared" si="136"/>
        <v>6422</v>
      </c>
      <c r="V649" s="46">
        <f t="shared" si="137"/>
        <v>6431</v>
      </c>
      <c r="W649" s="33" t="e">
        <f>IFERROR(AVERAGEIFS(data_brute!M:M,data_brute!J:J,"&lt;="&amp;V649,data_brute!J:J,"&gt;="&amp;U649),NA())</f>
        <v>#N/A</v>
      </c>
      <c r="X649" s="46" t="e">
        <f t="shared" si="138"/>
        <v>#N/A</v>
      </c>
      <c r="Y649" s="2" t="b">
        <f t="shared" si="139"/>
        <v>0</v>
      </c>
      <c r="Z649" s="2" t="b">
        <f t="shared" si="140"/>
        <v>0</v>
      </c>
      <c r="AE649" s="46">
        <f t="shared" si="133"/>
        <v>6422</v>
      </c>
      <c r="AF649" s="46">
        <f t="shared" si="134"/>
        <v>6431</v>
      </c>
      <c r="AG649" s="33" t="e">
        <f>IFERROR(AVERAGEIFS(data_brute!M:M,data_brute!J:J,"&gt;="&amp;AE649,data_brute!J:J,"&lt;="&amp;AF649),NA())</f>
        <v>#N/A</v>
      </c>
      <c r="AH649" s="46" t="e">
        <f t="shared" si="135"/>
        <v>#N/A</v>
      </c>
      <c r="AJ649" s="46">
        <f t="shared" si="141"/>
        <v>6422</v>
      </c>
      <c r="AK649" s="46">
        <f t="shared" si="142"/>
        <v>6431</v>
      </c>
      <c r="AL649" s="33">
        <f ca="1">IFERROR(AVERAGEIFS(data_brute!M:M,data_brute!J:J,"&lt;="&amp;AK649),NA())</f>
        <v>25.353524229074896</v>
      </c>
      <c r="AM649" s="46">
        <f t="shared" ca="1" si="143"/>
        <v>6430</v>
      </c>
      <c r="AN649" s="46" t="b">
        <f t="shared" si="144"/>
        <v>0</v>
      </c>
      <c r="AO649" s="50" t="b">
        <f t="shared" si="145"/>
        <v>0</v>
      </c>
    </row>
    <row r="650" spans="21:41" x14ac:dyDescent="0.2">
      <c r="U650" s="46">
        <f t="shared" si="136"/>
        <v>6432</v>
      </c>
      <c r="V650" s="46">
        <f t="shared" si="137"/>
        <v>6441</v>
      </c>
      <c r="W650" s="33" t="e">
        <f>IFERROR(AVERAGEIFS(data_brute!M:M,data_brute!J:J,"&lt;="&amp;V650,data_brute!J:J,"&gt;="&amp;U650),NA())</f>
        <v>#N/A</v>
      </c>
      <c r="X650" s="46" t="e">
        <f t="shared" si="138"/>
        <v>#N/A</v>
      </c>
      <c r="Y650" s="2" t="b">
        <f t="shared" si="139"/>
        <v>0</v>
      </c>
      <c r="Z650" s="2" t="b">
        <f t="shared" si="140"/>
        <v>0</v>
      </c>
      <c r="AE650" s="46">
        <f t="shared" si="133"/>
        <v>6432</v>
      </c>
      <c r="AF650" s="46">
        <f t="shared" si="134"/>
        <v>6441</v>
      </c>
      <c r="AG650" s="33" t="e">
        <f>IFERROR(AVERAGEIFS(data_brute!M:M,data_brute!J:J,"&gt;="&amp;AE650,data_brute!J:J,"&lt;="&amp;AF650),NA())</f>
        <v>#N/A</v>
      </c>
      <c r="AH650" s="46" t="e">
        <f t="shared" si="135"/>
        <v>#N/A</v>
      </c>
      <c r="AJ650" s="46">
        <f t="shared" si="141"/>
        <v>6432</v>
      </c>
      <c r="AK650" s="46">
        <f t="shared" si="142"/>
        <v>6441</v>
      </c>
      <c r="AL650" s="33">
        <f ca="1">IFERROR(AVERAGEIFS(data_brute!M:M,data_brute!J:J,"&lt;="&amp;AK650),NA())</f>
        <v>25.353524229074896</v>
      </c>
      <c r="AM650" s="46">
        <f t="shared" ca="1" si="143"/>
        <v>6440</v>
      </c>
      <c r="AN650" s="46" t="b">
        <f t="shared" si="144"/>
        <v>0</v>
      </c>
      <c r="AO650" s="50" t="b">
        <f t="shared" si="145"/>
        <v>0</v>
      </c>
    </row>
    <row r="651" spans="21:41" x14ac:dyDescent="0.2">
      <c r="U651" s="46">
        <f t="shared" si="136"/>
        <v>6442</v>
      </c>
      <c r="V651" s="46">
        <f t="shared" si="137"/>
        <v>6451</v>
      </c>
      <c r="W651" s="33" t="e">
        <f>IFERROR(AVERAGEIFS(data_brute!M:M,data_brute!J:J,"&lt;="&amp;V651,data_brute!J:J,"&gt;="&amp;U651),NA())</f>
        <v>#N/A</v>
      </c>
      <c r="X651" s="46" t="e">
        <f t="shared" si="138"/>
        <v>#N/A</v>
      </c>
      <c r="Y651" s="2" t="b">
        <f t="shared" si="139"/>
        <v>0</v>
      </c>
      <c r="Z651" s="2" t="b">
        <f t="shared" si="140"/>
        <v>0</v>
      </c>
      <c r="AE651" s="46">
        <f t="shared" si="133"/>
        <v>6442</v>
      </c>
      <c r="AF651" s="46">
        <f t="shared" si="134"/>
        <v>6451</v>
      </c>
      <c r="AG651" s="33" t="e">
        <f>IFERROR(AVERAGEIFS(data_brute!M:M,data_brute!J:J,"&gt;="&amp;AE651,data_brute!J:J,"&lt;="&amp;AF651),NA())</f>
        <v>#N/A</v>
      </c>
      <c r="AH651" s="46" t="e">
        <f t="shared" si="135"/>
        <v>#N/A</v>
      </c>
      <c r="AJ651" s="46">
        <f t="shared" si="141"/>
        <v>6442</v>
      </c>
      <c r="AK651" s="46">
        <f t="shared" si="142"/>
        <v>6451</v>
      </c>
      <c r="AL651" s="33">
        <f ca="1">IFERROR(AVERAGEIFS(data_brute!M:M,data_brute!J:J,"&lt;="&amp;AK651),NA())</f>
        <v>25.353524229074896</v>
      </c>
      <c r="AM651" s="46">
        <f t="shared" ca="1" si="143"/>
        <v>6450</v>
      </c>
      <c r="AN651" s="46" t="b">
        <f t="shared" si="144"/>
        <v>0</v>
      </c>
      <c r="AO651" s="50" t="b">
        <f t="shared" si="145"/>
        <v>0</v>
      </c>
    </row>
    <row r="652" spans="21:41" x14ac:dyDescent="0.2">
      <c r="U652" s="46">
        <f t="shared" si="136"/>
        <v>6452</v>
      </c>
      <c r="V652" s="46">
        <f t="shared" si="137"/>
        <v>6461</v>
      </c>
      <c r="W652" s="33" t="e">
        <f>IFERROR(AVERAGEIFS(data_brute!M:M,data_brute!J:J,"&lt;="&amp;V652,data_brute!J:J,"&gt;="&amp;U652),NA())</f>
        <v>#N/A</v>
      </c>
      <c r="X652" s="46" t="e">
        <f t="shared" si="138"/>
        <v>#N/A</v>
      </c>
      <c r="Y652" s="2" t="b">
        <f t="shared" si="139"/>
        <v>0</v>
      </c>
      <c r="Z652" s="2" t="b">
        <f t="shared" si="140"/>
        <v>0</v>
      </c>
      <c r="AE652" s="46">
        <f t="shared" si="133"/>
        <v>6452</v>
      </c>
      <c r="AF652" s="46">
        <f t="shared" si="134"/>
        <v>6461</v>
      </c>
      <c r="AG652" s="33" t="e">
        <f>IFERROR(AVERAGEIFS(data_brute!M:M,data_brute!J:J,"&gt;="&amp;AE652,data_brute!J:J,"&lt;="&amp;AF652),NA())</f>
        <v>#N/A</v>
      </c>
      <c r="AH652" s="46" t="e">
        <f t="shared" si="135"/>
        <v>#N/A</v>
      </c>
      <c r="AJ652" s="46">
        <f t="shared" si="141"/>
        <v>6452</v>
      </c>
      <c r="AK652" s="46">
        <f t="shared" si="142"/>
        <v>6461</v>
      </c>
      <c r="AL652" s="33">
        <f ca="1">IFERROR(AVERAGEIFS(data_brute!M:M,data_brute!J:J,"&lt;="&amp;AK652),NA())</f>
        <v>25.353524229074896</v>
      </c>
      <c r="AM652" s="46">
        <f t="shared" ca="1" si="143"/>
        <v>6460</v>
      </c>
      <c r="AN652" s="46" t="b">
        <f t="shared" si="144"/>
        <v>0</v>
      </c>
      <c r="AO652" s="50" t="b">
        <f t="shared" si="145"/>
        <v>0</v>
      </c>
    </row>
    <row r="653" spans="21:41" x14ac:dyDescent="0.2">
      <c r="U653" s="46">
        <f t="shared" si="136"/>
        <v>6462</v>
      </c>
      <c r="V653" s="46">
        <f t="shared" si="137"/>
        <v>6471</v>
      </c>
      <c r="W653" s="33" t="e">
        <f>IFERROR(AVERAGEIFS(data_brute!M:M,data_brute!J:J,"&lt;="&amp;V653,data_brute!J:J,"&gt;="&amp;U653),NA())</f>
        <v>#N/A</v>
      </c>
      <c r="X653" s="46" t="e">
        <f t="shared" si="138"/>
        <v>#N/A</v>
      </c>
      <c r="Y653" s="2" t="b">
        <f t="shared" si="139"/>
        <v>0</v>
      </c>
      <c r="Z653" s="2" t="b">
        <f t="shared" si="140"/>
        <v>0</v>
      </c>
      <c r="AE653" s="46">
        <f t="shared" si="133"/>
        <v>6462</v>
      </c>
      <c r="AF653" s="46">
        <f t="shared" si="134"/>
        <v>6471</v>
      </c>
      <c r="AG653" s="33" t="e">
        <f>IFERROR(AVERAGEIFS(data_brute!M:M,data_brute!J:J,"&gt;="&amp;AE653,data_brute!J:J,"&lt;="&amp;AF653),NA())</f>
        <v>#N/A</v>
      </c>
      <c r="AH653" s="46" t="e">
        <f t="shared" si="135"/>
        <v>#N/A</v>
      </c>
      <c r="AJ653" s="46">
        <f t="shared" si="141"/>
        <v>6462</v>
      </c>
      <c r="AK653" s="46">
        <f t="shared" si="142"/>
        <v>6471</v>
      </c>
      <c r="AL653" s="33">
        <f ca="1">IFERROR(AVERAGEIFS(data_brute!M:M,data_brute!J:J,"&lt;="&amp;AK653),NA())</f>
        <v>25.353524229074896</v>
      </c>
      <c r="AM653" s="46">
        <f t="shared" ca="1" si="143"/>
        <v>6470</v>
      </c>
      <c r="AN653" s="46" t="b">
        <f t="shared" si="144"/>
        <v>0</v>
      </c>
      <c r="AO653" s="50" t="b">
        <f t="shared" si="145"/>
        <v>0</v>
      </c>
    </row>
    <row r="654" spans="21:41" x14ac:dyDescent="0.2">
      <c r="U654" s="46">
        <f t="shared" si="136"/>
        <v>6472</v>
      </c>
      <c r="V654" s="46">
        <f t="shared" si="137"/>
        <v>6481</v>
      </c>
      <c r="W654" s="33" t="e">
        <f>IFERROR(AVERAGEIFS(data_brute!M:M,data_brute!J:J,"&lt;="&amp;V654,data_brute!J:J,"&gt;="&amp;U654),NA())</f>
        <v>#N/A</v>
      </c>
      <c r="X654" s="46" t="e">
        <f t="shared" si="138"/>
        <v>#N/A</v>
      </c>
      <c r="Y654" s="2" t="b">
        <f t="shared" si="139"/>
        <v>0</v>
      </c>
      <c r="Z654" s="2" t="b">
        <f t="shared" si="140"/>
        <v>0</v>
      </c>
      <c r="AE654" s="46">
        <f t="shared" si="133"/>
        <v>6472</v>
      </c>
      <c r="AF654" s="46">
        <f t="shared" si="134"/>
        <v>6481</v>
      </c>
      <c r="AG654" s="33" t="e">
        <f>IFERROR(AVERAGEIFS(data_brute!M:M,data_brute!J:J,"&gt;="&amp;AE654,data_brute!J:J,"&lt;="&amp;AF654),NA())</f>
        <v>#N/A</v>
      </c>
      <c r="AH654" s="46" t="e">
        <f t="shared" si="135"/>
        <v>#N/A</v>
      </c>
      <c r="AJ654" s="46">
        <f t="shared" si="141"/>
        <v>6472</v>
      </c>
      <c r="AK654" s="46">
        <f t="shared" si="142"/>
        <v>6481</v>
      </c>
      <c r="AL654" s="33">
        <f ca="1">IFERROR(AVERAGEIFS(data_brute!M:M,data_brute!J:J,"&lt;="&amp;AK654),NA())</f>
        <v>25.353524229074896</v>
      </c>
      <c r="AM654" s="46">
        <f t="shared" ca="1" si="143"/>
        <v>6480</v>
      </c>
      <c r="AN654" s="46" t="b">
        <f t="shared" si="144"/>
        <v>0</v>
      </c>
      <c r="AO654" s="50" t="b">
        <f t="shared" si="145"/>
        <v>0</v>
      </c>
    </row>
    <row r="655" spans="21:41" x14ac:dyDescent="0.2">
      <c r="U655" s="46">
        <f t="shared" si="136"/>
        <v>6482</v>
      </c>
      <c r="V655" s="46">
        <f t="shared" si="137"/>
        <v>6491</v>
      </c>
      <c r="W655" s="33" t="e">
        <f>IFERROR(AVERAGEIFS(data_brute!M:M,data_brute!J:J,"&lt;="&amp;V655,data_brute!J:J,"&gt;="&amp;U655),NA())</f>
        <v>#N/A</v>
      </c>
      <c r="X655" s="46" t="e">
        <f t="shared" si="138"/>
        <v>#N/A</v>
      </c>
      <c r="Y655" s="2" t="b">
        <f t="shared" si="139"/>
        <v>0</v>
      </c>
      <c r="Z655" s="2" t="b">
        <f t="shared" si="140"/>
        <v>0</v>
      </c>
      <c r="AE655" s="46">
        <f t="shared" si="133"/>
        <v>6482</v>
      </c>
      <c r="AF655" s="46">
        <f t="shared" si="134"/>
        <v>6491</v>
      </c>
      <c r="AG655" s="33" t="e">
        <f>IFERROR(AVERAGEIFS(data_brute!M:M,data_brute!J:J,"&gt;="&amp;AE655,data_brute!J:J,"&lt;="&amp;AF655),NA())</f>
        <v>#N/A</v>
      </c>
      <c r="AH655" s="46" t="e">
        <f t="shared" si="135"/>
        <v>#N/A</v>
      </c>
      <c r="AJ655" s="46">
        <f t="shared" si="141"/>
        <v>6482</v>
      </c>
      <c r="AK655" s="46">
        <f t="shared" si="142"/>
        <v>6491</v>
      </c>
      <c r="AL655" s="33">
        <f ca="1">IFERROR(AVERAGEIFS(data_brute!M:M,data_brute!J:J,"&lt;="&amp;AK655),NA())</f>
        <v>25.353524229074896</v>
      </c>
      <c r="AM655" s="46">
        <f t="shared" ca="1" si="143"/>
        <v>6490</v>
      </c>
      <c r="AN655" s="46" t="b">
        <f t="shared" si="144"/>
        <v>0</v>
      </c>
      <c r="AO655" s="50" t="b">
        <f t="shared" si="145"/>
        <v>0</v>
      </c>
    </row>
    <row r="656" spans="21:41" x14ac:dyDescent="0.2">
      <c r="U656" s="46">
        <f t="shared" si="136"/>
        <v>6492</v>
      </c>
      <c r="V656" s="46">
        <f t="shared" si="137"/>
        <v>6501</v>
      </c>
      <c r="W656" s="33" t="e">
        <f>IFERROR(AVERAGEIFS(data_brute!M:M,data_brute!J:J,"&lt;="&amp;V656,data_brute!J:J,"&gt;="&amp;U656),NA())</f>
        <v>#N/A</v>
      </c>
      <c r="X656" s="46" t="e">
        <f t="shared" si="138"/>
        <v>#N/A</v>
      </c>
      <c r="Y656" s="2" t="b">
        <f t="shared" si="139"/>
        <v>0</v>
      </c>
      <c r="Z656" s="2" t="b">
        <f t="shared" si="140"/>
        <v>0</v>
      </c>
      <c r="AE656" s="46">
        <f t="shared" si="133"/>
        <v>6492</v>
      </c>
      <c r="AF656" s="46">
        <f t="shared" si="134"/>
        <v>6501</v>
      </c>
      <c r="AG656" s="33" t="e">
        <f>IFERROR(AVERAGEIFS(data_brute!M:M,data_brute!J:J,"&gt;="&amp;AE656,data_brute!J:J,"&lt;="&amp;AF656),NA())</f>
        <v>#N/A</v>
      </c>
      <c r="AH656" s="46" t="e">
        <f t="shared" si="135"/>
        <v>#N/A</v>
      </c>
      <c r="AJ656" s="46">
        <f t="shared" si="141"/>
        <v>6492</v>
      </c>
      <c r="AK656" s="46">
        <f t="shared" si="142"/>
        <v>6501</v>
      </c>
      <c r="AL656" s="33">
        <f ca="1">IFERROR(AVERAGEIFS(data_brute!M:M,data_brute!J:J,"&lt;="&amp;AK656),NA())</f>
        <v>25.353524229074896</v>
      </c>
      <c r="AM656" s="46">
        <f t="shared" ca="1" si="143"/>
        <v>6500</v>
      </c>
      <c r="AN656" s="46" t="b">
        <f t="shared" si="144"/>
        <v>0</v>
      </c>
      <c r="AO656" s="50" t="b">
        <f t="shared" si="145"/>
        <v>0</v>
      </c>
    </row>
    <row r="657" spans="21:41" x14ac:dyDescent="0.2">
      <c r="U657" s="46">
        <f t="shared" si="136"/>
        <v>6502</v>
      </c>
      <c r="V657" s="46">
        <f t="shared" si="137"/>
        <v>6511</v>
      </c>
      <c r="W657" s="33" t="e">
        <f>IFERROR(AVERAGEIFS(data_brute!M:M,data_brute!J:J,"&lt;="&amp;V657,data_brute!J:J,"&gt;="&amp;U657),NA())</f>
        <v>#N/A</v>
      </c>
      <c r="X657" s="46" t="e">
        <f t="shared" si="138"/>
        <v>#N/A</v>
      </c>
      <c r="Y657" s="2" t="b">
        <f t="shared" si="139"/>
        <v>0</v>
      </c>
      <c r="Z657" s="2" t="b">
        <f t="shared" si="140"/>
        <v>0</v>
      </c>
      <c r="AE657" s="46">
        <f t="shared" si="133"/>
        <v>6502</v>
      </c>
      <c r="AF657" s="46">
        <f t="shared" si="134"/>
        <v>6511</v>
      </c>
      <c r="AG657" s="33" t="e">
        <f>IFERROR(AVERAGEIFS(data_brute!M:M,data_brute!J:J,"&gt;="&amp;AE657,data_brute!J:J,"&lt;="&amp;AF657),NA())</f>
        <v>#N/A</v>
      </c>
      <c r="AH657" s="46" t="e">
        <f t="shared" si="135"/>
        <v>#N/A</v>
      </c>
      <c r="AJ657" s="46">
        <f t="shared" si="141"/>
        <v>6502</v>
      </c>
      <c r="AK657" s="46">
        <f t="shared" si="142"/>
        <v>6511</v>
      </c>
      <c r="AL657" s="33">
        <f ca="1">IFERROR(AVERAGEIFS(data_brute!M:M,data_brute!J:J,"&lt;="&amp;AK657),NA())</f>
        <v>25.353524229074896</v>
      </c>
      <c r="AM657" s="46">
        <f t="shared" ca="1" si="143"/>
        <v>6510</v>
      </c>
      <c r="AN657" s="46" t="b">
        <f t="shared" si="144"/>
        <v>0</v>
      </c>
      <c r="AO657" s="50" t="b">
        <f t="shared" si="145"/>
        <v>0</v>
      </c>
    </row>
    <row r="658" spans="21:41" x14ac:dyDescent="0.2">
      <c r="U658" s="46">
        <f t="shared" si="136"/>
        <v>6512</v>
      </c>
      <c r="V658" s="46">
        <f t="shared" si="137"/>
        <v>6521</v>
      </c>
      <c r="W658" s="33" t="e">
        <f>IFERROR(AVERAGEIFS(data_brute!M:M,data_brute!J:J,"&lt;="&amp;V658,data_brute!J:J,"&gt;="&amp;U658),NA())</f>
        <v>#N/A</v>
      </c>
      <c r="X658" s="46" t="e">
        <f t="shared" si="138"/>
        <v>#N/A</v>
      </c>
      <c r="Y658" s="2" t="b">
        <f t="shared" si="139"/>
        <v>0</v>
      </c>
      <c r="Z658" s="2" t="b">
        <f t="shared" si="140"/>
        <v>0</v>
      </c>
      <c r="AE658" s="46">
        <f t="shared" si="133"/>
        <v>6512</v>
      </c>
      <c r="AF658" s="46">
        <f t="shared" si="134"/>
        <v>6521</v>
      </c>
      <c r="AG658" s="33" t="e">
        <f>IFERROR(AVERAGEIFS(data_brute!M:M,data_brute!J:J,"&gt;="&amp;AE658,data_brute!J:J,"&lt;="&amp;AF658),NA())</f>
        <v>#N/A</v>
      </c>
      <c r="AH658" s="46" t="e">
        <f t="shared" si="135"/>
        <v>#N/A</v>
      </c>
      <c r="AJ658" s="46">
        <f t="shared" si="141"/>
        <v>6512</v>
      </c>
      <c r="AK658" s="46">
        <f t="shared" si="142"/>
        <v>6521</v>
      </c>
      <c r="AL658" s="33">
        <f ca="1">IFERROR(AVERAGEIFS(data_brute!M:M,data_brute!J:J,"&lt;="&amp;AK658),NA())</f>
        <v>25.353524229074896</v>
      </c>
      <c r="AM658" s="46">
        <f t="shared" ca="1" si="143"/>
        <v>6520</v>
      </c>
      <c r="AN658" s="46" t="b">
        <f t="shared" si="144"/>
        <v>0</v>
      </c>
      <c r="AO658" s="50" t="b">
        <f t="shared" si="145"/>
        <v>0</v>
      </c>
    </row>
    <row r="659" spans="21:41" x14ac:dyDescent="0.2">
      <c r="U659" s="46">
        <f t="shared" si="136"/>
        <v>6522</v>
      </c>
      <c r="V659" s="46">
        <f t="shared" si="137"/>
        <v>6531</v>
      </c>
      <c r="W659" s="33" t="e">
        <f>IFERROR(AVERAGEIFS(data_brute!M:M,data_brute!J:J,"&lt;="&amp;V659,data_brute!J:J,"&gt;="&amp;U659),NA())</f>
        <v>#N/A</v>
      </c>
      <c r="X659" s="46" t="e">
        <f t="shared" si="138"/>
        <v>#N/A</v>
      </c>
      <c r="Y659" s="2" t="b">
        <f t="shared" si="139"/>
        <v>0</v>
      </c>
      <c r="Z659" s="2" t="b">
        <f t="shared" si="140"/>
        <v>0</v>
      </c>
      <c r="AE659" s="46">
        <f t="shared" si="133"/>
        <v>6522</v>
      </c>
      <c r="AF659" s="46">
        <f t="shared" si="134"/>
        <v>6531</v>
      </c>
      <c r="AG659" s="33" t="e">
        <f>IFERROR(AVERAGEIFS(data_brute!M:M,data_brute!J:J,"&gt;="&amp;AE659,data_brute!J:J,"&lt;="&amp;AF659),NA())</f>
        <v>#N/A</v>
      </c>
      <c r="AH659" s="46" t="e">
        <f t="shared" si="135"/>
        <v>#N/A</v>
      </c>
      <c r="AJ659" s="46">
        <f t="shared" si="141"/>
        <v>6522</v>
      </c>
      <c r="AK659" s="46">
        <f t="shared" si="142"/>
        <v>6531</v>
      </c>
      <c r="AL659" s="33">
        <f ca="1">IFERROR(AVERAGEIFS(data_brute!M:M,data_brute!J:J,"&lt;="&amp;AK659),NA())</f>
        <v>25.353524229074896</v>
      </c>
      <c r="AM659" s="46">
        <f t="shared" ca="1" si="143"/>
        <v>6530</v>
      </c>
      <c r="AN659" s="46" t="b">
        <f t="shared" si="144"/>
        <v>0</v>
      </c>
      <c r="AO659" s="50" t="b">
        <f t="shared" si="145"/>
        <v>0</v>
      </c>
    </row>
    <row r="660" spans="21:41" x14ac:dyDescent="0.2">
      <c r="U660" s="46">
        <f t="shared" si="136"/>
        <v>6532</v>
      </c>
      <c r="V660" s="46">
        <f t="shared" si="137"/>
        <v>6541</v>
      </c>
      <c r="W660" s="33" t="e">
        <f>IFERROR(AVERAGEIFS(data_brute!M:M,data_brute!J:J,"&lt;="&amp;V660,data_brute!J:J,"&gt;="&amp;U660),NA())</f>
        <v>#N/A</v>
      </c>
      <c r="X660" s="46" t="e">
        <f t="shared" si="138"/>
        <v>#N/A</v>
      </c>
      <c r="Y660" s="2" t="b">
        <f t="shared" si="139"/>
        <v>0</v>
      </c>
      <c r="Z660" s="2" t="b">
        <f t="shared" si="140"/>
        <v>0</v>
      </c>
      <c r="AE660" s="46">
        <f t="shared" si="133"/>
        <v>6532</v>
      </c>
      <c r="AF660" s="46">
        <f t="shared" si="134"/>
        <v>6541</v>
      </c>
      <c r="AG660" s="33" t="e">
        <f>IFERROR(AVERAGEIFS(data_brute!M:M,data_brute!J:J,"&gt;="&amp;AE660,data_brute!J:J,"&lt;="&amp;AF660),NA())</f>
        <v>#N/A</v>
      </c>
      <c r="AH660" s="46" t="e">
        <f t="shared" si="135"/>
        <v>#N/A</v>
      </c>
      <c r="AJ660" s="46">
        <f t="shared" si="141"/>
        <v>6532</v>
      </c>
      <c r="AK660" s="46">
        <f t="shared" si="142"/>
        <v>6541</v>
      </c>
      <c r="AL660" s="33">
        <f ca="1">IFERROR(AVERAGEIFS(data_brute!M:M,data_brute!J:J,"&lt;="&amp;AK660),NA())</f>
        <v>25.353524229074896</v>
      </c>
      <c r="AM660" s="46">
        <f t="shared" ca="1" si="143"/>
        <v>6540</v>
      </c>
      <c r="AN660" s="46" t="b">
        <f t="shared" si="144"/>
        <v>0</v>
      </c>
      <c r="AO660" s="50" t="b">
        <f t="shared" si="145"/>
        <v>0</v>
      </c>
    </row>
    <row r="661" spans="21:41" x14ac:dyDescent="0.2">
      <c r="U661" s="46">
        <f t="shared" si="136"/>
        <v>6542</v>
      </c>
      <c r="V661" s="46">
        <f t="shared" si="137"/>
        <v>6551</v>
      </c>
      <c r="W661" s="33" t="e">
        <f>IFERROR(AVERAGEIFS(data_brute!M:M,data_brute!J:J,"&lt;="&amp;V661,data_brute!J:J,"&gt;="&amp;U661),NA())</f>
        <v>#N/A</v>
      </c>
      <c r="X661" s="46" t="e">
        <f t="shared" si="138"/>
        <v>#N/A</v>
      </c>
      <c r="Y661" s="2" t="b">
        <f t="shared" si="139"/>
        <v>0</v>
      </c>
      <c r="Z661" s="2" t="b">
        <f t="shared" si="140"/>
        <v>0</v>
      </c>
      <c r="AE661" s="46">
        <f t="shared" si="133"/>
        <v>6542</v>
      </c>
      <c r="AF661" s="46">
        <f t="shared" si="134"/>
        <v>6551</v>
      </c>
      <c r="AG661" s="33" t="e">
        <f>IFERROR(AVERAGEIFS(data_brute!M:M,data_brute!J:J,"&gt;="&amp;AE661,data_brute!J:J,"&lt;="&amp;AF661),NA())</f>
        <v>#N/A</v>
      </c>
      <c r="AH661" s="46" t="e">
        <f t="shared" si="135"/>
        <v>#N/A</v>
      </c>
      <c r="AJ661" s="46">
        <f t="shared" si="141"/>
        <v>6542</v>
      </c>
      <c r="AK661" s="46">
        <f t="shared" si="142"/>
        <v>6551</v>
      </c>
      <c r="AL661" s="33">
        <f ca="1">IFERROR(AVERAGEIFS(data_brute!M:M,data_brute!J:J,"&lt;="&amp;AK661),NA())</f>
        <v>25.353524229074896</v>
      </c>
      <c r="AM661" s="46">
        <f t="shared" ca="1" si="143"/>
        <v>6550</v>
      </c>
      <c r="AN661" s="46" t="b">
        <f t="shared" si="144"/>
        <v>0</v>
      </c>
      <c r="AO661" s="50" t="b">
        <f t="shared" si="145"/>
        <v>0</v>
      </c>
    </row>
    <row r="662" spans="21:41" x14ac:dyDescent="0.2">
      <c r="U662" s="46">
        <f t="shared" si="136"/>
        <v>6552</v>
      </c>
      <c r="V662" s="46">
        <f t="shared" si="137"/>
        <v>6561</v>
      </c>
      <c r="W662" s="33" t="e">
        <f>IFERROR(AVERAGEIFS(data_brute!M:M,data_brute!J:J,"&lt;="&amp;V662,data_brute!J:J,"&gt;="&amp;U662),NA())</f>
        <v>#N/A</v>
      </c>
      <c r="X662" s="46" t="e">
        <f t="shared" si="138"/>
        <v>#N/A</v>
      </c>
      <c r="Y662" s="2" t="b">
        <f t="shared" si="139"/>
        <v>0</v>
      </c>
      <c r="Z662" s="2" t="b">
        <f t="shared" si="140"/>
        <v>0</v>
      </c>
      <c r="AE662" s="46">
        <f t="shared" si="133"/>
        <v>6552</v>
      </c>
      <c r="AF662" s="46">
        <f t="shared" si="134"/>
        <v>6561</v>
      </c>
      <c r="AG662" s="33" t="e">
        <f>IFERROR(AVERAGEIFS(data_brute!M:M,data_brute!J:J,"&gt;="&amp;AE662,data_brute!J:J,"&lt;="&amp;AF662),NA())</f>
        <v>#N/A</v>
      </c>
      <c r="AH662" s="46" t="e">
        <f t="shared" si="135"/>
        <v>#N/A</v>
      </c>
      <c r="AJ662" s="46">
        <f t="shared" si="141"/>
        <v>6552</v>
      </c>
      <c r="AK662" s="46">
        <f t="shared" si="142"/>
        <v>6561</v>
      </c>
      <c r="AL662" s="33">
        <f ca="1">IFERROR(AVERAGEIFS(data_brute!M:M,data_brute!J:J,"&lt;="&amp;AK662),NA())</f>
        <v>25.353524229074896</v>
      </c>
      <c r="AM662" s="46">
        <f t="shared" ca="1" si="143"/>
        <v>6560</v>
      </c>
      <c r="AN662" s="46" t="b">
        <f t="shared" si="144"/>
        <v>0</v>
      </c>
      <c r="AO662" s="50" t="b">
        <f t="shared" si="145"/>
        <v>0</v>
      </c>
    </row>
    <row r="663" spans="21:41" x14ac:dyDescent="0.2">
      <c r="U663" s="46">
        <f t="shared" si="136"/>
        <v>6562</v>
      </c>
      <c r="V663" s="46">
        <f t="shared" si="137"/>
        <v>6571</v>
      </c>
      <c r="W663" s="33" t="e">
        <f>IFERROR(AVERAGEIFS(data_brute!M:M,data_brute!J:J,"&lt;="&amp;V663,data_brute!J:J,"&gt;="&amp;U663),NA())</f>
        <v>#N/A</v>
      </c>
      <c r="X663" s="46" t="e">
        <f t="shared" si="138"/>
        <v>#N/A</v>
      </c>
      <c r="Y663" s="2" t="b">
        <f t="shared" si="139"/>
        <v>0</v>
      </c>
      <c r="Z663" s="2" t="b">
        <f t="shared" si="140"/>
        <v>0</v>
      </c>
      <c r="AE663" s="46">
        <f t="shared" si="133"/>
        <v>6562</v>
      </c>
      <c r="AF663" s="46">
        <f t="shared" si="134"/>
        <v>6571</v>
      </c>
      <c r="AG663" s="33" t="e">
        <f>IFERROR(AVERAGEIFS(data_brute!M:M,data_brute!J:J,"&gt;="&amp;AE663,data_brute!J:J,"&lt;="&amp;AF663),NA())</f>
        <v>#N/A</v>
      </c>
      <c r="AH663" s="46" t="e">
        <f t="shared" si="135"/>
        <v>#N/A</v>
      </c>
      <c r="AJ663" s="46">
        <f t="shared" si="141"/>
        <v>6562</v>
      </c>
      <c r="AK663" s="46">
        <f t="shared" si="142"/>
        <v>6571</v>
      </c>
      <c r="AL663" s="33">
        <f ca="1">IFERROR(AVERAGEIFS(data_brute!M:M,data_brute!J:J,"&lt;="&amp;AK663),NA())</f>
        <v>25.353524229074896</v>
      </c>
      <c r="AM663" s="46">
        <f t="shared" ca="1" si="143"/>
        <v>6570</v>
      </c>
      <c r="AN663" s="46" t="b">
        <f t="shared" si="144"/>
        <v>0</v>
      </c>
      <c r="AO663" s="50" t="b">
        <f t="shared" si="145"/>
        <v>0</v>
      </c>
    </row>
    <row r="664" spans="21:41" x14ac:dyDescent="0.2">
      <c r="U664" s="46">
        <f t="shared" si="136"/>
        <v>6572</v>
      </c>
      <c r="V664" s="46">
        <f t="shared" si="137"/>
        <v>6581</v>
      </c>
      <c r="W664" s="33" t="e">
        <f>IFERROR(AVERAGEIFS(data_brute!M:M,data_brute!J:J,"&lt;="&amp;V664,data_brute!J:J,"&gt;="&amp;U664),NA())</f>
        <v>#N/A</v>
      </c>
      <c r="X664" s="46" t="e">
        <f t="shared" si="138"/>
        <v>#N/A</v>
      </c>
      <c r="Y664" s="2" t="b">
        <f t="shared" si="139"/>
        <v>0</v>
      </c>
      <c r="Z664" s="2" t="b">
        <f t="shared" si="140"/>
        <v>0</v>
      </c>
      <c r="AE664" s="46">
        <f t="shared" ref="AE664:AE727" si="146">AF663+1</f>
        <v>6572</v>
      </c>
      <c r="AF664" s="46">
        <f t="shared" ref="AF664:AF727" si="147">AE664+$AG$2-1</f>
        <v>6581</v>
      </c>
      <c r="AG664" s="33" t="e">
        <f>IFERROR(AVERAGEIFS(data_brute!M:M,data_brute!J:J,"&gt;="&amp;AE664,data_brute!J:J,"&lt;="&amp;AF664),NA())</f>
        <v>#N/A</v>
      </c>
      <c r="AH664" s="46" t="e">
        <f t="shared" ref="AH664:AH727" si="148">IF(AG664&lt;&gt;"",$AG$2*(ROW()-ROW($AH$6)),NA())</f>
        <v>#N/A</v>
      </c>
      <c r="AJ664" s="46">
        <f t="shared" si="141"/>
        <v>6572</v>
      </c>
      <c r="AK664" s="46">
        <f t="shared" si="142"/>
        <v>6581</v>
      </c>
      <c r="AL664" s="33">
        <f ca="1">IFERROR(AVERAGEIFS(data_brute!M:M,data_brute!J:J,"&lt;="&amp;AK664),NA())</f>
        <v>25.353524229074896</v>
      </c>
      <c r="AM664" s="46">
        <f t="shared" ca="1" si="143"/>
        <v>6580</v>
      </c>
      <c r="AN664" s="46" t="b">
        <f t="shared" si="144"/>
        <v>0</v>
      </c>
      <c r="AO664" s="50" t="b">
        <f t="shared" si="145"/>
        <v>0</v>
      </c>
    </row>
    <row r="665" spans="21:41" x14ac:dyDescent="0.2">
      <c r="U665" s="46">
        <f t="shared" si="136"/>
        <v>6582</v>
      </c>
      <c r="V665" s="46">
        <f t="shared" si="137"/>
        <v>6591</v>
      </c>
      <c r="W665" s="33" t="e">
        <f>IFERROR(AVERAGEIFS(data_brute!M:M,data_brute!J:J,"&lt;="&amp;V665,data_brute!J:J,"&gt;="&amp;U665),NA())</f>
        <v>#N/A</v>
      </c>
      <c r="X665" s="46" t="e">
        <f t="shared" si="138"/>
        <v>#N/A</v>
      </c>
      <c r="Y665" s="2" t="b">
        <f t="shared" si="139"/>
        <v>0</v>
      </c>
      <c r="Z665" s="2" t="b">
        <f t="shared" si="140"/>
        <v>0</v>
      </c>
      <c r="AE665" s="46">
        <f t="shared" si="146"/>
        <v>6582</v>
      </c>
      <c r="AF665" s="46">
        <f t="shared" si="147"/>
        <v>6591</v>
      </c>
      <c r="AG665" s="33" t="e">
        <f>IFERROR(AVERAGEIFS(data_brute!M:M,data_brute!J:J,"&gt;="&amp;AE665,data_brute!J:J,"&lt;="&amp;AF665),NA())</f>
        <v>#N/A</v>
      </c>
      <c r="AH665" s="46" t="e">
        <f t="shared" si="148"/>
        <v>#N/A</v>
      </c>
      <c r="AJ665" s="46">
        <f t="shared" si="141"/>
        <v>6582</v>
      </c>
      <c r="AK665" s="46">
        <f t="shared" si="142"/>
        <v>6591</v>
      </c>
      <c r="AL665" s="33">
        <f ca="1">IFERROR(AVERAGEIFS(data_brute!M:M,data_brute!J:J,"&lt;="&amp;AK665),NA())</f>
        <v>25.353524229074896</v>
      </c>
      <c r="AM665" s="46">
        <f t="shared" ca="1" si="143"/>
        <v>6590</v>
      </c>
      <c r="AN665" s="46" t="b">
        <f t="shared" si="144"/>
        <v>0</v>
      </c>
      <c r="AO665" s="50" t="b">
        <f t="shared" si="145"/>
        <v>0</v>
      </c>
    </row>
    <row r="666" spans="21:41" x14ac:dyDescent="0.2">
      <c r="U666" s="46">
        <f t="shared" si="136"/>
        <v>6592</v>
      </c>
      <c r="V666" s="46">
        <f t="shared" si="137"/>
        <v>6601</v>
      </c>
      <c r="W666" s="33" t="e">
        <f>IFERROR(AVERAGEIFS(data_brute!M:M,data_brute!J:J,"&lt;="&amp;V666,data_brute!J:J,"&gt;="&amp;U666),NA())</f>
        <v>#N/A</v>
      </c>
      <c r="X666" s="46" t="e">
        <f t="shared" si="138"/>
        <v>#N/A</v>
      </c>
      <c r="Y666" s="2" t="b">
        <f t="shared" si="139"/>
        <v>0</v>
      </c>
      <c r="Z666" s="2" t="b">
        <f t="shared" si="140"/>
        <v>0</v>
      </c>
      <c r="AE666" s="46">
        <f t="shared" si="146"/>
        <v>6592</v>
      </c>
      <c r="AF666" s="46">
        <f t="shared" si="147"/>
        <v>6601</v>
      </c>
      <c r="AG666" s="33" t="e">
        <f>IFERROR(AVERAGEIFS(data_brute!M:M,data_brute!J:J,"&gt;="&amp;AE666,data_brute!J:J,"&lt;="&amp;AF666),NA())</f>
        <v>#N/A</v>
      </c>
      <c r="AH666" s="46" t="e">
        <f t="shared" si="148"/>
        <v>#N/A</v>
      </c>
      <c r="AJ666" s="46">
        <f t="shared" si="141"/>
        <v>6592</v>
      </c>
      <c r="AK666" s="46">
        <f t="shared" si="142"/>
        <v>6601</v>
      </c>
      <c r="AL666" s="33">
        <f ca="1">IFERROR(AVERAGEIFS(data_brute!M:M,data_brute!J:J,"&lt;="&amp;AK666),NA())</f>
        <v>25.353524229074896</v>
      </c>
      <c r="AM666" s="46">
        <f t="shared" ca="1" si="143"/>
        <v>6600</v>
      </c>
      <c r="AN666" s="46" t="b">
        <f t="shared" si="144"/>
        <v>0</v>
      </c>
      <c r="AO666" s="50" t="b">
        <f t="shared" si="145"/>
        <v>0</v>
      </c>
    </row>
    <row r="667" spans="21:41" x14ac:dyDescent="0.2">
      <c r="U667" s="46">
        <f t="shared" si="136"/>
        <v>6602</v>
      </c>
      <c r="V667" s="46">
        <f t="shared" si="137"/>
        <v>6611</v>
      </c>
      <c r="W667" s="33" t="e">
        <f>IFERROR(AVERAGEIFS(data_brute!M:M,data_brute!J:J,"&lt;="&amp;V667,data_brute!J:J,"&gt;="&amp;U667),NA())</f>
        <v>#N/A</v>
      </c>
      <c r="X667" s="46" t="e">
        <f t="shared" si="138"/>
        <v>#N/A</v>
      </c>
      <c r="Y667" s="2" t="b">
        <f t="shared" si="139"/>
        <v>0</v>
      </c>
      <c r="Z667" s="2" t="b">
        <f t="shared" si="140"/>
        <v>0</v>
      </c>
      <c r="AE667" s="46">
        <f t="shared" si="146"/>
        <v>6602</v>
      </c>
      <c r="AF667" s="46">
        <f t="shared" si="147"/>
        <v>6611</v>
      </c>
      <c r="AG667" s="33" t="e">
        <f>IFERROR(AVERAGEIFS(data_brute!M:M,data_brute!J:J,"&gt;="&amp;AE667,data_brute!J:J,"&lt;="&amp;AF667),NA())</f>
        <v>#N/A</v>
      </c>
      <c r="AH667" s="46" t="e">
        <f t="shared" si="148"/>
        <v>#N/A</v>
      </c>
      <c r="AJ667" s="46">
        <f t="shared" si="141"/>
        <v>6602</v>
      </c>
      <c r="AK667" s="46">
        <f t="shared" si="142"/>
        <v>6611</v>
      </c>
      <c r="AL667" s="33">
        <f ca="1">IFERROR(AVERAGEIFS(data_brute!M:M,data_brute!J:J,"&lt;="&amp;AK667),NA())</f>
        <v>25.353524229074896</v>
      </c>
      <c r="AM667" s="46">
        <f t="shared" ca="1" si="143"/>
        <v>6610</v>
      </c>
      <c r="AN667" s="46" t="b">
        <f t="shared" si="144"/>
        <v>0</v>
      </c>
      <c r="AO667" s="50" t="b">
        <f t="shared" si="145"/>
        <v>0</v>
      </c>
    </row>
    <row r="668" spans="21:41" x14ac:dyDescent="0.2">
      <c r="U668" s="46">
        <f t="shared" si="136"/>
        <v>6612</v>
      </c>
      <c r="V668" s="46">
        <f t="shared" si="137"/>
        <v>6621</v>
      </c>
      <c r="W668" s="33" t="e">
        <f>IFERROR(AVERAGEIFS(data_brute!M:M,data_brute!J:J,"&lt;="&amp;V668,data_brute!J:J,"&gt;="&amp;U668),NA())</f>
        <v>#N/A</v>
      </c>
      <c r="X668" s="46" t="e">
        <f t="shared" si="138"/>
        <v>#N/A</v>
      </c>
      <c r="Y668" s="2" t="b">
        <f t="shared" si="139"/>
        <v>0</v>
      </c>
      <c r="Z668" s="2" t="b">
        <f t="shared" si="140"/>
        <v>0</v>
      </c>
      <c r="AE668" s="46">
        <f t="shared" si="146"/>
        <v>6612</v>
      </c>
      <c r="AF668" s="46">
        <f t="shared" si="147"/>
        <v>6621</v>
      </c>
      <c r="AG668" s="33" t="e">
        <f>IFERROR(AVERAGEIFS(data_brute!M:M,data_brute!J:J,"&gt;="&amp;AE668,data_brute!J:J,"&lt;="&amp;AF668),NA())</f>
        <v>#N/A</v>
      </c>
      <c r="AH668" s="46" t="e">
        <f t="shared" si="148"/>
        <v>#N/A</v>
      </c>
      <c r="AJ668" s="46">
        <f t="shared" si="141"/>
        <v>6612</v>
      </c>
      <c r="AK668" s="46">
        <f t="shared" si="142"/>
        <v>6621</v>
      </c>
      <c r="AL668" s="33">
        <f ca="1">IFERROR(AVERAGEIFS(data_brute!M:M,data_brute!J:J,"&lt;="&amp;AK668),NA())</f>
        <v>25.353524229074896</v>
      </c>
      <c r="AM668" s="46">
        <f t="shared" ca="1" si="143"/>
        <v>6620</v>
      </c>
      <c r="AN668" s="46" t="b">
        <f t="shared" si="144"/>
        <v>0</v>
      </c>
      <c r="AO668" s="50" t="b">
        <f t="shared" si="145"/>
        <v>0</v>
      </c>
    </row>
    <row r="669" spans="21:41" x14ac:dyDescent="0.2">
      <c r="U669" s="46">
        <f t="shared" si="136"/>
        <v>6622</v>
      </c>
      <c r="V669" s="46">
        <f t="shared" si="137"/>
        <v>6631</v>
      </c>
      <c r="W669" s="33" t="e">
        <f>IFERROR(AVERAGEIFS(data_brute!M:M,data_brute!J:J,"&lt;="&amp;V669,data_brute!J:J,"&gt;="&amp;U669),NA())</f>
        <v>#N/A</v>
      </c>
      <c r="X669" s="46" t="e">
        <f t="shared" si="138"/>
        <v>#N/A</v>
      </c>
      <c r="Y669" s="2" t="b">
        <f t="shared" si="139"/>
        <v>0</v>
      </c>
      <c r="Z669" s="2" t="b">
        <f t="shared" si="140"/>
        <v>0</v>
      </c>
      <c r="AE669" s="46">
        <f t="shared" si="146"/>
        <v>6622</v>
      </c>
      <c r="AF669" s="46">
        <f t="shared" si="147"/>
        <v>6631</v>
      </c>
      <c r="AG669" s="33" t="e">
        <f>IFERROR(AVERAGEIFS(data_brute!M:M,data_brute!J:J,"&gt;="&amp;AE669,data_brute!J:J,"&lt;="&amp;AF669),NA())</f>
        <v>#N/A</v>
      </c>
      <c r="AH669" s="46" t="e">
        <f t="shared" si="148"/>
        <v>#N/A</v>
      </c>
      <c r="AJ669" s="46">
        <f t="shared" si="141"/>
        <v>6622</v>
      </c>
      <c r="AK669" s="46">
        <f t="shared" si="142"/>
        <v>6631</v>
      </c>
      <c r="AL669" s="33">
        <f ca="1">IFERROR(AVERAGEIFS(data_brute!M:M,data_brute!J:J,"&lt;="&amp;AK669),NA())</f>
        <v>25.353524229074896</v>
      </c>
      <c r="AM669" s="46">
        <f t="shared" ca="1" si="143"/>
        <v>6630</v>
      </c>
      <c r="AN669" s="46" t="b">
        <f t="shared" si="144"/>
        <v>0</v>
      </c>
      <c r="AO669" s="50" t="b">
        <f t="shared" si="145"/>
        <v>0</v>
      </c>
    </row>
    <row r="670" spans="21:41" x14ac:dyDescent="0.2">
      <c r="U670" s="46">
        <f t="shared" si="136"/>
        <v>6632</v>
      </c>
      <c r="V670" s="46">
        <f t="shared" si="137"/>
        <v>6641</v>
      </c>
      <c r="W670" s="33" t="e">
        <f>IFERROR(AVERAGEIFS(data_brute!M:M,data_brute!J:J,"&lt;="&amp;V670,data_brute!J:J,"&gt;="&amp;U670),NA())</f>
        <v>#N/A</v>
      </c>
      <c r="X670" s="46" t="e">
        <f t="shared" si="138"/>
        <v>#N/A</v>
      </c>
      <c r="Y670" s="2" t="b">
        <f t="shared" si="139"/>
        <v>0</v>
      </c>
      <c r="Z670" s="2" t="b">
        <f t="shared" si="140"/>
        <v>0</v>
      </c>
      <c r="AE670" s="46">
        <f t="shared" si="146"/>
        <v>6632</v>
      </c>
      <c r="AF670" s="46">
        <f t="shared" si="147"/>
        <v>6641</v>
      </c>
      <c r="AG670" s="33" t="e">
        <f>IFERROR(AVERAGEIFS(data_brute!M:M,data_brute!J:J,"&gt;="&amp;AE670,data_brute!J:J,"&lt;="&amp;AF670),NA())</f>
        <v>#N/A</v>
      </c>
      <c r="AH670" s="46" t="e">
        <f t="shared" si="148"/>
        <v>#N/A</v>
      </c>
      <c r="AJ670" s="46">
        <f t="shared" si="141"/>
        <v>6632</v>
      </c>
      <c r="AK670" s="46">
        <f t="shared" si="142"/>
        <v>6641</v>
      </c>
      <c r="AL670" s="33">
        <f ca="1">IFERROR(AVERAGEIFS(data_brute!M:M,data_brute!J:J,"&lt;="&amp;AK670),NA())</f>
        <v>25.353524229074896</v>
      </c>
      <c r="AM670" s="46">
        <f t="shared" ca="1" si="143"/>
        <v>6640</v>
      </c>
      <c r="AN670" s="46" t="b">
        <f t="shared" si="144"/>
        <v>0</v>
      </c>
      <c r="AO670" s="50" t="b">
        <f t="shared" si="145"/>
        <v>0</v>
      </c>
    </row>
    <row r="671" spans="21:41" x14ac:dyDescent="0.2">
      <c r="U671" s="46">
        <f t="shared" si="136"/>
        <v>6642</v>
      </c>
      <c r="V671" s="46">
        <f t="shared" si="137"/>
        <v>6651</v>
      </c>
      <c r="W671" s="33" t="e">
        <f>IFERROR(AVERAGEIFS(data_brute!M:M,data_brute!J:J,"&lt;="&amp;V671,data_brute!J:J,"&gt;="&amp;U671),NA())</f>
        <v>#N/A</v>
      </c>
      <c r="X671" s="46" t="e">
        <f t="shared" si="138"/>
        <v>#N/A</v>
      </c>
      <c r="Y671" s="2" t="b">
        <f t="shared" si="139"/>
        <v>0</v>
      </c>
      <c r="Z671" s="2" t="b">
        <f t="shared" si="140"/>
        <v>0</v>
      </c>
      <c r="AE671" s="46">
        <f t="shared" si="146"/>
        <v>6642</v>
      </c>
      <c r="AF671" s="46">
        <f t="shared" si="147"/>
        <v>6651</v>
      </c>
      <c r="AG671" s="33" t="e">
        <f>IFERROR(AVERAGEIFS(data_brute!M:M,data_brute!J:J,"&gt;="&amp;AE671,data_brute!J:J,"&lt;="&amp;AF671),NA())</f>
        <v>#N/A</v>
      </c>
      <c r="AH671" s="46" t="e">
        <f t="shared" si="148"/>
        <v>#N/A</v>
      </c>
      <c r="AJ671" s="46">
        <f t="shared" si="141"/>
        <v>6642</v>
      </c>
      <c r="AK671" s="46">
        <f t="shared" si="142"/>
        <v>6651</v>
      </c>
      <c r="AL671" s="33">
        <f ca="1">IFERROR(AVERAGEIFS(data_brute!M:M,data_brute!J:J,"&lt;="&amp;AK671),NA())</f>
        <v>25.353524229074896</v>
      </c>
      <c r="AM671" s="46">
        <f t="shared" ca="1" si="143"/>
        <v>6650</v>
      </c>
      <c r="AN671" s="46" t="b">
        <f t="shared" si="144"/>
        <v>0</v>
      </c>
      <c r="AO671" s="50" t="b">
        <f t="shared" si="145"/>
        <v>0</v>
      </c>
    </row>
    <row r="672" spans="21:41" x14ac:dyDescent="0.2">
      <c r="U672" s="46">
        <f t="shared" si="136"/>
        <v>6652</v>
      </c>
      <c r="V672" s="46">
        <f t="shared" si="137"/>
        <v>6661</v>
      </c>
      <c r="W672" s="33" t="e">
        <f>IFERROR(AVERAGEIFS(data_brute!M:M,data_brute!J:J,"&lt;="&amp;V672,data_brute!J:J,"&gt;="&amp;U672),NA())</f>
        <v>#N/A</v>
      </c>
      <c r="X672" s="46" t="e">
        <f t="shared" si="138"/>
        <v>#N/A</v>
      </c>
      <c r="Y672" s="2" t="b">
        <f t="shared" si="139"/>
        <v>0</v>
      </c>
      <c r="Z672" s="2" t="b">
        <f t="shared" si="140"/>
        <v>0</v>
      </c>
      <c r="AE672" s="46">
        <f t="shared" si="146"/>
        <v>6652</v>
      </c>
      <c r="AF672" s="46">
        <f t="shared" si="147"/>
        <v>6661</v>
      </c>
      <c r="AG672" s="33" t="e">
        <f>IFERROR(AVERAGEIFS(data_brute!M:M,data_brute!J:J,"&gt;="&amp;AE672,data_brute!J:J,"&lt;="&amp;AF672),NA())</f>
        <v>#N/A</v>
      </c>
      <c r="AH672" s="46" t="e">
        <f t="shared" si="148"/>
        <v>#N/A</v>
      </c>
      <c r="AJ672" s="46">
        <f t="shared" si="141"/>
        <v>6652</v>
      </c>
      <c r="AK672" s="46">
        <f t="shared" si="142"/>
        <v>6661</v>
      </c>
      <c r="AL672" s="33">
        <f ca="1">IFERROR(AVERAGEIFS(data_brute!M:M,data_brute!J:J,"&lt;="&amp;AK672),NA())</f>
        <v>25.353524229074896</v>
      </c>
      <c r="AM672" s="46">
        <f t="shared" ca="1" si="143"/>
        <v>6660</v>
      </c>
      <c r="AN672" s="46" t="b">
        <f t="shared" si="144"/>
        <v>0</v>
      </c>
      <c r="AO672" s="50" t="b">
        <f t="shared" si="145"/>
        <v>0</v>
      </c>
    </row>
    <row r="673" spans="21:41" x14ac:dyDescent="0.2">
      <c r="U673" s="46">
        <f t="shared" si="136"/>
        <v>6662</v>
      </c>
      <c r="V673" s="46">
        <f t="shared" si="137"/>
        <v>6671</v>
      </c>
      <c r="W673" s="33" t="e">
        <f>IFERROR(AVERAGEIFS(data_brute!M:M,data_brute!J:J,"&lt;="&amp;V673,data_brute!J:J,"&gt;="&amp;U673),NA())</f>
        <v>#N/A</v>
      </c>
      <c r="X673" s="46" t="e">
        <f t="shared" si="138"/>
        <v>#N/A</v>
      </c>
      <c r="Y673" s="2" t="b">
        <f t="shared" si="139"/>
        <v>0</v>
      </c>
      <c r="Z673" s="2" t="b">
        <f t="shared" si="140"/>
        <v>0</v>
      </c>
      <c r="AE673" s="46">
        <f t="shared" si="146"/>
        <v>6662</v>
      </c>
      <c r="AF673" s="46">
        <f t="shared" si="147"/>
        <v>6671</v>
      </c>
      <c r="AG673" s="33" t="e">
        <f>IFERROR(AVERAGEIFS(data_brute!M:M,data_brute!J:J,"&gt;="&amp;AE673,data_brute!J:J,"&lt;="&amp;AF673),NA())</f>
        <v>#N/A</v>
      </c>
      <c r="AH673" s="46" t="e">
        <f t="shared" si="148"/>
        <v>#N/A</v>
      </c>
      <c r="AJ673" s="46">
        <f t="shared" si="141"/>
        <v>6662</v>
      </c>
      <c r="AK673" s="46">
        <f t="shared" si="142"/>
        <v>6671</v>
      </c>
      <c r="AL673" s="33">
        <f ca="1">IFERROR(AVERAGEIFS(data_brute!M:M,data_brute!J:J,"&lt;="&amp;AK673),NA())</f>
        <v>25.353524229074896</v>
      </c>
      <c r="AM673" s="46">
        <f t="shared" ca="1" si="143"/>
        <v>6670</v>
      </c>
      <c r="AN673" s="46" t="b">
        <f t="shared" si="144"/>
        <v>0</v>
      </c>
      <c r="AO673" s="50" t="b">
        <f t="shared" si="145"/>
        <v>0</v>
      </c>
    </row>
    <row r="674" spans="21:41" x14ac:dyDescent="0.2">
      <c r="U674" s="46">
        <f t="shared" si="136"/>
        <v>6672</v>
      </c>
      <c r="V674" s="46">
        <f t="shared" si="137"/>
        <v>6681</v>
      </c>
      <c r="W674" s="33" t="e">
        <f>IFERROR(AVERAGEIFS(data_brute!M:M,data_brute!J:J,"&lt;="&amp;V674,data_brute!J:J,"&gt;="&amp;U674),NA())</f>
        <v>#N/A</v>
      </c>
      <c r="X674" s="46" t="e">
        <f t="shared" si="138"/>
        <v>#N/A</v>
      </c>
      <c r="Y674" s="2" t="b">
        <f t="shared" si="139"/>
        <v>0</v>
      </c>
      <c r="Z674" s="2" t="b">
        <f t="shared" si="140"/>
        <v>0</v>
      </c>
      <c r="AE674" s="46">
        <f t="shared" si="146"/>
        <v>6672</v>
      </c>
      <c r="AF674" s="46">
        <f t="shared" si="147"/>
        <v>6681</v>
      </c>
      <c r="AG674" s="33" t="e">
        <f>IFERROR(AVERAGEIFS(data_brute!M:M,data_brute!J:J,"&gt;="&amp;AE674,data_brute!J:J,"&lt;="&amp;AF674),NA())</f>
        <v>#N/A</v>
      </c>
      <c r="AH674" s="46" t="e">
        <f t="shared" si="148"/>
        <v>#N/A</v>
      </c>
      <c r="AJ674" s="46">
        <f t="shared" si="141"/>
        <v>6672</v>
      </c>
      <c r="AK674" s="46">
        <f t="shared" si="142"/>
        <v>6681</v>
      </c>
      <c r="AL674" s="33">
        <f ca="1">IFERROR(AVERAGEIFS(data_brute!M:M,data_brute!J:J,"&lt;="&amp;AK674),NA())</f>
        <v>25.353524229074896</v>
      </c>
      <c r="AM674" s="46">
        <f t="shared" ca="1" si="143"/>
        <v>6680</v>
      </c>
      <c r="AN674" s="46" t="b">
        <f t="shared" si="144"/>
        <v>0</v>
      </c>
      <c r="AO674" s="50" t="b">
        <f t="shared" si="145"/>
        <v>0</v>
      </c>
    </row>
    <row r="675" spans="21:41" x14ac:dyDescent="0.2">
      <c r="U675" s="46">
        <f t="shared" ref="U675:U738" si="149">V674+1</f>
        <v>6682</v>
      </c>
      <c r="V675" s="46">
        <f t="shared" ref="V675:V738" si="150">U675+$AG$2-1</f>
        <v>6691</v>
      </c>
      <c r="W675" s="33" t="e">
        <f>IFERROR(AVERAGEIFS(data_brute!M:M,data_brute!J:J,"&lt;="&amp;V675,data_brute!J:J,"&gt;="&amp;U675),NA())</f>
        <v>#N/A</v>
      </c>
      <c r="X675" s="46" t="e">
        <f t="shared" ref="X675:X738" si="151">IF(W675&lt;&gt;"",$AG$2*(ROW()-ROW($AH$6)),NA())</f>
        <v>#N/A</v>
      </c>
      <c r="Y675" s="2" t="b">
        <f t="shared" ref="Y675:Y738" si="152">IF(AND($F$5&gt;=U675,$F$5&lt;=V675,V675=$F$5),TRUE,FALSE)</f>
        <v>0</v>
      </c>
      <c r="Z675" s="2" t="b">
        <f t="shared" ref="Z675:Z738" si="153">IF(AND($F$5&gt;=U675,$F$5&lt;=V675),TRUE,FALSE)</f>
        <v>0</v>
      </c>
      <c r="AE675" s="46">
        <f t="shared" si="146"/>
        <v>6682</v>
      </c>
      <c r="AF675" s="46">
        <f t="shared" si="147"/>
        <v>6691</v>
      </c>
      <c r="AG675" s="33" t="e">
        <f>IFERROR(AVERAGEIFS(data_brute!M:M,data_brute!J:J,"&gt;="&amp;AE675,data_brute!J:J,"&lt;="&amp;AF675),NA())</f>
        <v>#N/A</v>
      </c>
      <c r="AH675" s="46" t="e">
        <f t="shared" si="148"/>
        <v>#N/A</v>
      </c>
      <c r="AJ675" s="46">
        <f t="shared" si="141"/>
        <v>6682</v>
      </c>
      <c r="AK675" s="46">
        <f t="shared" si="142"/>
        <v>6691</v>
      </c>
      <c r="AL675" s="33">
        <f ca="1">IFERROR(AVERAGEIFS(data_brute!M:M,data_brute!J:J,"&lt;="&amp;AK675),NA())</f>
        <v>25.353524229074896</v>
      </c>
      <c r="AM675" s="46">
        <f t="shared" ca="1" si="143"/>
        <v>6690</v>
      </c>
      <c r="AN675" s="46" t="b">
        <f t="shared" si="144"/>
        <v>0</v>
      </c>
      <c r="AO675" s="50" t="b">
        <f t="shared" si="145"/>
        <v>0</v>
      </c>
    </row>
    <row r="676" spans="21:41" x14ac:dyDescent="0.2">
      <c r="U676" s="46">
        <f t="shared" si="149"/>
        <v>6692</v>
      </c>
      <c r="V676" s="46">
        <f t="shared" si="150"/>
        <v>6701</v>
      </c>
      <c r="W676" s="33" t="e">
        <f>IFERROR(AVERAGEIFS(data_brute!M:M,data_brute!J:J,"&lt;="&amp;V676,data_brute!J:J,"&gt;="&amp;U676),NA())</f>
        <v>#N/A</v>
      </c>
      <c r="X676" s="46" t="e">
        <f t="shared" si="151"/>
        <v>#N/A</v>
      </c>
      <c r="Y676" s="2" t="b">
        <f t="shared" si="152"/>
        <v>0</v>
      </c>
      <c r="Z676" s="2" t="b">
        <f t="shared" si="153"/>
        <v>0</v>
      </c>
      <c r="AE676" s="46">
        <f t="shared" si="146"/>
        <v>6692</v>
      </c>
      <c r="AF676" s="46">
        <f t="shared" si="147"/>
        <v>6701</v>
      </c>
      <c r="AG676" s="33" t="e">
        <f>IFERROR(AVERAGEIFS(data_brute!M:M,data_brute!J:J,"&gt;="&amp;AE676,data_brute!J:J,"&lt;="&amp;AF676),NA())</f>
        <v>#N/A</v>
      </c>
      <c r="AH676" s="46" t="e">
        <f t="shared" si="148"/>
        <v>#N/A</v>
      </c>
      <c r="AJ676" s="46">
        <f t="shared" ref="AJ676:AJ739" si="154">AK675+1</f>
        <v>6692</v>
      </c>
      <c r="AK676" s="46">
        <f t="shared" ref="AK676:AK739" si="155">AJ676+$AG$2-1</f>
        <v>6701</v>
      </c>
      <c r="AL676" s="33">
        <f ca="1">IFERROR(AVERAGEIFS(data_brute!M:M,data_brute!J:J,"&lt;="&amp;AK676),NA())</f>
        <v>25.353524229074896</v>
      </c>
      <c r="AM676" s="46">
        <f t="shared" ref="AM676:AM739" ca="1" si="156">IF(AL676&lt;&gt;"",$AG$2*(ROW()-ROW($AH$6)),NA())</f>
        <v>6700</v>
      </c>
      <c r="AN676" s="46" t="b">
        <f t="shared" ref="AN676:AN739" si="157">IF(AND($F$5&gt;=AJ676,$F$5&lt;=AK676,AK676=$F$5),TRUE,FALSE)</f>
        <v>0</v>
      </c>
      <c r="AO676" s="50" t="b">
        <f t="shared" ref="AO676:AO739" si="158">IF(AND($F$5&gt;=AJ676,$F$5&lt;=AK676),TRUE,FALSE)</f>
        <v>0</v>
      </c>
    </row>
    <row r="677" spans="21:41" x14ac:dyDescent="0.2">
      <c r="U677" s="46">
        <f t="shared" si="149"/>
        <v>6702</v>
      </c>
      <c r="V677" s="46">
        <f t="shared" si="150"/>
        <v>6711</v>
      </c>
      <c r="W677" s="33" t="e">
        <f>IFERROR(AVERAGEIFS(data_brute!M:M,data_brute!J:J,"&lt;="&amp;V677,data_brute!J:J,"&gt;="&amp;U677),NA())</f>
        <v>#N/A</v>
      </c>
      <c r="X677" s="46" t="e">
        <f t="shared" si="151"/>
        <v>#N/A</v>
      </c>
      <c r="Y677" s="2" t="b">
        <f t="shared" si="152"/>
        <v>0</v>
      </c>
      <c r="Z677" s="2" t="b">
        <f t="shared" si="153"/>
        <v>0</v>
      </c>
      <c r="AE677" s="46">
        <f t="shared" si="146"/>
        <v>6702</v>
      </c>
      <c r="AF677" s="46">
        <f t="shared" si="147"/>
        <v>6711</v>
      </c>
      <c r="AG677" s="33" t="e">
        <f>IFERROR(AVERAGEIFS(data_brute!M:M,data_brute!J:J,"&gt;="&amp;AE677,data_brute!J:J,"&lt;="&amp;AF677),NA())</f>
        <v>#N/A</v>
      </c>
      <c r="AH677" s="46" t="e">
        <f t="shared" si="148"/>
        <v>#N/A</v>
      </c>
      <c r="AJ677" s="46">
        <f t="shared" si="154"/>
        <v>6702</v>
      </c>
      <c r="AK677" s="46">
        <f t="shared" si="155"/>
        <v>6711</v>
      </c>
      <c r="AL677" s="33">
        <f ca="1">IFERROR(AVERAGEIFS(data_brute!M:M,data_brute!J:J,"&lt;="&amp;AK677),NA())</f>
        <v>25.353524229074896</v>
      </c>
      <c r="AM677" s="46">
        <f t="shared" ca="1" si="156"/>
        <v>6710</v>
      </c>
      <c r="AN677" s="46" t="b">
        <f t="shared" si="157"/>
        <v>0</v>
      </c>
      <c r="AO677" s="50" t="b">
        <f t="shared" si="158"/>
        <v>0</v>
      </c>
    </row>
    <row r="678" spans="21:41" x14ac:dyDescent="0.2">
      <c r="U678" s="46">
        <f t="shared" si="149"/>
        <v>6712</v>
      </c>
      <c r="V678" s="46">
        <f t="shared" si="150"/>
        <v>6721</v>
      </c>
      <c r="W678" s="33" t="e">
        <f>IFERROR(AVERAGEIFS(data_brute!M:M,data_brute!J:J,"&lt;="&amp;V678,data_brute!J:J,"&gt;="&amp;U678),NA())</f>
        <v>#N/A</v>
      </c>
      <c r="X678" s="46" t="e">
        <f t="shared" si="151"/>
        <v>#N/A</v>
      </c>
      <c r="Y678" s="2" t="b">
        <f t="shared" si="152"/>
        <v>0</v>
      </c>
      <c r="Z678" s="2" t="b">
        <f t="shared" si="153"/>
        <v>0</v>
      </c>
      <c r="AE678" s="46">
        <f t="shared" si="146"/>
        <v>6712</v>
      </c>
      <c r="AF678" s="46">
        <f t="shared" si="147"/>
        <v>6721</v>
      </c>
      <c r="AG678" s="33" t="e">
        <f>IFERROR(AVERAGEIFS(data_brute!M:M,data_brute!J:J,"&gt;="&amp;AE678,data_brute!J:J,"&lt;="&amp;AF678),NA())</f>
        <v>#N/A</v>
      </c>
      <c r="AH678" s="46" t="e">
        <f t="shared" si="148"/>
        <v>#N/A</v>
      </c>
      <c r="AJ678" s="46">
        <f t="shared" si="154"/>
        <v>6712</v>
      </c>
      <c r="AK678" s="46">
        <f t="shared" si="155"/>
        <v>6721</v>
      </c>
      <c r="AL678" s="33">
        <f ca="1">IFERROR(AVERAGEIFS(data_brute!M:M,data_brute!J:J,"&lt;="&amp;AK678),NA())</f>
        <v>25.353524229074896</v>
      </c>
      <c r="AM678" s="46">
        <f t="shared" ca="1" si="156"/>
        <v>6720</v>
      </c>
      <c r="AN678" s="46" t="b">
        <f t="shared" si="157"/>
        <v>0</v>
      </c>
      <c r="AO678" s="50" t="b">
        <f t="shared" si="158"/>
        <v>0</v>
      </c>
    </row>
    <row r="679" spans="21:41" x14ac:dyDescent="0.2">
      <c r="U679" s="46">
        <f t="shared" si="149"/>
        <v>6722</v>
      </c>
      <c r="V679" s="46">
        <f t="shared" si="150"/>
        <v>6731</v>
      </c>
      <c r="W679" s="33" t="e">
        <f>IFERROR(AVERAGEIFS(data_brute!M:M,data_brute!J:J,"&lt;="&amp;V679,data_brute!J:J,"&gt;="&amp;U679),NA())</f>
        <v>#N/A</v>
      </c>
      <c r="X679" s="46" t="e">
        <f t="shared" si="151"/>
        <v>#N/A</v>
      </c>
      <c r="Y679" s="2" t="b">
        <f t="shared" si="152"/>
        <v>0</v>
      </c>
      <c r="Z679" s="2" t="b">
        <f t="shared" si="153"/>
        <v>0</v>
      </c>
      <c r="AE679" s="46">
        <f t="shared" si="146"/>
        <v>6722</v>
      </c>
      <c r="AF679" s="46">
        <f t="shared" si="147"/>
        <v>6731</v>
      </c>
      <c r="AG679" s="33" t="e">
        <f>IFERROR(AVERAGEIFS(data_brute!M:M,data_brute!J:J,"&gt;="&amp;AE679,data_brute!J:J,"&lt;="&amp;AF679),NA())</f>
        <v>#N/A</v>
      </c>
      <c r="AH679" s="46" t="e">
        <f t="shared" si="148"/>
        <v>#N/A</v>
      </c>
      <c r="AJ679" s="46">
        <f t="shared" si="154"/>
        <v>6722</v>
      </c>
      <c r="AK679" s="46">
        <f t="shared" si="155"/>
        <v>6731</v>
      </c>
      <c r="AL679" s="33">
        <f ca="1">IFERROR(AVERAGEIFS(data_brute!M:M,data_brute!J:J,"&lt;="&amp;AK679),NA())</f>
        <v>25.353524229074896</v>
      </c>
      <c r="AM679" s="46">
        <f t="shared" ca="1" si="156"/>
        <v>6730</v>
      </c>
      <c r="AN679" s="46" t="b">
        <f t="shared" si="157"/>
        <v>0</v>
      </c>
      <c r="AO679" s="50" t="b">
        <f t="shared" si="158"/>
        <v>0</v>
      </c>
    </row>
    <row r="680" spans="21:41" x14ac:dyDescent="0.2">
      <c r="U680" s="46">
        <f t="shared" si="149"/>
        <v>6732</v>
      </c>
      <c r="V680" s="46">
        <f t="shared" si="150"/>
        <v>6741</v>
      </c>
      <c r="W680" s="33" t="e">
        <f>IFERROR(AVERAGEIFS(data_brute!M:M,data_brute!J:J,"&lt;="&amp;V680,data_brute!J:J,"&gt;="&amp;U680),NA())</f>
        <v>#N/A</v>
      </c>
      <c r="X680" s="46" t="e">
        <f t="shared" si="151"/>
        <v>#N/A</v>
      </c>
      <c r="Y680" s="2" t="b">
        <f t="shared" si="152"/>
        <v>0</v>
      </c>
      <c r="Z680" s="2" t="b">
        <f t="shared" si="153"/>
        <v>0</v>
      </c>
      <c r="AE680" s="46">
        <f t="shared" si="146"/>
        <v>6732</v>
      </c>
      <c r="AF680" s="46">
        <f t="shared" si="147"/>
        <v>6741</v>
      </c>
      <c r="AG680" s="33" t="e">
        <f>IFERROR(AVERAGEIFS(data_brute!M:M,data_brute!J:J,"&gt;="&amp;AE680,data_brute!J:J,"&lt;="&amp;AF680),NA())</f>
        <v>#N/A</v>
      </c>
      <c r="AH680" s="46" t="e">
        <f t="shared" si="148"/>
        <v>#N/A</v>
      </c>
      <c r="AJ680" s="46">
        <f t="shared" si="154"/>
        <v>6732</v>
      </c>
      <c r="AK680" s="46">
        <f t="shared" si="155"/>
        <v>6741</v>
      </c>
      <c r="AL680" s="33">
        <f ca="1">IFERROR(AVERAGEIFS(data_brute!M:M,data_brute!J:J,"&lt;="&amp;AK680),NA())</f>
        <v>25.353524229074896</v>
      </c>
      <c r="AM680" s="46">
        <f t="shared" ca="1" si="156"/>
        <v>6740</v>
      </c>
      <c r="AN680" s="46" t="b">
        <f t="shared" si="157"/>
        <v>0</v>
      </c>
      <c r="AO680" s="50" t="b">
        <f t="shared" si="158"/>
        <v>0</v>
      </c>
    </row>
    <row r="681" spans="21:41" x14ac:dyDescent="0.2">
      <c r="U681" s="46">
        <f t="shared" si="149"/>
        <v>6742</v>
      </c>
      <c r="V681" s="46">
        <f t="shared" si="150"/>
        <v>6751</v>
      </c>
      <c r="W681" s="33" t="e">
        <f>IFERROR(AVERAGEIFS(data_brute!M:M,data_brute!J:J,"&lt;="&amp;V681,data_brute!J:J,"&gt;="&amp;U681),NA())</f>
        <v>#N/A</v>
      </c>
      <c r="X681" s="46" t="e">
        <f t="shared" si="151"/>
        <v>#N/A</v>
      </c>
      <c r="Y681" s="2" t="b">
        <f t="shared" si="152"/>
        <v>0</v>
      </c>
      <c r="Z681" s="2" t="b">
        <f t="shared" si="153"/>
        <v>0</v>
      </c>
      <c r="AE681" s="46">
        <f t="shared" si="146"/>
        <v>6742</v>
      </c>
      <c r="AF681" s="46">
        <f t="shared" si="147"/>
        <v>6751</v>
      </c>
      <c r="AG681" s="33" t="e">
        <f>IFERROR(AVERAGEIFS(data_brute!M:M,data_brute!J:J,"&gt;="&amp;AE681,data_brute!J:J,"&lt;="&amp;AF681),NA())</f>
        <v>#N/A</v>
      </c>
      <c r="AH681" s="46" t="e">
        <f t="shared" si="148"/>
        <v>#N/A</v>
      </c>
      <c r="AJ681" s="46">
        <f t="shared" si="154"/>
        <v>6742</v>
      </c>
      <c r="AK681" s="46">
        <f t="shared" si="155"/>
        <v>6751</v>
      </c>
      <c r="AL681" s="33">
        <f ca="1">IFERROR(AVERAGEIFS(data_brute!M:M,data_brute!J:J,"&lt;="&amp;AK681),NA())</f>
        <v>25.353524229074896</v>
      </c>
      <c r="AM681" s="46">
        <f t="shared" ca="1" si="156"/>
        <v>6750</v>
      </c>
      <c r="AN681" s="46" t="b">
        <f t="shared" si="157"/>
        <v>0</v>
      </c>
      <c r="AO681" s="50" t="b">
        <f t="shared" si="158"/>
        <v>0</v>
      </c>
    </row>
    <row r="682" spans="21:41" x14ac:dyDescent="0.2">
      <c r="U682" s="46">
        <f t="shared" si="149"/>
        <v>6752</v>
      </c>
      <c r="V682" s="46">
        <f t="shared" si="150"/>
        <v>6761</v>
      </c>
      <c r="W682" s="33" t="e">
        <f>IFERROR(AVERAGEIFS(data_brute!M:M,data_brute!J:J,"&lt;="&amp;V682,data_brute!J:J,"&gt;="&amp;U682),NA())</f>
        <v>#N/A</v>
      </c>
      <c r="X682" s="46" t="e">
        <f t="shared" si="151"/>
        <v>#N/A</v>
      </c>
      <c r="Y682" s="2" t="b">
        <f t="shared" si="152"/>
        <v>0</v>
      </c>
      <c r="Z682" s="2" t="b">
        <f t="shared" si="153"/>
        <v>0</v>
      </c>
      <c r="AE682" s="46">
        <f t="shared" si="146"/>
        <v>6752</v>
      </c>
      <c r="AF682" s="46">
        <f t="shared" si="147"/>
        <v>6761</v>
      </c>
      <c r="AG682" s="33" t="e">
        <f>IFERROR(AVERAGEIFS(data_brute!M:M,data_brute!J:J,"&gt;="&amp;AE682,data_brute!J:J,"&lt;="&amp;AF682),NA())</f>
        <v>#N/A</v>
      </c>
      <c r="AH682" s="46" t="e">
        <f t="shared" si="148"/>
        <v>#N/A</v>
      </c>
      <c r="AJ682" s="46">
        <f t="shared" si="154"/>
        <v>6752</v>
      </c>
      <c r="AK682" s="46">
        <f t="shared" si="155"/>
        <v>6761</v>
      </c>
      <c r="AL682" s="33">
        <f ca="1">IFERROR(AVERAGEIFS(data_brute!M:M,data_brute!J:J,"&lt;="&amp;AK682),NA())</f>
        <v>25.353524229074896</v>
      </c>
      <c r="AM682" s="46">
        <f t="shared" ca="1" si="156"/>
        <v>6760</v>
      </c>
      <c r="AN682" s="46" t="b">
        <f t="shared" si="157"/>
        <v>0</v>
      </c>
      <c r="AO682" s="50" t="b">
        <f t="shared" si="158"/>
        <v>0</v>
      </c>
    </row>
    <row r="683" spans="21:41" x14ac:dyDescent="0.2">
      <c r="U683" s="46">
        <f t="shared" si="149"/>
        <v>6762</v>
      </c>
      <c r="V683" s="46">
        <f t="shared" si="150"/>
        <v>6771</v>
      </c>
      <c r="W683" s="33" t="e">
        <f>IFERROR(AVERAGEIFS(data_brute!M:M,data_brute!J:J,"&lt;="&amp;V683,data_brute!J:J,"&gt;="&amp;U683),NA())</f>
        <v>#N/A</v>
      </c>
      <c r="X683" s="46" t="e">
        <f t="shared" si="151"/>
        <v>#N/A</v>
      </c>
      <c r="Y683" s="2" t="b">
        <f t="shared" si="152"/>
        <v>0</v>
      </c>
      <c r="Z683" s="2" t="b">
        <f t="shared" si="153"/>
        <v>0</v>
      </c>
      <c r="AE683" s="46">
        <f t="shared" si="146"/>
        <v>6762</v>
      </c>
      <c r="AF683" s="46">
        <f t="shared" si="147"/>
        <v>6771</v>
      </c>
      <c r="AG683" s="33" t="e">
        <f>IFERROR(AVERAGEIFS(data_brute!M:M,data_brute!J:J,"&gt;="&amp;AE683,data_brute!J:J,"&lt;="&amp;AF683),NA())</f>
        <v>#N/A</v>
      </c>
      <c r="AH683" s="46" t="e">
        <f t="shared" si="148"/>
        <v>#N/A</v>
      </c>
      <c r="AJ683" s="46">
        <f t="shared" si="154"/>
        <v>6762</v>
      </c>
      <c r="AK683" s="46">
        <f t="shared" si="155"/>
        <v>6771</v>
      </c>
      <c r="AL683" s="33">
        <f ca="1">IFERROR(AVERAGEIFS(data_brute!M:M,data_brute!J:J,"&lt;="&amp;AK683),NA())</f>
        <v>25.353524229074896</v>
      </c>
      <c r="AM683" s="46">
        <f t="shared" ca="1" si="156"/>
        <v>6770</v>
      </c>
      <c r="AN683" s="46" t="b">
        <f t="shared" si="157"/>
        <v>0</v>
      </c>
      <c r="AO683" s="50" t="b">
        <f t="shared" si="158"/>
        <v>0</v>
      </c>
    </row>
    <row r="684" spans="21:41" x14ac:dyDescent="0.2">
      <c r="U684" s="46">
        <f t="shared" si="149"/>
        <v>6772</v>
      </c>
      <c r="V684" s="46">
        <f t="shared" si="150"/>
        <v>6781</v>
      </c>
      <c r="W684" s="33" t="e">
        <f>IFERROR(AVERAGEIFS(data_brute!M:M,data_brute!J:J,"&lt;="&amp;V684,data_brute!J:J,"&gt;="&amp;U684),NA())</f>
        <v>#N/A</v>
      </c>
      <c r="X684" s="46" t="e">
        <f t="shared" si="151"/>
        <v>#N/A</v>
      </c>
      <c r="Y684" s="2" t="b">
        <f t="shared" si="152"/>
        <v>0</v>
      </c>
      <c r="Z684" s="2" t="b">
        <f t="shared" si="153"/>
        <v>0</v>
      </c>
      <c r="AE684" s="46">
        <f t="shared" si="146"/>
        <v>6772</v>
      </c>
      <c r="AF684" s="46">
        <f t="shared" si="147"/>
        <v>6781</v>
      </c>
      <c r="AG684" s="33" t="e">
        <f>IFERROR(AVERAGEIFS(data_brute!M:M,data_brute!J:J,"&gt;="&amp;AE684,data_brute!J:J,"&lt;="&amp;AF684),NA())</f>
        <v>#N/A</v>
      </c>
      <c r="AH684" s="46" t="e">
        <f t="shared" si="148"/>
        <v>#N/A</v>
      </c>
      <c r="AJ684" s="46">
        <f t="shared" si="154"/>
        <v>6772</v>
      </c>
      <c r="AK684" s="46">
        <f t="shared" si="155"/>
        <v>6781</v>
      </c>
      <c r="AL684" s="33">
        <f ca="1">IFERROR(AVERAGEIFS(data_brute!M:M,data_brute!J:J,"&lt;="&amp;AK684),NA())</f>
        <v>25.353524229074896</v>
      </c>
      <c r="AM684" s="46">
        <f t="shared" ca="1" si="156"/>
        <v>6780</v>
      </c>
      <c r="AN684" s="46" t="b">
        <f t="shared" si="157"/>
        <v>0</v>
      </c>
      <c r="AO684" s="50" t="b">
        <f t="shared" si="158"/>
        <v>0</v>
      </c>
    </row>
    <row r="685" spans="21:41" x14ac:dyDescent="0.2">
      <c r="U685" s="46">
        <f t="shared" si="149"/>
        <v>6782</v>
      </c>
      <c r="V685" s="46">
        <f t="shared" si="150"/>
        <v>6791</v>
      </c>
      <c r="W685" s="33" t="e">
        <f>IFERROR(AVERAGEIFS(data_brute!M:M,data_brute!J:J,"&lt;="&amp;V685,data_brute!J:J,"&gt;="&amp;U685),NA())</f>
        <v>#N/A</v>
      </c>
      <c r="X685" s="46" t="e">
        <f t="shared" si="151"/>
        <v>#N/A</v>
      </c>
      <c r="Y685" s="2" t="b">
        <f t="shared" si="152"/>
        <v>0</v>
      </c>
      <c r="Z685" s="2" t="b">
        <f t="shared" si="153"/>
        <v>0</v>
      </c>
      <c r="AE685" s="46">
        <f t="shared" si="146"/>
        <v>6782</v>
      </c>
      <c r="AF685" s="46">
        <f t="shared" si="147"/>
        <v>6791</v>
      </c>
      <c r="AG685" s="33" t="e">
        <f>IFERROR(AVERAGEIFS(data_brute!M:M,data_brute!J:J,"&gt;="&amp;AE685,data_brute!J:J,"&lt;="&amp;AF685),NA())</f>
        <v>#N/A</v>
      </c>
      <c r="AH685" s="46" t="e">
        <f t="shared" si="148"/>
        <v>#N/A</v>
      </c>
      <c r="AJ685" s="46">
        <f t="shared" si="154"/>
        <v>6782</v>
      </c>
      <c r="AK685" s="46">
        <f t="shared" si="155"/>
        <v>6791</v>
      </c>
      <c r="AL685" s="33">
        <f ca="1">IFERROR(AVERAGEIFS(data_brute!M:M,data_brute!J:J,"&lt;="&amp;AK685),NA())</f>
        <v>25.353524229074896</v>
      </c>
      <c r="AM685" s="46">
        <f t="shared" ca="1" si="156"/>
        <v>6790</v>
      </c>
      <c r="AN685" s="46" t="b">
        <f t="shared" si="157"/>
        <v>0</v>
      </c>
      <c r="AO685" s="50" t="b">
        <f t="shared" si="158"/>
        <v>0</v>
      </c>
    </row>
    <row r="686" spans="21:41" x14ac:dyDescent="0.2">
      <c r="U686" s="46">
        <f t="shared" si="149"/>
        <v>6792</v>
      </c>
      <c r="V686" s="46">
        <f t="shared" si="150"/>
        <v>6801</v>
      </c>
      <c r="W686" s="33" t="e">
        <f>IFERROR(AVERAGEIFS(data_brute!M:M,data_brute!J:J,"&lt;="&amp;V686,data_brute!J:J,"&gt;="&amp;U686),NA())</f>
        <v>#N/A</v>
      </c>
      <c r="X686" s="46" t="e">
        <f t="shared" si="151"/>
        <v>#N/A</v>
      </c>
      <c r="Y686" s="2" t="b">
        <f t="shared" si="152"/>
        <v>0</v>
      </c>
      <c r="Z686" s="2" t="b">
        <f t="shared" si="153"/>
        <v>0</v>
      </c>
      <c r="AE686" s="46">
        <f t="shared" si="146"/>
        <v>6792</v>
      </c>
      <c r="AF686" s="46">
        <f t="shared" si="147"/>
        <v>6801</v>
      </c>
      <c r="AG686" s="33" t="e">
        <f>IFERROR(AVERAGEIFS(data_brute!M:M,data_brute!J:J,"&gt;="&amp;AE686,data_brute!J:J,"&lt;="&amp;AF686),NA())</f>
        <v>#N/A</v>
      </c>
      <c r="AH686" s="46" t="e">
        <f t="shared" si="148"/>
        <v>#N/A</v>
      </c>
      <c r="AJ686" s="46">
        <f t="shared" si="154"/>
        <v>6792</v>
      </c>
      <c r="AK686" s="46">
        <f t="shared" si="155"/>
        <v>6801</v>
      </c>
      <c r="AL686" s="33">
        <f ca="1">IFERROR(AVERAGEIFS(data_brute!M:M,data_brute!J:J,"&lt;="&amp;AK686),NA())</f>
        <v>25.353524229074896</v>
      </c>
      <c r="AM686" s="46">
        <f t="shared" ca="1" si="156"/>
        <v>6800</v>
      </c>
      <c r="AN686" s="46" t="b">
        <f t="shared" si="157"/>
        <v>0</v>
      </c>
      <c r="AO686" s="50" t="b">
        <f t="shared" si="158"/>
        <v>0</v>
      </c>
    </row>
    <row r="687" spans="21:41" x14ac:dyDescent="0.2">
      <c r="U687" s="46">
        <f t="shared" si="149"/>
        <v>6802</v>
      </c>
      <c r="V687" s="46">
        <f t="shared" si="150"/>
        <v>6811</v>
      </c>
      <c r="W687" s="33" t="e">
        <f>IFERROR(AVERAGEIFS(data_brute!M:M,data_brute!J:J,"&lt;="&amp;V687,data_brute!J:J,"&gt;="&amp;U687),NA())</f>
        <v>#N/A</v>
      </c>
      <c r="X687" s="46" t="e">
        <f t="shared" si="151"/>
        <v>#N/A</v>
      </c>
      <c r="Y687" s="2" t="b">
        <f t="shared" si="152"/>
        <v>0</v>
      </c>
      <c r="Z687" s="2" t="b">
        <f t="shared" si="153"/>
        <v>0</v>
      </c>
      <c r="AE687" s="46">
        <f t="shared" si="146"/>
        <v>6802</v>
      </c>
      <c r="AF687" s="46">
        <f t="shared" si="147"/>
        <v>6811</v>
      </c>
      <c r="AG687" s="33" t="e">
        <f>IFERROR(AVERAGEIFS(data_brute!M:M,data_brute!J:J,"&gt;="&amp;AE687,data_brute!J:J,"&lt;="&amp;AF687),NA())</f>
        <v>#N/A</v>
      </c>
      <c r="AH687" s="46" t="e">
        <f t="shared" si="148"/>
        <v>#N/A</v>
      </c>
      <c r="AJ687" s="46">
        <f t="shared" si="154"/>
        <v>6802</v>
      </c>
      <c r="AK687" s="46">
        <f t="shared" si="155"/>
        <v>6811</v>
      </c>
      <c r="AL687" s="33">
        <f ca="1">IFERROR(AVERAGEIFS(data_brute!M:M,data_brute!J:J,"&lt;="&amp;AK687),NA())</f>
        <v>25.353524229074896</v>
      </c>
      <c r="AM687" s="46">
        <f t="shared" ca="1" si="156"/>
        <v>6810</v>
      </c>
      <c r="AN687" s="46" t="b">
        <f t="shared" si="157"/>
        <v>0</v>
      </c>
      <c r="AO687" s="50" t="b">
        <f t="shared" si="158"/>
        <v>0</v>
      </c>
    </row>
    <row r="688" spans="21:41" x14ac:dyDescent="0.2">
      <c r="U688" s="46">
        <f t="shared" si="149"/>
        <v>6812</v>
      </c>
      <c r="V688" s="46">
        <f t="shared" si="150"/>
        <v>6821</v>
      </c>
      <c r="W688" s="33" t="e">
        <f>IFERROR(AVERAGEIFS(data_brute!M:M,data_brute!J:J,"&lt;="&amp;V688,data_brute!J:J,"&gt;="&amp;U688),NA())</f>
        <v>#N/A</v>
      </c>
      <c r="X688" s="46" t="e">
        <f t="shared" si="151"/>
        <v>#N/A</v>
      </c>
      <c r="Y688" s="2" t="b">
        <f t="shared" si="152"/>
        <v>0</v>
      </c>
      <c r="Z688" s="2" t="b">
        <f t="shared" si="153"/>
        <v>0</v>
      </c>
      <c r="AE688" s="46">
        <f t="shared" si="146"/>
        <v>6812</v>
      </c>
      <c r="AF688" s="46">
        <f t="shared" si="147"/>
        <v>6821</v>
      </c>
      <c r="AG688" s="33" t="e">
        <f>IFERROR(AVERAGEIFS(data_brute!M:M,data_brute!J:J,"&gt;="&amp;AE688,data_brute!J:J,"&lt;="&amp;AF688),NA())</f>
        <v>#N/A</v>
      </c>
      <c r="AH688" s="46" t="e">
        <f t="shared" si="148"/>
        <v>#N/A</v>
      </c>
      <c r="AJ688" s="46">
        <f t="shared" si="154"/>
        <v>6812</v>
      </c>
      <c r="AK688" s="46">
        <f t="shared" si="155"/>
        <v>6821</v>
      </c>
      <c r="AL688" s="33">
        <f ca="1">IFERROR(AVERAGEIFS(data_brute!M:M,data_brute!J:J,"&lt;="&amp;AK688),NA())</f>
        <v>25.353524229074896</v>
      </c>
      <c r="AM688" s="46">
        <f t="shared" ca="1" si="156"/>
        <v>6820</v>
      </c>
      <c r="AN688" s="46" t="b">
        <f t="shared" si="157"/>
        <v>0</v>
      </c>
      <c r="AO688" s="50" t="b">
        <f t="shared" si="158"/>
        <v>0</v>
      </c>
    </row>
    <row r="689" spans="21:41" x14ac:dyDescent="0.2">
      <c r="U689" s="46">
        <f t="shared" si="149"/>
        <v>6822</v>
      </c>
      <c r="V689" s="46">
        <f t="shared" si="150"/>
        <v>6831</v>
      </c>
      <c r="W689" s="33" t="e">
        <f>IFERROR(AVERAGEIFS(data_brute!M:M,data_brute!J:J,"&lt;="&amp;V689,data_brute!J:J,"&gt;="&amp;U689),NA())</f>
        <v>#N/A</v>
      </c>
      <c r="X689" s="46" t="e">
        <f t="shared" si="151"/>
        <v>#N/A</v>
      </c>
      <c r="Y689" s="2" t="b">
        <f t="shared" si="152"/>
        <v>0</v>
      </c>
      <c r="Z689" s="2" t="b">
        <f t="shared" si="153"/>
        <v>0</v>
      </c>
      <c r="AE689" s="46">
        <f t="shared" si="146"/>
        <v>6822</v>
      </c>
      <c r="AF689" s="46">
        <f t="shared" si="147"/>
        <v>6831</v>
      </c>
      <c r="AG689" s="33" t="e">
        <f>IFERROR(AVERAGEIFS(data_brute!M:M,data_brute!J:J,"&gt;="&amp;AE689,data_brute!J:J,"&lt;="&amp;AF689),NA())</f>
        <v>#N/A</v>
      </c>
      <c r="AH689" s="46" t="e">
        <f t="shared" si="148"/>
        <v>#N/A</v>
      </c>
      <c r="AJ689" s="46">
        <f t="shared" si="154"/>
        <v>6822</v>
      </c>
      <c r="AK689" s="46">
        <f t="shared" si="155"/>
        <v>6831</v>
      </c>
      <c r="AL689" s="33">
        <f ca="1">IFERROR(AVERAGEIFS(data_brute!M:M,data_brute!J:J,"&lt;="&amp;AK689),NA())</f>
        <v>25.353524229074896</v>
      </c>
      <c r="AM689" s="46">
        <f t="shared" ca="1" si="156"/>
        <v>6830</v>
      </c>
      <c r="AN689" s="46" t="b">
        <f t="shared" si="157"/>
        <v>0</v>
      </c>
      <c r="AO689" s="50" t="b">
        <f t="shared" si="158"/>
        <v>0</v>
      </c>
    </row>
    <row r="690" spans="21:41" x14ac:dyDescent="0.2">
      <c r="U690" s="46">
        <f t="shared" si="149"/>
        <v>6832</v>
      </c>
      <c r="V690" s="46">
        <f t="shared" si="150"/>
        <v>6841</v>
      </c>
      <c r="W690" s="33" t="e">
        <f>IFERROR(AVERAGEIFS(data_brute!M:M,data_brute!J:J,"&lt;="&amp;V690,data_brute!J:J,"&gt;="&amp;U690),NA())</f>
        <v>#N/A</v>
      </c>
      <c r="X690" s="46" t="e">
        <f t="shared" si="151"/>
        <v>#N/A</v>
      </c>
      <c r="Y690" s="2" t="b">
        <f t="shared" si="152"/>
        <v>0</v>
      </c>
      <c r="Z690" s="2" t="b">
        <f t="shared" si="153"/>
        <v>0</v>
      </c>
      <c r="AE690" s="46">
        <f t="shared" si="146"/>
        <v>6832</v>
      </c>
      <c r="AF690" s="46">
        <f t="shared" si="147"/>
        <v>6841</v>
      </c>
      <c r="AG690" s="33" t="e">
        <f>IFERROR(AVERAGEIFS(data_brute!M:M,data_brute!J:J,"&gt;="&amp;AE690,data_brute!J:J,"&lt;="&amp;AF690),NA())</f>
        <v>#N/A</v>
      </c>
      <c r="AH690" s="46" t="e">
        <f t="shared" si="148"/>
        <v>#N/A</v>
      </c>
      <c r="AJ690" s="46">
        <f t="shared" si="154"/>
        <v>6832</v>
      </c>
      <c r="AK690" s="46">
        <f t="shared" si="155"/>
        <v>6841</v>
      </c>
      <c r="AL690" s="33">
        <f ca="1">IFERROR(AVERAGEIFS(data_brute!M:M,data_brute!J:J,"&lt;="&amp;AK690),NA())</f>
        <v>25.353524229074896</v>
      </c>
      <c r="AM690" s="46">
        <f t="shared" ca="1" si="156"/>
        <v>6840</v>
      </c>
      <c r="AN690" s="46" t="b">
        <f t="shared" si="157"/>
        <v>0</v>
      </c>
      <c r="AO690" s="50" t="b">
        <f t="shared" si="158"/>
        <v>0</v>
      </c>
    </row>
    <row r="691" spans="21:41" x14ac:dyDescent="0.2">
      <c r="U691" s="46">
        <f t="shared" si="149"/>
        <v>6842</v>
      </c>
      <c r="V691" s="46">
        <f t="shared" si="150"/>
        <v>6851</v>
      </c>
      <c r="W691" s="33" t="e">
        <f>IFERROR(AVERAGEIFS(data_brute!M:M,data_brute!J:J,"&lt;="&amp;V691,data_brute!J:J,"&gt;="&amp;U691),NA())</f>
        <v>#N/A</v>
      </c>
      <c r="X691" s="46" t="e">
        <f t="shared" si="151"/>
        <v>#N/A</v>
      </c>
      <c r="Y691" s="2" t="b">
        <f t="shared" si="152"/>
        <v>0</v>
      </c>
      <c r="Z691" s="2" t="b">
        <f t="shared" si="153"/>
        <v>0</v>
      </c>
      <c r="AE691" s="46">
        <f t="shared" si="146"/>
        <v>6842</v>
      </c>
      <c r="AF691" s="46">
        <f t="shared" si="147"/>
        <v>6851</v>
      </c>
      <c r="AG691" s="33" t="e">
        <f>IFERROR(AVERAGEIFS(data_brute!M:M,data_brute!J:J,"&gt;="&amp;AE691,data_brute!J:J,"&lt;="&amp;AF691),NA())</f>
        <v>#N/A</v>
      </c>
      <c r="AH691" s="46" t="e">
        <f t="shared" si="148"/>
        <v>#N/A</v>
      </c>
      <c r="AJ691" s="46">
        <f t="shared" si="154"/>
        <v>6842</v>
      </c>
      <c r="AK691" s="46">
        <f t="shared" si="155"/>
        <v>6851</v>
      </c>
      <c r="AL691" s="33">
        <f ca="1">IFERROR(AVERAGEIFS(data_brute!M:M,data_brute!J:J,"&lt;="&amp;AK691),NA())</f>
        <v>25.353524229074896</v>
      </c>
      <c r="AM691" s="46">
        <f t="shared" ca="1" si="156"/>
        <v>6850</v>
      </c>
      <c r="AN691" s="46" t="b">
        <f t="shared" si="157"/>
        <v>0</v>
      </c>
      <c r="AO691" s="50" t="b">
        <f t="shared" si="158"/>
        <v>0</v>
      </c>
    </row>
    <row r="692" spans="21:41" x14ac:dyDescent="0.2">
      <c r="U692" s="46">
        <f t="shared" si="149"/>
        <v>6852</v>
      </c>
      <c r="V692" s="46">
        <f t="shared" si="150"/>
        <v>6861</v>
      </c>
      <c r="W692" s="33" t="e">
        <f>IFERROR(AVERAGEIFS(data_brute!M:M,data_brute!J:J,"&lt;="&amp;V692,data_brute!J:J,"&gt;="&amp;U692),NA())</f>
        <v>#N/A</v>
      </c>
      <c r="X692" s="46" t="e">
        <f t="shared" si="151"/>
        <v>#N/A</v>
      </c>
      <c r="Y692" s="2" t="b">
        <f t="shared" si="152"/>
        <v>0</v>
      </c>
      <c r="Z692" s="2" t="b">
        <f t="shared" si="153"/>
        <v>0</v>
      </c>
      <c r="AE692" s="46">
        <f t="shared" si="146"/>
        <v>6852</v>
      </c>
      <c r="AF692" s="46">
        <f t="shared" si="147"/>
        <v>6861</v>
      </c>
      <c r="AG692" s="33" t="e">
        <f>IFERROR(AVERAGEIFS(data_brute!M:M,data_brute!J:J,"&gt;="&amp;AE692,data_brute!J:J,"&lt;="&amp;AF692),NA())</f>
        <v>#N/A</v>
      </c>
      <c r="AH692" s="46" t="e">
        <f t="shared" si="148"/>
        <v>#N/A</v>
      </c>
      <c r="AJ692" s="46">
        <f t="shared" si="154"/>
        <v>6852</v>
      </c>
      <c r="AK692" s="46">
        <f t="shared" si="155"/>
        <v>6861</v>
      </c>
      <c r="AL692" s="33">
        <f ca="1">IFERROR(AVERAGEIFS(data_brute!M:M,data_brute!J:J,"&lt;="&amp;AK692),NA())</f>
        <v>25.353524229074896</v>
      </c>
      <c r="AM692" s="46">
        <f t="shared" ca="1" si="156"/>
        <v>6860</v>
      </c>
      <c r="AN692" s="46" t="b">
        <f t="shared" si="157"/>
        <v>0</v>
      </c>
      <c r="AO692" s="50" t="b">
        <f t="shared" si="158"/>
        <v>0</v>
      </c>
    </row>
    <row r="693" spans="21:41" x14ac:dyDescent="0.2">
      <c r="U693" s="46">
        <f t="shared" si="149"/>
        <v>6862</v>
      </c>
      <c r="V693" s="46">
        <f t="shared" si="150"/>
        <v>6871</v>
      </c>
      <c r="W693" s="33" t="e">
        <f>IFERROR(AVERAGEIFS(data_brute!M:M,data_brute!J:J,"&lt;="&amp;V693,data_brute!J:J,"&gt;="&amp;U693),NA())</f>
        <v>#N/A</v>
      </c>
      <c r="X693" s="46" t="e">
        <f t="shared" si="151"/>
        <v>#N/A</v>
      </c>
      <c r="Y693" s="2" t="b">
        <f t="shared" si="152"/>
        <v>0</v>
      </c>
      <c r="Z693" s="2" t="b">
        <f t="shared" si="153"/>
        <v>0</v>
      </c>
      <c r="AE693" s="46">
        <f t="shared" si="146"/>
        <v>6862</v>
      </c>
      <c r="AF693" s="46">
        <f t="shared" si="147"/>
        <v>6871</v>
      </c>
      <c r="AG693" s="33" t="e">
        <f>IFERROR(AVERAGEIFS(data_brute!M:M,data_brute!J:J,"&gt;="&amp;AE693,data_brute!J:J,"&lt;="&amp;AF693),NA())</f>
        <v>#N/A</v>
      </c>
      <c r="AH693" s="46" t="e">
        <f t="shared" si="148"/>
        <v>#N/A</v>
      </c>
      <c r="AJ693" s="46">
        <f t="shared" si="154"/>
        <v>6862</v>
      </c>
      <c r="AK693" s="46">
        <f t="shared" si="155"/>
        <v>6871</v>
      </c>
      <c r="AL693" s="33">
        <f ca="1">IFERROR(AVERAGEIFS(data_brute!M:M,data_brute!J:J,"&lt;="&amp;AK693),NA())</f>
        <v>25.353524229074896</v>
      </c>
      <c r="AM693" s="46">
        <f t="shared" ca="1" si="156"/>
        <v>6870</v>
      </c>
      <c r="AN693" s="46" t="b">
        <f t="shared" si="157"/>
        <v>0</v>
      </c>
      <c r="AO693" s="50" t="b">
        <f t="shared" si="158"/>
        <v>0</v>
      </c>
    </row>
    <row r="694" spans="21:41" x14ac:dyDescent="0.2">
      <c r="U694" s="46">
        <f t="shared" si="149"/>
        <v>6872</v>
      </c>
      <c r="V694" s="46">
        <f t="shared" si="150"/>
        <v>6881</v>
      </c>
      <c r="W694" s="33" t="e">
        <f>IFERROR(AVERAGEIFS(data_brute!M:M,data_brute!J:J,"&lt;="&amp;V694,data_brute!J:J,"&gt;="&amp;U694),NA())</f>
        <v>#N/A</v>
      </c>
      <c r="X694" s="46" t="e">
        <f t="shared" si="151"/>
        <v>#N/A</v>
      </c>
      <c r="Y694" s="2" t="b">
        <f t="shared" si="152"/>
        <v>0</v>
      </c>
      <c r="Z694" s="2" t="b">
        <f t="shared" si="153"/>
        <v>0</v>
      </c>
      <c r="AE694" s="46">
        <f t="shared" si="146"/>
        <v>6872</v>
      </c>
      <c r="AF694" s="46">
        <f t="shared" si="147"/>
        <v>6881</v>
      </c>
      <c r="AG694" s="33" t="e">
        <f>IFERROR(AVERAGEIFS(data_brute!M:M,data_brute!J:J,"&gt;="&amp;AE694,data_brute!J:J,"&lt;="&amp;AF694),NA())</f>
        <v>#N/A</v>
      </c>
      <c r="AH694" s="46" t="e">
        <f t="shared" si="148"/>
        <v>#N/A</v>
      </c>
      <c r="AJ694" s="46">
        <f t="shared" si="154"/>
        <v>6872</v>
      </c>
      <c r="AK694" s="46">
        <f t="shared" si="155"/>
        <v>6881</v>
      </c>
      <c r="AL694" s="33">
        <f ca="1">IFERROR(AVERAGEIFS(data_brute!M:M,data_brute!J:J,"&lt;="&amp;AK694),NA())</f>
        <v>25.353524229074896</v>
      </c>
      <c r="AM694" s="46">
        <f t="shared" ca="1" si="156"/>
        <v>6880</v>
      </c>
      <c r="AN694" s="46" t="b">
        <f t="shared" si="157"/>
        <v>0</v>
      </c>
      <c r="AO694" s="50" t="b">
        <f t="shared" si="158"/>
        <v>0</v>
      </c>
    </row>
    <row r="695" spans="21:41" x14ac:dyDescent="0.2">
      <c r="U695" s="46">
        <f t="shared" si="149"/>
        <v>6882</v>
      </c>
      <c r="V695" s="46">
        <f t="shared" si="150"/>
        <v>6891</v>
      </c>
      <c r="W695" s="33" t="e">
        <f>IFERROR(AVERAGEIFS(data_brute!M:M,data_brute!J:J,"&lt;="&amp;V695,data_brute!J:J,"&gt;="&amp;U695),NA())</f>
        <v>#N/A</v>
      </c>
      <c r="X695" s="46" t="e">
        <f t="shared" si="151"/>
        <v>#N/A</v>
      </c>
      <c r="Y695" s="2" t="b">
        <f t="shared" si="152"/>
        <v>0</v>
      </c>
      <c r="Z695" s="2" t="b">
        <f t="shared" si="153"/>
        <v>0</v>
      </c>
      <c r="AE695" s="46">
        <f t="shared" si="146"/>
        <v>6882</v>
      </c>
      <c r="AF695" s="46">
        <f t="shared" si="147"/>
        <v>6891</v>
      </c>
      <c r="AG695" s="33" t="e">
        <f>IFERROR(AVERAGEIFS(data_brute!M:M,data_brute!J:J,"&gt;="&amp;AE695,data_brute!J:J,"&lt;="&amp;AF695),NA())</f>
        <v>#N/A</v>
      </c>
      <c r="AH695" s="46" t="e">
        <f t="shared" si="148"/>
        <v>#N/A</v>
      </c>
      <c r="AJ695" s="46">
        <f t="shared" si="154"/>
        <v>6882</v>
      </c>
      <c r="AK695" s="46">
        <f t="shared" si="155"/>
        <v>6891</v>
      </c>
      <c r="AL695" s="33">
        <f ca="1">IFERROR(AVERAGEIFS(data_brute!M:M,data_brute!J:J,"&lt;="&amp;AK695),NA())</f>
        <v>25.353524229074896</v>
      </c>
      <c r="AM695" s="46">
        <f t="shared" ca="1" si="156"/>
        <v>6890</v>
      </c>
      <c r="AN695" s="46" t="b">
        <f t="shared" si="157"/>
        <v>0</v>
      </c>
      <c r="AO695" s="50" t="b">
        <f t="shared" si="158"/>
        <v>0</v>
      </c>
    </row>
    <row r="696" spans="21:41" x14ac:dyDescent="0.2">
      <c r="U696" s="46">
        <f t="shared" si="149"/>
        <v>6892</v>
      </c>
      <c r="V696" s="46">
        <f t="shared" si="150"/>
        <v>6901</v>
      </c>
      <c r="W696" s="33" t="e">
        <f>IFERROR(AVERAGEIFS(data_brute!M:M,data_brute!J:J,"&lt;="&amp;V696,data_brute!J:J,"&gt;="&amp;U696),NA())</f>
        <v>#N/A</v>
      </c>
      <c r="X696" s="46" t="e">
        <f t="shared" si="151"/>
        <v>#N/A</v>
      </c>
      <c r="Y696" s="2" t="b">
        <f t="shared" si="152"/>
        <v>0</v>
      </c>
      <c r="Z696" s="2" t="b">
        <f t="shared" si="153"/>
        <v>0</v>
      </c>
      <c r="AE696" s="46">
        <f t="shared" si="146"/>
        <v>6892</v>
      </c>
      <c r="AF696" s="46">
        <f t="shared" si="147"/>
        <v>6901</v>
      </c>
      <c r="AG696" s="33" t="e">
        <f>IFERROR(AVERAGEIFS(data_brute!M:M,data_brute!J:J,"&gt;="&amp;AE696,data_brute!J:J,"&lt;="&amp;AF696),NA())</f>
        <v>#N/A</v>
      </c>
      <c r="AH696" s="46" t="e">
        <f t="shared" si="148"/>
        <v>#N/A</v>
      </c>
      <c r="AJ696" s="46">
        <f t="shared" si="154"/>
        <v>6892</v>
      </c>
      <c r="AK696" s="46">
        <f t="shared" si="155"/>
        <v>6901</v>
      </c>
      <c r="AL696" s="33">
        <f ca="1">IFERROR(AVERAGEIFS(data_brute!M:M,data_brute!J:J,"&lt;="&amp;AK696),NA())</f>
        <v>25.353524229074896</v>
      </c>
      <c r="AM696" s="46">
        <f t="shared" ca="1" si="156"/>
        <v>6900</v>
      </c>
      <c r="AN696" s="46" t="b">
        <f t="shared" si="157"/>
        <v>0</v>
      </c>
      <c r="AO696" s="50" t="b">
        <f t="shared" si="158"/>
        <v>0</v>
      </c>
    </row>
    <row r="697" spans="21:41" x14ac:dyDescent="0.2">
      <c r="U697" s="46">
        <f t="shared" si="149"/>
        <v>6902</v>
      </c>
      <c r="V697" s="46">
        <f t="shared" si="150"/>
        <v>6911</v>
      </c>
      <c r="W697" s="33" t="e">
        <f>IFERROR(AVERAGEIFS(data_brute!M:M,data_brute!J:J,"&lt;="&amp;V697,data_brute!J:J,"&gt;="&amp;U697),NA())</f>
        <v>#N/A</v>
      </c>
      <c r="X697" s="46" t="e">
        <f t="shared" si="151"/>
        <v>#N/A</v>
      </c>
      <c r="Y697" s="2" t="b">
        <f t="shared" si="152"/>
        <v>0</v>
      </c>
      <c r="Z697" s="2" t="b">
        <f t="shared" si="153"/>
        <v>0</v>
      </c>
      <c r="AE697" s="46">
        <f t="shared" si="146"/>
        <v>6902</v>
      </c>
      <c r="AF697" s="46">
        <f t="shared" si="147"/>
        <v>6911</v>
      </c>
      <c r="AG697" s="33" t="e">
        <f>IFERROR(AVERAGEIFS(data_brute!M:M,data_brute!J:J,"&gt;="&amp;AE697,data_brute!J:J,"&lt;="&amp;AF697),NA())</f>
        <v>#N/A</v>
      </c>
      <c r="AH697" s="46" t="e">
        <f t="shared" si="148"/>
        <v>#N/A</v>
      </c>
      <c r="AJ697" s="46">
        <f t="shared" si="154"/>
        <v>6902</v>
      </c>
      <c r="AK697" s="46">
        <f t="shared" si="155"/>
        <v>6911</v>
      </c>
      <c r="AL697" s="33">
        <f ca="1">IFERROR(AVERAGEIFS(data_brute!M:M,data_brute!J:J,"&lt;="&amp;AK697),NA())</f>
        <v>25.353524229074896</v>
      </c>
      <c r="AM697" s="46">
        <f t="shared" ca="1" si="156"/>
        <v>6910</v>
      </c>
      <c r="AN697" s="46" t="b">
        <f t="shared" si="157"/>
        <v>0</v>
      </c>
      <c r="AO697" s="50" t="b">
        <f t="shared" si="158"/>
        <v>0</v>
      </c>
    </row>
    <row r="698" spans="21:41" x14ac:dyDescent="0.2">
      <c r="U698" s="46">
        <f t="shared" si="149"/>
        <v>6912</v>
      </c>
      <c r="V698" s="46">
        <f t="shared" si="150"/>
        <v>6921</v>
      </c>
      <c r="W698" s="33" t="e">
        <f>IFERROR(AVERAGEIFS(data_brute!M:M,data_brute!J:J,"&lt;="&amp;V698,data_brute!J:J,"&gt;="&amp;U698),NA())</f>
        <v>#N/A</v>
      </c>
      <c r="X698" s="46" t="e">
        <f t="shared" si="151"/>
        <v>#N/A</v>
      </c>
      <c r="Y698" s="2" t="b">
        <f t="shared" si="152"/>
        <v>0</v>
      </c>
      <c r="Z698" s="2" t="b">
        <f t="shared" si="153"/>
        <v>0</v>
      </c>
      <c r="AE698" s="46">
        <f t="shared" si="146"/>
        <v>6912</v>
      </c>
      <c r="AF698" s="46">
        <f t="shared" si="147"/>
        <v>6921</v>
      </c>
      <c r="AG698" s="33" t="e">
        <f>IFERROR(AVERAGEIFS(data_brute!M:M,data_brute!J:J,"&gt;="&amp;AE698,data_brute!J:J,"&lt;="&amp;AF698),NA())</f>
        <v>#N/A</v>
      </c>
      <c r="AH698" s="46" t="e">
        <f t="shared" si="148"/>
        <v>#N/A</v>
      </c>
      <c r="AJ698" s="46">
        <f t="shared" si="154"/>
        <v>6912</v>
      </c>
      <c r="AK698" s="46">
        <f t="shared" si="155"/>
        <v>6921</v>
      </c>
      <c r="AL698" s="33">
        <f ca="1">IFERROR(AVERAGEIFS(data_brute!M:M,data_brute!J:J,"&lt;="&amp;AK698),NA())</f>
        <v>25.353524229074896</v>
      </c>
      <c r="AM698" s="46">
        <f t="shared" ca="1" si="156"/>
        <v>6920</v>
      </c>
      <c r="AN698" s="46" t="b">
        <f t="shared" si="157"/>
        <v>0</v>
      </c>
      <c r="AO698" s="50" t="b">
        <f t="shared" si="158"/>
        <v>0</v>
      </c>
    </row>
    <row r="699" spans="21:41" x14ac:dyDescent="0.2">
      <c r="U699" s="46">
        <f t="shared" si="149"/>
        <v>6922</v>
      </c>
      <c r="V699" s="46">
        <f t="shared" si="150"/>
        <v>6931</v>
      </c>
      <c r="W699" s="33" t="e">
        <f>IFERROR(AVERAGEIFS(data_brute!M:M,data_brute!J:J,"&lt;="&amp;V699,data_brute!J:J,"&gt;="&amp;U699),NA())</f>
        <v>#N/A</v>
      </c>
      <c r="X699" s="46" t="e">
        <f t="shared" si="151"/>
        <v>#N/A</v>
      </c>
      <c r="Y699" s="2" t="b">
        <f t="shared" si="152"/>
        <v>0</v>
      </c>
      <c r="Z699" s="2" t="b">
        <f t="shared" si="153"/>
        <v>0</v>
      </c>
      <c r="AE699" s="46">
        <f t="shared" si="146"/>
        <v>6922</v>
      </c>
      <c r="AF699" s="46">
        <f t="shared" si="147"/>
        <v>6931</v>
      </c>
      <c r="AG699" s="33" t="e">
        <f>IFERROR(AVERAGEIFS(data_brute!M:M,data_brute!J:J,"&gt;="&amp;AE699,data_brute!J:J,"&lt;="&amp;AF699),NA())</f>
        <v>#N/A</v>
      </c>
      <c r="AH699" s="46" t="e">
        <f t="shared" si="148"/>
        <v>#N/A</v>
      </c>
      <c r="AJ699" s="46">
        <f t="shared" si="154"/>
        <v>6922</v>
      </c>
      <c r="AK699" s="46">
        <f t="shared" si="155"/>
        <v>6931</v>
      </c>
      <c r="AL699" s="33">
        <f ca="1">IFERROR(AVERAGEIFS(data_brute!M:M,data_brute!J:J,"&lt;="&amp;AK699),NA())</f>
        <v>25.353524229074896</v>
      </c>
      <c r="AM699" s="46">
        <f t="shared" ca="1" si="156"/>
        <v>6930</v>
      </c>
      <c r="AN699" s="46" t="b">
        <f t="shared" si="157"/>
        <v>0</v>
      </c>
      <c r="AO699" s="50" t="b">
        <f t="shared" si="158"/>
        <v>0</v>
      </c>
    </row>
    <row r="700" spans="21:41" x14ac:dyDescent="0.2">
      <c r="U700" s="46">
        <f t="shared" si="149"/>
        <v>6932</v>
      </c>
      <c r="V700" s="46">
        <f t="shared" si="150"/>
        <v>6941</v>
      </c>
      <c r="W700" s="33" t="e">
        <f>IFERROR(AVERAGEIFS(data_brute!M:M,data_brute!J:J,"&lt;="&amp;V700,data_brute!J:J,"&gt;="&amp;U700),NA())</f>
        <v>#N/A</v>
      </c>
      <c r="X700" s="46" t="e">
        <f t="shared" si="151"/>
        <v>#N/A</v>
      </c>
      <c r="Y700" s="2" t="b">
        <f t="shared" si="152"/>
        <v>0</v>
      </c>
      <c r="Z700" s="2" t="b">
        <f t="shared" si="153"/>
        <v>0</v>
      </c>
      <c r="AE700" s="46">
        <f t="shared" si="146"/>
        <v>6932</v>
      </c>
      <c r="AF700" s="46">
        <f t="shared" si="147"/>
        <v>6941</v>
      </c>
      <c r="AG700" s="33" t="e">
        <f>IFERROR(AVERAGEIFS(data_brute!M:M,data_brute!J:J,"&gt;="&amp;AE700,data_brute!J:J,"&lt;="&amp;AF700),NA())</f>
        <v>#N/A</v>
      </c>
      <c r="AH700" s="46" t="e">
        <f t="shared" si="148"/>
        <v>#N/A</v>
      </c>
      <c r="AJ700" s="46">
        <f t="shared" si="154"/>
        <v>6932</v>
      </c>
      <c r="AK700" s="46">
        <f t="shared" si="155"/>
        <v>6941</v>
      </c>
      <c r="AL700" s="33">
        <f ca="1">IFERROR(AVERAGEIFS(data_brute!M:M,data_brute!J:J,"&lt;="&amp;AK700),NA())</f>
        <v>25.353524229074896</v>
      </c>
      <c r="AM700" s="46">
        <f t="shared" ca="1" si="156"/>
        <v>6940</v>
      </c>
      <c r="AN700" s="46" t="b">
        <f t="shared" si="157"/>
        <v>0</v>
      </c>
      <c r="AO700" s="50" t="b">
        <f t="shared" si="158"/>
        <v>0</v>
      </c>
    </row>
    <row r="701" spans="21:41" x14ac:dyDescent="0.2">
      <c r="U701" s="46">
        <f t="shared" si="149"/>
        <v>6942</v>
      </c>
      <c r="V701" s="46">
        <f t="shared" si="150"/>
        <v>6951</v>
      </c>
      <c r="W701" s="33" t="e">
        <f>IFERROR(AVERAGEIFS(data_brute!M:M,data_brute!J:J,"&lt;="&amp;V701,data_brute!J:J,"&gt;="&amp;U701),NA())</f>
        <v>#N/A</v>
      </c>
      <c r="X701" s="46" t="e">
        <f t="shared" si="151"/>
        <v>#N/A</v>
      </c>
      <c r="Y701" s="2" t="b">
        <f t="shared" si="152"/>
        <v>0</v>
      </c>
      <c r="Z701" s="2" t="b">
        <f t="shared" si="153"/>
        <v>0</v>
      </c>
      <c r="AE701" s="46">
        <f t="shared" si="146"/>
        <v>6942</v>
      </c>
      <c r="AF701" s="46">
        <f t="shared" si="147"/>
        <v>6951</v>
      </c>
      <c r="AG701" s="33" t="e">
        <f>IFERROR(AVERAGEIFS(data_brute!M:M,data_brute!J:J,"&gt;="&amp;AE701,data_brute!J:J,"&lt;="&amp;AF701),NA())</f>
        <v>#N/A</v>
      </c>
      <c r="AH701" s="46" t="e">
        <f t="shared" si="148"/>
        <v>#N/A</v>
      </c>
      <c r="AJ701" s="46">
        <f t="shared" si="154"/>
        <v>6942</v>
      </c>
      <c r="AK701" s="46">
        <f t="shared" si="155"/>
        <v>6951</v>
      </c>
      <c r="AL701" s="33">
        <f ca="1">IFERROR(AVERAGEIFS(data_brute!M:M,data_brute!J:J,"&lt;="&amp;AK701),NA())</f>
        <v>25.353524229074896</v>
      </c>
      <c r="AM701" s="46">
        <f t="shared" ca="1" si="156"/>
        <v>6950</v>
      </c>
      <c r="AN701" s="46" t="b">
        <f t="shared" si="157"/>
        <v>0</v>
      </c>
      <c r="AO701" s="50" t="b">
        <f t="shared" si="158"/>
        <v>0</v>
      </c>
    </row>
    <row r="702" spans="21:41" x14ac:dyDescent="0.2">
      <c r="U702" s="46">
        <f t="shared" si="149"/>
        <v>6952</v>
      </c>
      <c r="V702" s="46">
        <f t="shared" si="150"/>
        <v>6961</v>
      </c>
      <c r="W702" s="33" t="e">
        <f>IFERROR(AVERAGEIFS(data_brute!M:M,data_brute!J:J,"&lt;="&amp;V702,data_brute!J:J,"&gt;="&amp;U702),NA())</f>
        <v>#N/A</v>
      </c>
      <c r="X702" s="46" t="e">
        <f t="shared" si="151"/>
        <v>#N/A</v>
      </c>
      <c r="Y702" s="2" t="b">
        <f t="shared" si="152"/>
        <v>0</v>
      </c>
      <c r="Z702" s="2" t="b">
        <f t="shared" si="153"/>
        <v>0</v>
      </c>
      <c r="AE702" s="46">
        <f t="shared" si="146"/>
        <v>6952</v>
      </c>
      <c r="AF702" s="46">
        <f t="shared" si="147"/>
        <v>6961</v>
      </c>
      <c r="AG702" s="33" t="e">
        <f>IFERROR(AVERAGEIFS(data_brute!M:M,data_brute!J:J,"&gt;="&amp;AE702,data_brute!J:J,"&lt;="&amp;AF702),NA())</f>
        <v>#N/A</v>
      </c>
      <c r="AH702" s="46" t="e">
        <f t="shared" si="148"/>
        <v>#N/A</v>
      </c>
      <c r="AJ702" s="46">
        <f t="shared" si="154"/>
        <v>6952</v>
      </c>
      <c r="AK702" s="46">
        <f t="shared" si="155"/>
        <v>6961</v>
      </c>
      <c r="AL702" s="33">
        <f ca="1">IFERROR(AVERAGEIFS(data_brute!M:M,data_brute!J:J,"&lt;="&amp;AK702),NA())</f>
        <v>25.353524229074896</v>
      </c>
      <c r="AM702" s="46">
        <f t="shared" ca="1" si="156"/>
        <v>6960</v>
      </c>
      <c r="AN702" s="46" t="b">
        <f t="shared" si="157"/>
        <v>0</v>
      </c>
      <c r="AO702" s="50" t="b">
        <f t="shared" si="158"/>
        <v>0</v>
      </c>
    </row>
    <row r="703" spans="21:41" x14ac:dyDescent="0.2">
      <c r="U703" s="46">
        <f t="shared" si="149"/>
        <v>6962</v>
      </c>
      <c r="V703" s="46">
        <f t="shared" si="150"/>
        <v>6971</v>
      </c>
      <c r="W703" s="33" t="e">
        <f>IFERROR(AVERAGEIFS(data_brute!M:M,data_brute!J:J,"&lt;="&amp;V703,data_brute!J:J,"&gt;="&amp;U703),NA())</f>
        <v>#N/A</v>
      </c>
      <c r="X703" s="46" t="e">
        <f t="shared" si="151"/>
        <v>#N/A</v>
      </c>
      <c r="Y703" s="2" t="b">
        <f t="shared" si="152"/>
        <v>0</v>
      </c>
      <c r="Z703" s="2" t="b">
        <f t="shared" si="153"/>
        <v>0</v>
      </c>
      <c r="AE703" s="46">
        <f t="shared" si="146"/>
        <v>6962</v>
      </c>
      <c r="AF703" s="46">
        <f t="shared" si="147"/>
        <v>6971</v>
      </c>
      <c r="AG703" s="33" t="e">
        <f>IFERROR(AVERAGEIFS(data_brute!M:M,data_brute!J:J,"&gt;="&amp;AE703,data_brute!J:J,"&lt;="&amp;AF703),NA())</f>
        <v>#N/A</v>
      </c>
      <c r="AH703" s="46" t="e">
        <f t="shared" si="148"/>
        <v>#N/A</v>
      </c>
      <c r="AJ703" s="46">
        <f t="shared" si="154"/>
        <v>6962</v>
      </c>
      <c r="AK703" s="46">
        <f t="shared" si="155"/>
        <v>6971</v>
      </c>
      <c r="AL703" s="33">
        <f ca="1">IFERROR(AVERAGEIFS(data_brute!M:M,data_brute!J:J,"&lt;="&amp;AK703),NA())</f>
        <v>25.353524229074896</v>
      </c>
      <c r="AM703" s="46">
        <f t="shared" ca="1" si="156"/>
        <v>6970</v>
      </c>
      <c r="AN703" s="46" t="b">
        <f t="shared" si="157"/>
        <v>0</v>
      </c>
      <c r="AO703" s="50" t="b">
        <f t="shared" si="158"/>
        <v>0</v>
      </c>
    </row>
    <row r="704" spans="21:41" x14ac:dyDescent="0.2">
      <c r="U704" s="46">
        <f t="shared" si="149"/>
        <v>6972</v>
      </c>
      <c r="V704" s="46">
        <f t="shared" si="150"/>
        <v>6981</v>
      </c>
      <c r="W704" s="33" t="e">
        <f>IFERROR(AVERAGEIFS(data_brute!M:M,data_brute!J:J,"&lt;="&amp;V704,data_brute!J:J,"&gt;="&amp;U704),NA())</f>
        <v>#N/A</v>
      </c>
      <c r="X704" s="46" t="e">
        <f t="shared" si="151"/>
        <v>#N/A</v>
      </c>
      <c r="Y704" s="2" t="b">
        <f t="shared" si="152"/>
        <v>0</v>
      </c>
      <c r="Z704" s="2" t="b">
        <f t="shared" si="153"/>
        <v>0</v>
      </c>
      <c r="AE704" s="46">
        <f t="shared" si="146"/>
        <v>6972</v>
      </c>
      <c r="AF704" s="46">
        <f t="shared" si="147"/>
        <v>6981</v>
      </c>
      <c r="AG704" s="33" t="e">
        <f>IFERROR(AVERAGEIFS(data_brute!M:M,data_brute!J:J,"&gt;="&amp;AE704,data_brute!J:J,"&lt;="&amp;AF704),NA())</f>
        <v>#N/A</v>
      </c>
      <c r="AH704" s="46" t="e">
        <f t="shared" si="148"/>
        <v>#N/A</v>
      </c>
      <c r="AJ704" s="46">
        <f t="shared" si="154"/>
        <v>6972</v>
      </c>
      <c r="AK704" s="46">
        <f t="shared" si="155"/>
        <v>6981</v>
      </c>
      <c r="AL704" s="33">
        <f ca="1">IFERROR(AVERAGEIFS(data_brute!M:M,data_brute!J:J,"&lt;="&amp;AK704),NA())</f>
        <v>25.353524229074896</v>
      </c>
      <c r="AM704" s="46">
        <f t="shared" ca="1" si="156"/>
        <v>6980</v>
      </c>
      <c r="AN704" s="46" t="b">
        <f t="shared" si="157"/>
        <v>0</v>
      </c>
      <c r="AO704" s="50" t="b">
        <f t="shared" si="158"/>
        <v>0</v>
      </c>
    </row>
    <row r="705" spans="21:41" x14ac:dyDescent="0.2">
      <c r="U705" s="46">
        <f t="shared" si="149"/>
        <v>6982</v>
      </c>
      <c r="V705" s="46">
        <f t="shared" si="150"/>
        <v>6991</v>
      </c>
      <c r="W705" s="33" t="e">
        <f>IFERROR(AVERAGEIFS(data_brute!M:M,data_brute!J:J,"&lt;="&amp;V705,data_brute!J:J,"&gt;="&amp;U705),NA())</f>
        <v>#N/A</v>
      </c>
      <c r="X705" s="46" t="e">
        <f t="shared" si="151"/>
        <v>#N/A</v>
      </c>
      <c r="Y705" s="2" t="b">
        <f t="shared" si="152"/>
        <v>0</v>
      </c>
      <c r="Z705" s="2" t="b">
        <f t="shared" si="153"/>
        <v>0</v>
      </c>
      <c r="AE705" s="46">
        <f t="shared" si="146"/>
        <v>6982</v>
      </c>
      <c r="AF705" s="46">
        <f t="shared" si="147"/>
        <v>6991</v>
      </c>
      <c r="AG705" s="33" t="e">
        <f>IFERROR(AVERAGEIFS(data_brute!M:M,data_brute!J:J,"&gt;="&amp;AE705,data_brute!J:J,"&lt;="&amp;AF705),NA())</f>
        <v>#N/A</v>
      </c>
      <c r="AH705" s="46" t="e">
        <f t="shared" si="148"/>
        <v>#N/A</v>
      </c>
      <c r="AJ705" s="46">
        <f t="shared" si="154"/>
        <v>6982</v>
      </c>
      <c r="AK705" s="46">
        <f t="shared" si="155"/>
        <v>6991</v>
      </c>
      <c r="AL705" s="33">
        <f ca="1">IFERROR(AVERAGEIFS(data_brute!M:M,data_brute!J:J,"&lt;="&amp;AK705),NA())</f>
        <v>25.353524229074896</v>
      </c>
      <c r="AM705" s="46">
        <f t="shared" ca="1" si="156"/>
        <v>6990</v>
      </c>
      <c r="AN705" s="46" t="b">
        <f t="shared" si="157"/>
        <v>0</v>
      </c>
      <c r="AO705" s="50" t="b">
        <f t="shared" si="158"/>
        <v>0</v>
      </c>
    </row>
    <row r="706" spans="21:41" x14ac:dyDescent="0.2">
      <c r="U706" s="46">
        <f t="shared" si="149"/>
        <v>6992</v>
      </c>
      <c r="V706" s="46">
        <f t="shared" si="150"/>
        <v>7001</v>
      </c>
      <c r="W706" s="33" t="e">
        <f>IFERROR(AVERAGEIFS(data_brute!M:M,data_brute!J:J,"&lt;="&amp;V706,data_brute!J:J,"&gt;="&amp;U706),NA())</f>
        <v>#N/A</v>
      </c>
      <c r="X706" s="46" t="e">
        <f t="shared" si="151"/>
        <v>#N/A</v>
      </c>
      <c r="Y706" s="2" t="b">
        <f t="shared" si="152"/>
        <v>0</v>
      </c>
      <c r="Z706" s="2" t="b">
        <f t="shared" si="153"/>
        <v>0</v>
      </c>
      <c r="AE706" s="46">
        <f t="shared" si="146"/>
        <v>6992</v>
      </c>
      <c r="AF706" s="46">
        <f t="shared" si="147"/>
        <v>7001</v>
      </c>
      <c r="AG706" s="33" t="e">
        <f>IFERROR(AVERAGEIFS(data_brute!M:M,data_brute!J:J,"&gt;="&amp;AE706,data_brute!J:J,"&lt;="&amp;AF706),NA())</f>
        <v>#N/A</v>
      </c>
      <c r="AH706" s="46" t="e">
        <f t="shared" si="148"/>
        <v>#N/A</v>
      </c>
      <c r="AJ706" s="46">
        <f t="shared" si="154"/>
        <v>6992</v>
      </c>
      <c r="AK706" s="46">
        <f t="shared" si="155"/>
        <v>7001</v>
      </c>
      <c r="AL706" s="33">
        <f ca="1">IFERROR(AVERAGEIFS(data_brute!M:M,data_brute!J:J,"&lt;="&amp;AK706),NA())</f>
        <v>25.353524229074896</v>
      </c>
      <c r="AM706" s="46">
        <f t="shared" ca="1" si="156"/>
        <v>7000</v>
      </c>
      <c r="AN706" s="46" t="b">
        <f t="shared" si="157"/>
        <v>0</v>
      </c>
      <c r="AO706" s="50" t="b">
        <f t="shared" si="158"/>
        <v>0</v>
      </c>
    </row>
    <row r="707" spans="21:41" x14ac:dyDescent="0.2">
      <c r="U707" s="46">
        <f t="shared" si="149"/>
        <v>7002</v>
      </c>
      <c r="V707" s="46">
        <f t="shared" si="150"/>
        <v>7011</v>
      </c>
      <c r="W707" s="33" t="e">
        <f>IFERROR(AVERAGEIFS(data_brute!M:M,data_brute!J:J,"&lt;="&amp;V707,data_brute!J:J,"&gt;="&amp;U707),NA())</f>
        <v>#N/A</v>
      </c>
      <c r="X707" s="46" t="e">
        <f t="shared" si="151"/>
        <v>#N/A</v>
      </c>
      <c r="Y707" s="2" t="b">
        <f t="shared" si="152"/>
        <v>0</v>
      </c>
      <c r="Z707" s="2" t="b">
        <f t="shared" si="153"/>
        <v>0</v>
      </c>
      <c r="AE707" s="46">
        <f t="shared" si="146"/>
        <v>7002</v>
      </c>
      <c r="AF707" s="46">
        <f t="shared" si="147"/>
        <v>7011</v>
      </c>
      <c r="AG707" s="33" t="e">
        <f>IFERROR(AVERAGEIFS(data_brute!M:M,data_brute!J:J,"&gt;="&amp;AE707,data_brute!J:J,"&lt;="&amp;AF707),NA())</f>
        <v>#N/A</v>
      </c>
      <c r="AH707" s="46" t="e">
        <f t="shared" si="148"/>
        <v>#N/A</v>
      </c>
      <c r="AJ707" s="46">
        <f t="shared" si="154"/>
        <v>7002</v>
      </c>
      <c r="AK707" s="46">
        <f t="shared" si="155"/>
        <v>7011</v>
      </c>
      <c r="AL707" s="33">
        <f ca="1">IFERROR(AVERAGEIFS(data_brute!M:M,data_brute!J:J,"&lt;="&amp;AK707),NA())</f>
        <v>25.353524229074896</v>
      </c>
      <c r="AM707" s="46">
        <f t="shared" ca="1" si="156"/>
        <v>7010</v>
      </c>
      <c r="AN707" s="46" t="b">
        <f t="shared" si="157"/>
        <v>0</v>
      </c>
      <c r="AO707" s="50" t="b">
        <f t="shared" si="158"/>
        <v>0</v>
      </c>
    </row>
    <row r="708" spans="21:41" x14ac:dyDescent="0.2">
      <c r="U708" s="46">
        <f t="shared" si="149"/>
        <v>7012</v>
      </c>
      <c r="V708" s="46">
        <f t="shared" si="150"/>
        <v>7021</v>
      </c>
      <c r="W708" s="33" t="e">
        <f>IFERROR(AVERAGEIFS(data_brute!M:M,data_brute!J:J,"&lt;="&amp;V708,data_brute!J:J,"&gt;="&amp;U708),NA())</f>
        <v>#N/A</v>
      </c>
      <c r="X708" s="46" t="e">
        <f t="shared" si="151"/>
        <v>#N/A</v>
      </c>
      <c r="Y708" s="2" t="b">
        <f t="shared" si="152"/>
        <v>0</v>
      </c>
      <c r="Z708" s="2" t="b">
        <f t="shared" si="153"/>
        <v>0</v>
      </c>
      <c r="AE708" s="46">
        <f t="shared" si="146"/>
        <v>7012</v>
      </c>
      <c r="AF708" s="46">
        <f t="shared" si="147"/>
        <v>7021</v>
      </c>
      <c r="AG708" s="33" t="e">
        <f>IFERROR(AVERAGEIFS(data_brute!M:M,data_brute!J:J,"&gt;="&amp;AE708,data_brute!J:J,"&lt;="&amp;AF708),NA())</f>
        <v>#N/A</v>
      </c>
      <c r="AH708" s="46" t="e">
        <f t="shared" si="148"/>
        <v>#N/A</v>
      </c>
      <c r="AJ708" s="46">
        <f t="shared" si="154"/>
        <v>7012</v>
      </c>
      <c r="AK708" s="46">
        <f t="shared" si="155"/>
        <v>7021</v>
      </c>
      <c r="AL708" s="33">
        <f ca="1">IFERROR(AVERAGEIFS(data_brute!M:M,data_brute!J:J,"&lt;="&amp;AK708),NA())</f>
        <v>25.353524229074896</v>
      </c>
      <c r="AM708" s="46">
        <f t="shared" ca="1" si="156"/>
        <v>7020</v>
      </c>
      <c r="AN708" s="46" t="b">
        <f t="shared" si="157"/>
        <v>0</v>
      </c>
      <c r="AO708" s="50" t="b">
        <f t="shared" si="158"/>
        <v>0</v>
      </c>
    </row>
    <row r="709" spans="21:41" x14ac:dyDescent="0.2">
      <c r="U709" s="46">
        <f t="shared" si="149"/>
        <v>7022</v>
      </c>
      <c r="V709" s="46">
        <f t="shared" si="150"/>
        <v>7031</v>
      </c>
      <c r="W709" s="33" t="e">
        <f>IFERROR(AVERAGEIFS(data_brute!M:M,data_brute!J:J,"&lt;="&amp;V709,data_brute!J:J,"&gt;="&amp;U709),NA())</f>
        <v>#N/A</v>
      </c>
      <c r="X709" s="46" t="e">
        <f t="shared" si="151"/>
        <v>#N/A</v>
      </c>
      <c r="Y709" s="2" t="b">
        <f t="shared" si="152"/>
        <v>0</v>
      </c>
      <c r="Z709" s="2" t="b">
        <f t="shared" si="153"/>
        <v>0</v>
      </c>
      <c r="AE709" s="46">
        <f t="shared" si="146"/>
        <v>7022</v>
      </c>
      <c r="AF709" s="46">
        <f t="shared" si="147"/>
        <v>7031</v>
      </c>
      <c r="AG709" s="33" t="e">
        <f>IFERROR(AVERAGEIFS(data_brute!M:M,data_brute!J:J,"&gt;="&amp;AE709,data_brute!J:J,"&lt;="&amp;AF709),NA())</f>
        <v>#N/A</v>
      </c>
      <c r="AH709" s="46" t="e">
        <f t="shared" si="148"/>
        <v>#N/A</v>
      </c>
      <c r="AJ709" s="46">
        <f t="shared" si="154"/>
        <v>7022</v>
      </c>
      <c r="AK709" s="46">
        <f t="shared" si="155"/>
        <v>7031</v>
      </c>
      <c r="AL709" s="33">
        <f ca="1">IFERROR(AVERAGEIFS(data_brute!M:M,data_brute!J:J,"&lt;="&amp;AK709),NA())</f>
        <v>25.353524229074896</v>
      </c>
      <c r="AM709" s="46">
        <f t="shared" ca="1" si="156"/>
        <v>7030</v>
      </c>
      <c r="AN709" s="46" t="b">
        <f t="shared" si="157"/>
        <v>0</v>
      </c>
      <c r="AO709" s="50" t="b">
        <f t="shared" si="158"/>
        <v>0</v>
      </c>
    </row>
    <row r="710" spans="21:41" x14ac:dyDescent="0.2">
      <c r="U710" s="46">
        <f t="shared" si="149"/>
        <v>7032</v>
      </c>
      <c r="V710" s="46">
        <f t="shared" si="150"/>
        <v>7041</v>
      </c>
      <c r="W710" s="33" t="e">
        <f>IFERROR(AVERAGEIFS(data_brute!M:M,data_brute!J:J,"&lt;="&amp;V710,data_brute!J:J,"&gt;="&amp;U710),NA())</f>
        <v>#N/A</v>
      </c>
      <c r="X710" s="46" t="e">
        <f t="shared" si="151"/>
        <v>#N/A</v>
      </c>
      <c r="Y710" s="2" t="b">
        <f t="shared" si="152"/>
        <v>0</v>
      </c>
      <c r="Z710" s="2" t="b">
        <f t="shared" si="153"/>
        <v>0</v>
      </c>
      <c r="AE710" s="46">
        <f t="shared" si="146"/>
        <v>7032</v>
      </c>
      <c r="AF710" s="46">
        <f t="shared" si="147"/>
        <v>7041</v>
      </c>
      <c r="AG710" s="33" t="e">
        <f>IFERROR(AVERAGEIFS(data_brute!M:M,data_brute!J:J,"&gt;="&amp;AE710,data_brute!J:J,"&lt;="&amp;AF710),NA())</f>
        <v>#N/A</v>
      </c>
      <c r="AH710" s="46" t="e">
        <f t="shared" si="148"/>
        <v>#N/A</v>
      </c>
      <c r="AJ710" s="46">
        <f t="shared" si="154"/>
        <v>7032</v>
      </c>
      <c r="AK710" s="46">
        <f t="shared" si="155"/>
        <v>7041</v>
      </c>
      <c r="AL710" s="33">
        <f ca="1">IFERROR(AVERAGEIFS(data_brute!M:M,data_brute!J:J,"&lt;="&amp;AK710),NA())</f>
        <v>25.353524229074896</v>
      </c>
      <c r="AM710" s="46">
        <f t="shared" ca="1" si="156"/>
        <v>7040</v>
      </c>
      <c r="AN710" s="46" t="b">
        <f t="shared" si="157"/>
        <v>0</v>
      </c>
      <c r="AO710" s="50" t="b">
        <f t="shared" si="158"/>
        <v>0</v>
      </c>
    </row>
    <row r="711" spans="21:41" x14ac:dyDescent="0.2">
      <c r="U711" s="46">
        <f t="shared" si="149"/>
        <v>7042</v>
      </c>
      <c r="V711" s="46">
        <f t="shared" si="150"/>
        <v>7051</v>
      </c>
      <c r="W711" s="33" t="e">
        <f>IFERROR(AVERAGEIFS(data_brute!M:M,data_brute!J:J,"&lt;="&amp;V711,data_brute!J:J,"&gt;="&amp;U711),NA())</f>
        <v>#N/A</v>
      </c>
      <c r="X711" s="46" t="e">
        <f t="shared" si="151"/>
        <v>#N/A</v>
      </c>
      <c r="Y711" s="2" t="b">
        <f t="shared" si="152"/>
        <v>0</v>
      </c>
      <c r="Z711" s="2" t="b">
        <f t="shared" si="153"/>
        <v>0</v>
      </c>
      <c r="AE711" s="46">
        <f t="shared" si="146"/>
        <v>7042</v>
      </c>
      <c r="AF711" s="46">
        <f t="shared" si="147"/>
        <v>7051</v>
      </c>
      <c r="AG711" s="33" t="e">
        <f>IFERROR(AVERAGEIFS(data_brute!M:M,data_brute!J:J,"&gt;="&amp;AE711,data_brute!J:J,"&lt;="&amp;AF711),NA())</f>
        <v>#N/A</v>
      </c>
      <c r="AH711" s="46" t="e">
        <f t="shared" si="148"/>
        <v>#N/A</v>
      </c>
      <c r="AJ711" s="46">
        <f t="shared" si="154"/>
        <v>7042</v>
      </c>
      <c r="AK711" s="46">
        <f t="shared" si="155"/>
        <v>7051</v>
      </c>
      <c r="AL711" s="33">
        <f ca="1">IFERROR(AVERAGEIFS(data_brute!M:M,data_brute!J:J,"&lt;="&amp;AK711),NA())</f>
        <v>25.353524229074896</v>
      </c>
      <c r="AM711" s="46">
        <f t="shared" ca="1" si="156"/>
        <v>7050</v>
      </c>
      <c r="AN711" s="46" t="b">
        <f t="shared" si="157"/>
        <v>0</v>
      </c>
      <c r="AO711" s="50" t="b">
        <f t="shared" si="158"/>
        <v>0</v>
      </c>
    </row>
    <row r="712" spans="21:41" x14ac:dyDescent="0.2">
      <c r="U712" s="46">
        <f t="shared" si="149"/>
        <v>7052</v>
      </c>
      <c r="V712" s="46">
        <f t="shared" si="150"/>
        <v>7061</v>
      </c>
      <c r="W712" s="33" t="e">
        <f>IFERROR(AVERAGEIFS(data_brute!M:M,data_brute!J:J,"&lt;="&amp;V712,data_brute!J:J,"&gt;="&amp;U712),NA())</f>
        <v>#N/A</v>
      </c>
      <c r="X712" s="46" t="e">
        <f t="shared" si="151"/>
        <v>#N/A</v>
      </c>
      <c r="Y712" s="2" t="b">
        <f t="shared" si="152"/>
        <v>0</v>
      </c>
      <c r="Z712" s="2" t="b">
        <f t="shared" si="153"/>
        <v>0</v>
      </c>
      <c r="AE712" s="46">
        <f t="shared" si="146"/>
        <v>7052</v>
      </c>
      <c r="AF712" s="46">
        <f t="shared" si="147"/>
        <v>7061</v>
      </c>
      <c r="AG712" s="33" t="e">
        <f>IFERROR(AVERAGEIFS(data_brute!M:M,data_brute!J:J,"&gt;="&amp;AE712,data_brute!J:J,"&lt;="&amp;AF712),NA())</f>
        <v>#N/A</v>
      </c>
      <c r="AH712" s="46" t="e">
        <f t="shared" si="148"/>
        <v>#N/A</v>
      </c>
      <c r="AJ712" s="46">
        <f t="shared" si="154"/>
        <v>7052</v>
      </c>
      <c r="AK712" s="46">
        <f t="shared" si="155"/>
        <v>7061</v>
      </c>
      <c r="AL712" s="33">
        <f ca="1">IFERROR(AVERAGEIFS(data_brute!M:M,data_brute!J:J,"&lt;="&amp;AK712),NA())</f>
        <v>25.353524229074896</v>
      </c>
      <c r="AM712" s="46">
        <f t="shared" ca="1" si="156"/>
        <v>7060</v>
      </c>
      <c r="AN712" s="46" t="b">
        <f t="shared" si="157"/>
        <v>0</v>
      </c>
      <c r="AO712" s="50" t="b">
        <f t="shared" si="158"/>
        <v>0</v>
      </c>
    </row>
    <row r="713" spans="21:41" x14ac:dyDescent="0.2">
      <c r="U713" s="46">
        <f t="shared" si="149"/>
        <v>7062</v>
      </c>
      <c r="V713" s="46">
        <f t="shared" si="150"/>
        <v>7071</v>
      </c>
      <c r="W713" s="33" t="e">
        <f>IFERROR(AVERAGEIFS(data_brute!M:M,data_brute!J:J,"&lt;="&amp;V713,data_brute!J:J,"&gt;="&amp;U713),NA())</f>
        <v>#N/A</v>
      </c>
      <c r="X713" s="46" t="e">
        <f t="shared" si="151"/>
        <v>#N/A</v>
      </c>
      <c r="Y713" s="2" t="b">
        <f t="shared" si="152"/>
        <v>0</v>
      </c>
      <c r="Z713" s="2" t="b">
        <f t="shared" si="153"/>
        <v>0</v>
      </c>
      <c r="AE713" s="46">
        <f t="shared" si="146"/>
        <v>7062</v>
      </c>
      <c r="AF713" s="46">
        <f t="shared" si="147"/>
        <v>7071</v>
      </c>
      <c r="AG713" s="33" t="e">
        <f>IFERROR(AVERAGEIFS(data_brute!M:M,data_brute!J:J,"&gt;="&amp;AE713,data_brute!J:J,"&lt;="&amp;AF713),NA())</f>
        <v>#N/A</v>
      </c>
      <c r="AH713" s="46" t="e">
        <f t="shared" si="148"/>
        <v>#N/A</v>
      </c>
      <c r="AJ713" s="46">
        <f t="shared" si="154"/>
        <v>7062</v>
      </c>
      <c r="AK713" s="46">
        <f t="shared" si="155"/>
        <v>7071</v>
      </c>
      <c r="AL713" s="33">
        <f ca="1">IFERROR(AVERAGEIFS(data_brute!M:M,data_brute!J:J,"&lt;="&amp;AK713),NA())</f>
        <v>25.353524229074896</v>
      </c>
      <c r="AM713" s="46">
        <f t="shared" ca="1" si="156"/>
        <v>7070</v>
      </c>
      <c r="AN713" s="46" t="b">
        <f t="shared" si="157"/>
        <v>0</v>
      </c>
      <c r="AO713" s="50" t="b">
        <f t="shared" si="158"/>
        <v>0</v>
      </c>
    </row>
    <row r="714" spans="21:41" x14ac:dyDescent="0.2">
      <c r="U714" s="46">
        <f t="shared" si="149"/>
        <v>7072</v>
      </c>
      <c r="V714" s="46">
        <f t="shared" si="150"/>
        <v>7081</v>
      </c>
      <c r="W714" s="33" t="e">
        <f>IFERROR(AVERAGEIFS(data_brute!M:M,data_brute!J:J,"&lt;="&amp;V714,data_brute!J:J,"&gt;="&amp;U714),NA())</f>
        <v>#N/A</v>
      </c>
      <c r="X714" s="46" t="e">
        <f t="shared" si="151"/>
        <v>#N/A</v>
      </c>
      <c r="Y714" s="2" t="b">
        <f t="shared" si="152"/>
        <v>0</v>
      </c>
      <c r="Z714" s="2" t="b">
        <f t="shared" si="153"/>
        <v>0</v>
      </c>
      <c r="AE714" s="46">
        <f t="shared" si="146"/>
        <v>7072</v>
      </c>
      <c r="AF714" s="46">
        <f t="shared" si="147"/>
        <v>7081</v>
      </c>
      <c r="AG714" s="33" t="e">
        <f>IFERROR(AVERAGEIFS(data_brute!M:M,data_brute!J:J,"&gt;="&amp;AE714,data_brute!J:J,"&lt;="&amp;AF714),NA())</f>
        <v>#N/A</v>
      </c>
      <c r="AH714" s="46" t="e">
        <f t="shared" si="148"/>
        <v>#N/A</v>
      </c>
      <c r="AJ714" s="46">
        <f t="shared" si="154"/>
        <v>7072</v>
      </c>
      <c r="AK714" s="46">
        <f t="shared" si="155"/>
        <v>7081</v>
      </c>
      <c r="AL714" s="33">
        <f ca="1">IFERROR(AVERAGEIFS(data_brute!M:M,data_brute!J:J,"&lt;="&amp;AK714),NA())</f>
        <v>25.353524229074896</v>
      </c>
      <c r="AM714" s="46">
        <f t="shared" ca="1" si="156"/>
        <v>7080</v>
      </c>
      <c r="AN714" s="46" t="b">
        <f t="shared" si="157"/>
        <v>0</v>
      </c>
      <c r="AO714" s="50" t="b">
        <f t="shared" si="158"/>
        <v>0</v>
      </c>
    </row>
    <row r="715" spans="21:41" x14ac:dyDescent="0.2">
      <c r="U715" s="46">
        <f t="shared" si="149"/>
        <v>7082</v>
      </c>
      <c r="V715" s="46">
        <f t="shared" si="150"/>
        <v>7091</v>
      </c>
      <c r="W715" s="33" t="e">
        <f>IFERROR(AVERAGEIFS(data_brute!M:M,data_brute!J:J,"&lt;="&amp;V715,data_brute!J:J,"&gt;="&amp;U715),NA())</f>
        <v>#N/A</v>
      </c>
      <c r="X715" s="46" t="e">
        <f t="shared" si="151"/>
        <v>#N/A</v>
      </c>
      <c r="Y715" s="2" t="b">
        <f t="shared" si="152"/>
        <v>0</v>
      </c>
      <c r="Z715" s="2" t="b">
        <f t="shared" si="153"/>
        <v>0</v>
      </c>
      <c r="AE715" s="46">
        <f t="shared" si="146"/>
        <v>7082</v>
      </c>
      <c r="AF715" s="46">
        <f t="shared" si="147"/>
        <v>7091</v>
      </c>
      <c r="AG715" s="33" t="e">
        <f>IFERROR(AVERAGEIFS(data_brute!M:M,data_brute!J:J,"&gt;="&amp;AE715,data_brute!J:J,"&lt;="&amp;AF715),NA())</f>
        <v>#N/A</v>
      </c>
      <c r="AH715" s="46" t="e">
        <f t="shared" si="148"/>
        <v>#N/A</v>
      </c>
      <c r="AJ715" s="46">
        <f t="shared" si="154"/>
        <v>7082</v>
      </c>
      <c r="AK715" s="46">
        <f t="shared" si="155"/>
        <v>7091</v>
      </c>
      <c r="AL715" s="33">
        <f ca="1">IFERROR(AVERAGEIFS(data_brute!M:M,data_brute!J:J,"&lt;="&amp;AK715),NA())</f>
        <v>25.353524229074896</v>
      </c>
      <c r="AM715" s="46">
        <f t="shared" ca="1" si="156"/>
        <v>7090</v>
      </c>
      <c r="AN715" s="46" t="b">
        <f t="shared" si="157"/>
        <v>0</v>
      </c>
      <c r="AO715" s="50" t="b">
        <f t="shared" si="158"/>
        <v>0</v>
      </c>
    </row>
    <row r="716" spans="21:41" x14ac:dyDescent="0.2">
      <c r="U716" s="46">
        <f t="shared" si="149"/>
        <v>7092</v>
      </c>
      <c r="V716" s="46">
        <f t="shared" si="150"/>
        <v>7101</v>
      </c>
      <c r="W716" s="33" t="e">
        <f>IFERROR(AVERAGEIFS(data_brute!M:M,data_brute!J:J,"&lt;="&amp;V716,data_brute!J:J,"&gt;="&amp;U716),NA())</f>
        <v>#N/A</v>
      </c>
      <c r="X716" s="46" t="e">
        <f t="shared" si="151"/>
        <v>#N/A</v>
      </c>
      <c r="Y716" s="2" t="b">
        <f t="shared" si="152"/>
        <v>0</v>
      </c>
      <c r="Z716" s="2" t="b">
        <f t="shared" si="153"/>
        <v>0</v>
      </c>
      <c r="AE716" s="46">
        <f t="shared" si="146"/>
        <v>7092</v>
      </c>
      <c r="AF716" s="46">
        <f t="shared" si="147"/>
        <v>7101</v>
      </c>
      <c r="AG716" s="33" t="e">
        <f>IFERROR(AVERAGEIFS(data_brute!M:M,data_brute!J:J,"&gt;="&amp;AE716,data_brute!J:J,"&lt;="&amp;AF716),NA())</f>
        <v>#N/A</v>
      </c>
      <c r="AH716" s="46" t="e">
        <f t="shared" si="148"/>
        <v>#N/A</v>
      </c>
      <c r="AJ716" s="46">
        <f t="shared" si="154"/>
        <v>7092</v>
      </c>
      <c r="AK716" s="46">
        <f t="shared" si="155"/>
        <v>7101</v>
      </c>
      <c r="AL716" s="33">
        <f ca="1">IFERROR(AVERAGEIFS(data_brute!M:M,data_brute!J:J,"&lt;="&amp;AK716),NA())</f>
        <v>25.353524229074896</v>
      </c>
      <c r="AM716" s="46">
        <f t="shared" ca="1" si="156"/>
        <v>7100</v>
      </c>
      <c r="AN716" s="46" t="b">
        <f t="shared" si="157"/>
        <v>0</v>
      </c>
      <c r="AO716" s="50" t="b">
        <f t="shared" si="158"/>
        <v>0</v>
      </c>
    </row>
    <row r="717" spans="21:41" x14ac:dyDescent="0.2">
      <c r="U717" s="46">
        <f t="shared" si="149"/>
        <v>7102</v>
      </c>
      <c r="V717" s="46">
        <f t="shared" si="150"/>
        <v>7111</v>
      </c>
      <c r="W717" s="33" t="e">
        <f>IFERROR(AVERAGEIFS(data_brute!M:M,data_brute!J:J,"&lt;="&amp;V717,data_brute!J:J,"&gt;="&amp;U717),NA())</f>
        <v>#N/A</v>
      </c>
      <c r="X717" s="46" t="e">
        <f t="shared" si="151"/>
        <v>#N/A</v>
      </c>
      <c r="Y717" s="2" t="b">
        <f t="shared" si="152"/>
        <v>0</v>
      </c>
      <c r="Z717" s="2" t="b">
        <f t="shared" si="153"/>
        <v>0</v>
      </c>
      <c r="AE717" s="46">
        <f t="shared" si="146"/>
        <v>7102</v>
      </c>
      <c r="AF717" s="46">
        <f t="shared" si="147"/>
        <v>7111</v>
      </c>
      <c r="AG717" s="33" t="e">
        <f>IFERROR(AVERAGEIFS(data_brute!M:M,data_brute!J:J,"&gt;="&amp;AE717,data_brute!J:J,"&lt;="&amp;AF717),NA())</f>
        <v>#N/A</v>
      </c>
      <c r="AH717" s="46" t="e">
        <f t="shared" si="148"/>
        <v>#N/A</v>
      </c>
      <c r="AJ717" s="46">
        <f t="shared" si="154"/>
        <v>7102</v>
      </c>
      <c r="AK717" s="46">
        <f t="shared" si="155"/>
        <v>7111</v>
      </c>
      <c r="AL717" s="33">
        <f ca="1">IFERROR(AVERAGEIFS(data_brute!M:M,data_brute!J:J,"&lt;="&amp;AK717),NA())</f>
        <v>25.353524229074896</v>
      </c>
      <c r="AM717" s="46">
        <f t="shared" ca="1" si="156"/>
        <v>7110</v>
      </c>
      <c r="AN717" s="46" t="b">
        <f t="shared" si="157"/>
        <v>0</v>
      </c>
      <c r="AO717" s="50" t="b">
        <f t="shared" si="158"/>
        <v>0</v>
      </c>
    </row>
    <row r="718" spans="21:41" x14ac:dyDescent="0.2">
      <c r="U718" s="46">
        <f t="shared" si="149"/>
        <v>7112</v>
      </c>
      <c r="V718" s="46">
        <f t="shared" si="150"/>
        <v>7121</v>
      </c>
      <c r="W718" s="33" t="e">
        <f>IFERROR(AVERAGEIFS(data_brute!M:M,data_brute!J:J,"&lt;="&amp;V718,data_brute!J:J,"&gt;="&amp;U718),NA())</f>
        <v>#N/A</v>
      </c>
      <c r="X718" s="46" t="e">
        <f t="shared" si="151"/>
        <v>#N/A</v>
      </c>
      <c r="Y718" s="2" t="b">
        <f t="shared" si="152"/>
        <v>0</v>
      </c>
      <c r="Z718" s="2" t="b">
        <f t="shared" si="153"/>
        <v>0</v>
      </c>
      <c r="AE718" s="46">
        <f t="shared" si="146"/>
        <v>7112</v>
      </c>
      <c r="AF718" s="46">
        <f t="shared" si="147"/>
        <v>7121</v>
      </c>
      <c r="AG718" s="33" t="e">
        <f>IFERROR(AVERAGEIFS(data_brute!M:M,data_brute!J:J,"&gt;="&amp;AE718,data_brute!J:J,"&lt;="&amp;AF718),NA())</f>
        <v>#N/A</v>
      </c>
      <c r="AH718" s="46" t="e">
        <f t="shared" si="148"/>
        <v>#N/A</v>
      </c>
      <c r="AJ718" s="46">
        <f t="shared" si="154"/>
        <v>7112</v>
      </c>
      <c r="AK718" s="46">
        <f t="shared" si="155"/>
        <v>7121</v>
      </c>
      <c r="AL718" s="33">
        <f ca="1">IFERROR(AVERAGEIFS(data_brute!M:M,data_brute!J:J,"&lt;="&amp;AK718),NA())</f>
        <v>25.353524229074896</v>
      </c>
      <c r="AM718" s="46">
        <f t="shared" ca="1" si="156"/>
        <v>7120</v>
      </c>
      <c r="AN718" s="46" t="b">
        <f t="shared" si="157"/>
        <v>0</v>
      </c>
      <c r="AO718" s="50" t="b">
        <f t="shared" si="158"/>
        <v>0</v>
      </c>
    </row>
    <row r="719" spans="21:41" x14ac:dyDescent="0.2">
      <c r="U719" s="46">
        <f t="shared" si="149"/>
        <v>7122</v>
      </c>
      <c r="V719" s="46">
        <f t="shared" si="150"/>
        <v>7131</v>
      </c>
      <c r="W719" s="33" t="e">
        <f>IFERROR(AVERAGEIFS(data_brute!M:M,data_brute!J:J,"&lt;="&amp;V719,data_brute!J:J,"&gt;="&amp;U719),NA())</f>
        <v>#N/A</v>
      </c>
      <c r="X719" s="46" t="e">
        <f t="shared" si="151"/>
        <v>#N/A</v>
      </c>
      <c r="Y719" s="2" t="b">
        <f t="shared" si="152"/>
        <v>0</v>
      </c>
      <c r="Z719" s="2" t="b">
        <f t="shared" si="153"/>
        <v>0</v>
      </c>
      <c r="AE719" s="46">
        <f t="shared" si="146"/>
        <v>7122</v>
      </c>
      <c r="AF719" s="46">
        <f t="shared" si="147"/>
        <v>7131</v>
      </c>
      <c r="AG719" s="33" t="e">
        <f>IFERROR(AVERAGEIFS(data_brute!M:M,data_brute!J:J,"&gt;="&amp;AE719,data_brute!J:J,"&lt;="&amp;AF719),NA())</f>
        <v>#N/A</v>
      </c>
      <c r="AH719" s="46" t="e">
        <f t="shared" si="148"/>
        <v>#N/A</v>
      </c>
      <c r="AJ719" s="46">
        <f t="shared" si="154"/>
        <v>7122</v>
      </c>
      <c r="AK719" s="46">
        <f t="shared" si="155"/>
        <v>7131</v>
      </c>
      <c r="AL719" s="33">
        <f ca="1">IFERROR(AVERAGEIFS(data_brute!M:M,data_brute!J:J,"&lt;="&amp;AK719),NA())</f>
        <v>25.353524229074896</v>
      </c>
      <c r="AM719" s="46">
        <f t="shared" ca="1" si="156"/>
        <v>7130</v>
      </c>
      <c r="AN719" s="46" t="b">
        <f t="shared" si="157"/>
        <v>0</v>
      </c>
      <c r="AO719" s="50" t="b">
        <f t="shared" si="158"/>
        <v>0</v>
      </c>
    </row>
    <row r="720" spans="21:41" x14ac:dyDescent="0.2">
      <c r="U720" s="46">
        <f t="shared" si="149"/>
        <v>7132</v>
      </c>
      <c r="V720" s="46">
        <f t="shared" si="150"/>
        <v>7141</v>
      </c>
      <c r="W720" s="33" t="e">
        <f>IFERROR(AVERAGEIFS(data_brute!M:M,data_brute!J:J,"&lt;="&amp;V720,data_brute!J:J,"&gt;="&amp;U720),NA())</f>
        <v>#N/A</v>
      </c>
      <c r="X720" s="46" t="e">
        <f t="shared" si="151"/>
        <v>#N/A</v>
      </c>
      <c r="Y720" s="2" t="b">
        <f t="shared" si="152"/>
        <v>0</v>
      </c>
      <c r="Z720" s="2" t="b">
        <f t="shared" si="153"/>
        <v>0</v>
      </c>
      <c r="AE720" s="46">
        <f t="shared" si="146"/>
        <v>7132</v>
      </c>
      <c r="AF720" s="46">
        <f t="shared" si="147"/>
        <v>7141</v>
      </c>
      <c r="AG720" s="33" t="e">
        <f>IFERROR(AVERAGEIFS(data_brute!M:M,data_brute!J:J,"&gt;="&amp;AE720,data_brute!J:J,"&lt;="&amp;AF720),NA())</f>
        <v>#N/A</v>
      </c>
      <c r="AH720" s="46" t="e">
        <f t="shared" si="148"/>
        <v>#N/A</v>
      </c>
      <c r="AJ720" s="46">
        <f t="shared" si="154"/>
        <v>7132</v>
      </c>
      <c r="AK720" s="46">
        <f t="shared" si="155"/>
        <v>7141</v>
      </c>
      <c r="AL720" s="33">
        <f ca="1">IFERROR(AVERAGEIFS(data_brute!M:M,data_brute!J:J,"&lt;="&amp;AK720),NA())</f>
        <v>25.353524229074896</v>
      </c>
      <c r="AM720" s="46">
        <f t="shared" ca="1" si="156"/>
        <v>7140</v>
      </c>
      <c r="AN720" s="46" t="b">
        <f t="shared" si="157"/>
        <v>0</v>
      </c>
      <c r="AO720" s="50" t="b">
        <f t="shared" si="158"/>
        <v>0</v>
      </c>
    </row>
    <row r="721" spans="21:41" x14ac:dyDescent="0.2">
      <c r="U721" s="46">
        <f t="shared" si="149"/>
        <v>7142</v>
      </c>
      <c r="V721" s="46">
        <f t="shared" si="150"/>
        <v>7151</v>
      </c>
      <c r="W721" s="33" t="e">
        <f>IFERROR(AVERAGEIFS(data_brute!M:M,data_brute!J:J,"&lt;="&amp;V721,data_brute!J:J,"&gt;="&amp;U721),NA())</f>
        <v>#N/A</v>
      </c>
      <c r="X721" s="46" t="e">
        <f t="shared" si="151"/>
        <v>#N/A</v>
      </c>
      <c r="Y721" s="2" t="b">
        <f t="shared" si="152"/>
        <v>0</v>
      </c>
      <c r="Z721" s="2" t="b">
        <f t="shared" si="153"/>
        <v>0</v>
      </c>
      <c r="AE721" s="46">
        <f t="shared" si="146"/>
        <v>7142</v>
      </c>
      <c r="AF721" s="46">
        <f t="shared" si="147"/>
        <v>7151</v>
      </c>
      <c r="AG721" s="33" t="e">
        <f>IFERROR(AVERAGEIFS(data_brute!M:M,data_brute!J:J,"&gt;="&amp;AE721,data_brute!J:J,"&lt;="&amp;AF721),NA())</f>
        <v>#N/A</v>
      </c>
      <c r="AH721" s="46" t="e">
        <f t="shared" si="148"/>
        <v>#N/A</v>
      </c>
      <c r="AJ721" s="46">
        <f t="shared" si="154"/>
        <v>7142</v>
      </c>
      <c r="AK721" s="46">
        <f t="shared" si="155"/>
        <v>7151</v>
      </c>
      <c r="AL721" s="33">
        <f ca="1">IFERROR(AVERAGEIFS(data_brute!M:M,data_brute!J:J,"&lt;="&amp;AK721),NA())</f>
        <v>25.353524229074896</v>
      </c>
      <c r="AM721" s="46">
        <f t="shared" ca="1" si="156"/>
        <v>7150</v>
      </c>
      <c r="AN721" s="46" t="b">
        <f t="shared" si="157"/>
        <v>0</v>
      </c>
      <c r="AO721" s="50" t="b">
        <f t="shared" si="158"/>
        <v>0</v>
      </c>
    </row>
    <row r="722" spans="21:41" x14ac:dyDescent="0.2">
      <c r="U722" s="46">
        <f t="shared" si="149"/>
        <v>7152</v>
      </c>
      <c r="V722" s="46">
        <f t="shared" si="150"/>
        <v>7161</v>
      </c>
      <c r="W722" s="33" t="e">
        <f>IFERROR(AVERAGEIFS(data_brute!M:M,data_brute!J:J,"&lt;="&amp;V722,data_brute!J:J,"&gt;="&amp;U722),NA())</f>
        <v>#N/A</v>
      </c>
      <c r="X722" s="46" t="e">
        <f t="shared" si="151"/>
        <v>#N/A</v>
      </c>
      <c r="Y722" s="2" t="b">
        <f t="shared" si="152"/>
        <v>0</v>
      </c>
      <c r="Z722" s="2" t="b">
        <f t="shared" si="153"/>
        <v>0</v>
      </c>
      <c r="AE722" s="46">
        <f t="shared" si="146"/>
        <v>7152</v>
      </c>
      <c r="AF722" s="46">
        <f t="shared" si="147"/>
        <v>7161</v>
      </c>
      <c r="AG722" s="33" t="e">
        <f>IFERROR(AVERAGEIFS(data_brute!M:M,data_brute!J:J,"&gt;="&amp;AE722,data_brute!J:J,"&lt;="&amp;AF722),NA())</f>
        <v>#N/A</v>
      </c>
      <c r="AH722" s="46" t="e">
        <f t="shared" si="148"/>
        <v>#N/A</v>
      </c>
      <c r="AJ722" s="46">
        <f t="shared" si="154"/>
        <v>7152</v>
      </c>
      <c r="AK722" s="46">
        <f t="shared" si="155"/>
        <v>7161</v>
      </c>
      <c r="AL722" s="33">
        <f ca="1">IFERROR(AVERAGEIFS(data_brute!M:M,data_brute!J:J,"&lt;="&amp;AK722),NA())</f>
        <v>25.353524229074896</v>
      </c>
      <c r="AM722" s="46">
        <f t="shared" ca="1" si="156"/>
        <v>7160</v>
      </c>
      <c r="AN722" s="46" t="b">
        <f t="shared" si="157"/>
        <v>0</v>
      </c>
      <c r="AO722" s="50" t="b">
        <f t="shared" si="158"/>
        <v>0</v>
      </c>
    </row>
    <row r="723" spans="21:41" x14ac:dyDescent="0.2">
      <c r="U723" s="46">
        <f t="shared" si="149"/>
        <v>7162</v>
      </c>
      <c r="V723" s="46">
        <f t="shared" si="150"/>
        <v>7171</v>
      </c>
      <c r="W723" s="33" t="e">
        <f>IFERROR(AVERAGEIFS(data_brute!M:M,data_brute!J:J,"&lt;="&amp;V723,data_brute!J:J,"&gt;="&amp;U723),NA())</f>
        <v>#N/A</v>
      </c>
      <c r="X723" s="46" t="e">
        <f t="shared" si="151"/>
        <v>#N/A</v>
      </c>
      <c r="Y723" s="2" t="b">
        <f t="shared" si="152"/>
        <v>0</v>
      </c>
      <c r="Z723" s="2" t="b">
        <f t="shared" si="153"/>
        <v>0</v>
      </c>
      <c r="AE723" s="46">
        <f t="shared" si="146"/>
        <v>7162</v>
      </c>
      <c r="AF723" s="46">
        <f t="shared" si="147"/>
        <v>7171</v>
      </c>
      <c r="AG723" s="33" t="e">
        <f>IFERROR(AVERAGEIFS(data_brute!M:M,data_brute!J:J,"&gt;="&amp;AE723,data_brute!J:J,"&lt;="&amp;AF723),NA())</f>
        <v>#N/A</v>
      </c>
      <c r="AH723" s="46" t="e">
        <f t="shared" si="148"/>
        <v>#N/A</v>
      </c>
      <c r="AJ723" s="46">
        <f t="shared" si="154"/>
        <v>7162</v>
      </c>
      <c r="AK723" s="46">
        <f t="shared" si="155"/>
        <v>7171</v>
      </c>
      <c r="AL723" s="33">
        <f ca="1">IFERROR(AVERAGEIFS(data_brute!M:M,data_brute!J:J,"&lt;="&amp;AK723),NA())</f>
        <v>25.353524229074896</v>
      </c>
      <c r="AM723" s="46">
        <f t="shared" ca="1" si="156"/>
        <v>7170</v>
      </c>
      <c r="AN723" s="46" t="b">
        <f t="shared" si="157"/>
        <v>0</v>
      </c>
      <c r="AO723" s="50" t="b">
        <f t="shared" si="158"/>
        <v>0</v>
      </c>
    </row>
    <row r="724" spans="21:41" x14ac:dyDescent="0.2">
      <c r="U724" s="46">
        <f t="shared" si="149"/>
        <v>7172</v>
      </c>
      <c r="V724" s="46">
        <f t="shared" si="150"/>
        <v>7181</v>
      </c>
      <c r="W724" s="33" t="e">
        <f>IFERROR(AVERAGEIFS(data_brute!M:M,data_brute!J:J,"&lt;="&amp;V724,data_brute!J:J,"&gt;="&amp;U724),NA())</f>
        <v>#N/A</v>
      </c>
      <c r="X724" s="46" t="e">
        <f t="shared" si="151"/>
        <v>#N/A</v>
      </c>
      <c r="Y724" s="2" t="b">
        <f t="shared" si="152"/>
        <v>0</v>
      </c>
      <c r="Z724" s="2" t="b">
        <f t="shared" si="153"/>
        <v>0</v>
      </c>
      <c r="AE724" s="46">
        <f t="shared" si="146"/>
        <v>7172</v>
      </c>
      <c r="AF724" s="46">
        <f t="shared" si="147"/>
        <v>7181</v>
      </c>
      <c r="AG724" s="33" t="e">
        <f>IFERROR(AVERAGEIFS(data_brute!M:M,data_brute!J:J,"&gt;="&amp;AE724,data_brute!J:J,"&lt;="&amp;AF724),NA())</f>
        <v>#N/A</v>
      </c>
      <c r="AH724" s="46" t="e">
        <f t="shared" si="148"/>
        <v>#N/A</v>
      </c>
      <c r="AJ724" s="46">
        <f t="shared" si="154"/>
        <v>7172</v>
      </c>
      <c r="AK724" s="46">
        <f t="shared" si="155"/>
        <v>7181</v>
      </c>
      <c r="AL724" s="33">
        <f ca="1">IFERROR(AVERAGEIFS(data_brute!M:M,data_brute!J:J,"&lt;="&amp;AK724),NA())</f>
        <v>25.353524229074896</v>
      </c>
      <c r="AM724" s="46">
        <f t="shared" ca="1" si="156"/>
        <v>7180</v>
      </c>
      <c r="AN724" s="46" t="b">
        <f t="shared" si="157"/>
        <v>0</v>
      </c>
      <c r="AO724" s="50" t="b">
        <f t="shared" si="158"/>
        <v>0</v>
      </c>
    </row>
    <row r="725" spans="21:41" x14ac:dyDescent="0.2">
      <c r="U725" s="46">
        <f t="shared" si="149"/>
        <v>7182</v>
      </c>
      <c r="V725" s="46">
        <f t="shared" si="150"/>
        <v>7191</v>
      </c>
      <c r="W725" s="33" t="e">
        <f>IFERROR(AVERAGEIFS(data_brute!M:M,data_brute!J:J,"&lt;="&amp;V725,data_brute!J:J,"&gt;="&amp;U725),NA())</f>
        <v>#N/A</v>
      </c>
      <c r="X725" s="46" t="e">
        <f t="shared" si="151"/>
        <v>#N/A</v>
      </c>
      <c r="Y725" s="2" t="b">
        <f t="shared" si="152"/>
        <v>0</v>
      </c>
      <c r="Z725" s="2" t="b">
        <f t="shared" si="153"/>
        <v>0</v>
      </c>
      <c r="AE725" s="46">
        <f t="shared" si="146"/>
        <v>7182</v>
      </c>
      <c r="AF725" s="46">
        <f t="shared" si="147"/>
        <v>7191</v>
      </c>
      <c r="AG725" s="33" t="e">
        <f>IFERROR(AVERAGEIFS(data_brute!M:M,data_brute!J:J,"&gt;="&amp;AE725,data_brute!J:J,"&lt;="&amp;AF725),NA())</f>
        <v>#N/A</v>
      </c>
      <c r="AH725" s="46" t="e">
        <f t="shared" si="148"/>
        <v>#N/A</v>
      </c>
      <c r="AJ725" s="46">
        <f t="shared" si="154"/>
        <v>7182</v>
      </c>
      <c r="AK725" s="46">
        <f t="shared" si="155"/>
        <v>7191</v>
      </c>
      <c r="AL725" s="33">
        <f ca="1">IFERROR(AVERAGEIFS(data_brute!M:M,data_brute!J:J,"&lt;="&amp;AK725),NA())</f>
        <v>25.353524229074896</v>
      </c>
      <c r="AM725" s="46">
        <f t="shared" ca="1" si="156"/>
        <v>7190</v>
      </c>
      <c r="AN725" s="46" t="b">
        <f t="shared" si="157"/>
        <v>0</v>
      </c>
      <c r="AO725" s="50" t="b">
        <f t="shared" si="158"/>
        <v>0</v>
      </c>
    </row>
    <row r="726" spans="21:41" x14ac:dyDescent="0.2">
      <c r="U726" s="46">
        <f t="shared" si="149"/>
        <v>7192</v>
      </c>
      <c r="V726" s="46">
        <f t="shared" si="150"/>
        <v>7201</v>
      </c>
      <c r="W726" s="33" t="e">
        <f>IFERROR(AVERAGEIFS(data_brute!M:M,data_brute!J:J,"&lt;="&amp;V726,data_brute!J:J,"&gt;="&amp;U726),NA())</f>
        <v>#N/A</v>
      </c>
      <c r="X726" s="46" t="e">
        <f t="shared" si="151"/>
        <v>#N/A</v>
      </c>
      <c r="Y726" s="2" t="b">
        <f t="shared" si="152"/>
        <v>0</v>
      </c>
      <c r="Z726" s="2" t="b">
        <f t="shared" si="153"/>
        <v>0</v>
      </c>
      <c r="AE726" s="46">
        <f t="shared" si="146"/>
        <v>7192</v>
      </c>
      <c r="AF726" s="46">
        <f t="shared" si="147"/>
        <v>7201</v>
      </c>
      <c r="AG726" s="33" t="e">
        <f>IFERROR(AVERAGEIFS(data_brute!M:M,data_brute!J:J,"&gt;="&amp;AE726,data_brute!J:J,"&lt;="&amp;AF726),NA())</f>
        <v>#N/A</v>
      </c>
      <c r="AH726" s="46" t="e">
        <f t="shared" si="148"/>
        <v>#N/A</v>
      </c>
      <c r="AJ726" s="46">
        <f t="shared" si="154"/>
        <v>7192</v>
      </c>
      <c r="AK726" s="46">
        <f t="shared" si="155"/>
        <v>7201</v>
      </c>
      <c r="AL726" s="33">
        <f ca="1">IFERROR(AVERAGEIFS(data_brute!M:M,data_brute!J:J,"&lt;="&amp;AK726),NA())</f>
        <v>25.353524229074896</v>
      </c>
      <c r="AM726" s="46">
        <f t="shared" ca="1" si="156"/>
        <v>7200</v>
      </c>
      <c r="AN726" s="46" t="b">
        <f t="shared" si="157"/>
        <v>0</v>
      </c>
      <c r="AO726" s="50" t="b">
        <f t="shared" si="158"/>
        <v>0</v>
      </c>
    </row>
    <row r="727" spans="21:41" x14ac:dyDescent="0.2">
      <c r="U727" s="46">
        <f t="shared" si="149"/>
        <v>7202</v>
      </c>
      <c r="V727" s="46">
        <f t="shared" si="150"/>
        <v>7211</v>
      </c>
      <c r="W727" s="33" t="e">
        <f>IFERROR(AVERAGEIFS(data_brute!M:M,data_brute!J:J,"&lt;="&amp;V727,data_brute!J:J,"&gt;="&amp;U727),NA())</f>
        <v>#N/A</v>
      </c>
      <c r="X727" s="46" t="e">
        <f t="shared" si="151"/>
        <v>#N/A</v>
      </c>
      <c r="Y727" s="2" t="b">
        <f t="shared" si="152"/>
        <v>0</v>
      </c>
      <c r="Z727" s="2" t="b">
        <f t="shared" si="153"/>
        <v>0</v>
      </c>
      <c r="AE727" s="46">
        <f t="shared" si="146"/>
        <v>7202</v>
      </c>
      <c r="AF727" s="46">
        <f t="shared" si="147"/>
        <v>7211</v>
      </c>
      <c r="AG727" s="33" t="e">
        <f>IFERROR(AVERAGEIFS(data_brute!M:M,data_brute!J:J,"&gt;="&amp;AE727,data_brute!J:J,"&lt;="&amp;AF727),NA())</f>
        <v>#N/A</v>
      </c>
      <c r="AH727" s="46" t="e">
        <f t="shared" si="148"/>
        <v>#N/A</v>
      </c>
      <c r="AJ727" s="46">
        <f t="shared" si="154"/>
        <v>7202</v>
      </c>
      <c r="AK727" s="46">
        <f t="shared" si="155"/>
        <v>7211</v>
      </c>
      <c r="AL727" s="33">
        <f ca="1">IFERROR(AVERAGEIFS(data_brute!M:M,data_brute!J:J,"&lt;="&amp;AK727),NA())</f>
        <v>25.353524229074896</v>
      </c>
      <c r="AM727" s="46">
        <f t="shared" ca="1" si="156"/>
        <v>7210</v>
      </c>
      <c r="AN727" s="46" t="b">
        <f t="shared" si="157"/>
        <v>0</v>
      </c>
      <c r="AO727" s="50" t="b">
        <f t="shared" si="158"/>
        <v>0</v>
      </c>
    </row>
    <row r="728" spans="21:41" x14ac:dyDescent="0.2">
      <c r="U728" s="46">
        <f t="shared" si="149"/>
        <v>7212</v>
      </c>
      <c r="V728" s="46">
        <f t="shared" si="150"/>
        <v>7221</v>
      </c>
      <c r="W728" s="33" t="e">
        <f>IFERROR(AVERAGEIFS(data_brute!M:M,data_brute!J:J,"&lt;="&amp;V728,data_brute!J:J,"&gt;="&amp;U728),NA())</f>
        <v>#N/A</v>
      </c>
      <c r="X728" s="46" t="e">
        <f t="shared" si="151"/>
        <v>#N/A</v>
      </c>
      <c r="Y728" s="2" t="b">
        <f t="shared" si="152"/>
        <v>0</v>
      </c>
      <c r="Z728" s="2" t="b">
        <f t="shared" si="153"/>
        <v>0</v>
      </c>
      <c r="AE728" s="46">
        <f t="shared" ref="AE728:AE791" si="159">AF727+1</f>
        <v>7212</v>
      </c>
      <c r="AF728" s="46">
        <f t="shared" ref="AF728:AF791" si="160">AE728+$AG$2-1</f>
        <v>7221</v>
      </c>
      <c r="AG728" s="33" t="e">
        <f>IFERROR(AVERAGEIFS(data_brute!M:M,data_brute!J:J,"&gt;="&amp;AE728,data_brute!J:J,"&lt;="&amp;AF728),NA())</f>
        <v>#N/A</v>
      </c>
      <c r="AH728" s="46" t="e">
        <f t="shared" ref="AH728:AH791" si="161">IF(AG728&lt;&gt;"",$AG$2*(ROW()-ROW($AH$6)),NA())</f>
        <v>#N/A</v>
      </c>
      <c r="AJ728" s="46">
        <f t="shared" si="154"/>
        <v>7212</v>
      </c>
      <c r="AK728" s="46">
        <f t="shared" si="155"/>
        <v>7221</v>
      </c>
      <c r="AL728" s="33">
        <f ca="1">IFERROR(AVERAGEIFS(data_brute!M:M,data_brute!J:J,"&lt;="&amp;AK728),NA())</f>
        <v>25.353524229074896</v>
      </c>
      <c r="AM728" s="46">
        <f t="shared" ca="1" si="156"/>
        <v>7220</v>
      </c>
      <c r="AN728" s="46" t="b">
        <f t="shared" si="157"/>
        <v>0</v>
      </c>
      <c r="AO728" s="50" t="b">
        <f t="shared" si="158"/>
        <v>0</v>
      </c>
    </row>
    <row r="729" spans="21:41" x14ac:dyDescent="0.2">
      <c r="U729" s="46">
        <f t="shared" si="149"/>
        <v>7222</v>
      </c>
      <c r="V729" s="46">
        <f t="shared" si="150"/>
        <v>7231</v>
      </c>
      <c r="W729" s="33" t="e">
        <f>IFERROR(AVERAGEIFS(data_brute!M:M,data_brute!J:J,"&lt;="&amp;V729,data_brute!J:J,"&gt;="&amp;U729),NA())</f>
        <v>#N/A</v>
      </c>
      <c r="X729" s="46" t="e">
        <f t="shared" si="151"/>
        <v>#N/A</v>
      </c>
      <c r="Y729" s="2" t="b">
        <f t="shared" si="152"/>
        <v>0</v>
      </c>
      <c r="Z729" s="2" t="b">
        <f t="shared" si="153"/>
        <v>0</v>
      </c>
      <c r="AE729" s="46">
        <f t="shared" si="159"/>
        <v>7222</v>
      </c>
      <c r="AF729" s="46">
        <f t="shared" si="160"/>
        <v>7231</v>
      </c>
      <c r="AG729" s="33" t="e">
        <f>IFERROR(AVERAGEIFS(data_brute!M:M,data_brute!J:J,"&gt;="&amp;AE729,data_brute!J:J,"&lt;="&amp;AF729),NA())</f>
        <v>#N/A</v>
      </c>
      <c r="AH729" s="46" t="e">
        <f t="shared" si="161"/>
        <v>#N/A</v>
      </c>
      <c r="AJ729" s="46">
        <f t="shared" si="154"/>
        <v>7222</v>
      </c>
      <c r="AK729" s="46">
        <f t="shared" si="155"/>
        <v>7231</v>
      </c>
      <c r="AL729" s="33">
        <f ca="1">IFERROR(AVERAGEIFS(data_brute!M:M,data_brute!J:J,"&lt;="&amp;AK729),NA())</f>
        <v>25.353524229074896</v>
      </c>
      <c r="AM729" s="46">
        <f t="shared" ca="1" si="156"/>
        <v>7230</v>
      </c>
      <c r="AN729" s="46" t="b">
        <f t="shared" si="157"/>
        <v>0</v>
      </c>
      <c r="AO729" s="50" t="b">
        <f t="shared" si="158"/>
        <v>0</v>
      </c>
    </row>
    <row r="730" spans="21:41" x14ac:dyDescent="0.2">
      <c r="U730" s="46">
        <f t="shared" si="149"/>
        <v>7232</v>
      </c>
      <c r="V730" s="46">
        <f t="shared" si="150"/>
        <v>7241</v>
      </c>
      <c r="W730" s="33" t="e">
        <f>IFERROR(AVERAGEIFS(data_brute!M:M,data_brute!J:J,"&lt;="&amp;V730,data_brute!J:J,"&gt;="&amp;U730),NA())</f>
        <v>#N/A</v>
      </c>
      <c r="X730" s="46" t="e">
        <f t="shared" si="151"/>
        <v>#N/A</v>
      </c>
      <c r="Y730" s="2" t="b">
        <f t="shared" si="152"/>
        <v>0</v>
      </c>
      <c r="Z730" s="2" t="b">
        <f t="shared" si="153"/>
        <v>0</v>
      </c>
      <c r="AE730" s="46">
        <f t="shared" si="159"/>
        <v>7232</v>
      </c>
      <c r="AF730" s="46">
        <f t="shared" si="160"/>
        <v>7241</v>
      </c>
      <c r="AG730" s="33" t="e">
        <f>IFERROR(AVERAGEIFS(data_brute!M:M,data_brute!J:J,"&gt;="&amp;AE730,data_brute!J:J,"&lt;="&amp;AF730),NA())</f>
        <v>#N/A</v>
      </c>
      <c r="AH730" s="46" t="e">
        <f t="shared" si="161"/>
        <v>#N/A</v>
      </c>
      <c r="AJ730" s="46">
        <f t="shared" si="154"/>
        <v>7232</v>
      </c>
      <c r="AK730" s="46">
        <f t="shared" si="155"/>
        <v>7241</v>
      </c>
      <c r="AL730" s="33">
        <f ca="1">IFERROR(AVERAGEIFS(data_brute!M:M,data_brute!J:J,"&lt;="&amp;AK730),NA())</f>
        <v>25.353524229074896</v>
      </c>
      <c r="AM730" s="46">
        <f t="shared" ca="1" si="156"/>
        <v>7240</v>
      </c>
      <c r="AN730" s="46" t="b">
        <f t="shared" si="157"/>
        <v>0</v>
      </c>
      <c r="AO730" s="50" t="b">
        <f t="shared" si="158"/>
        <v>0</v>
      </c>
    </row>
    <row r="731" spans="21:41" x14ac:dyDescent="0.2">
      <c r="U731" s="46">
        <f t="shared" si="149"/>
        <v>7242</v>
      </c>
      <c r="V731" s="46">
        <f t="shared" si="150"/>
        <v>7251</v>
      </c>
      <c r="W731" s="33" t="e">
        <f>IFERROR(AVERAGEIFS(data_brute!M:M,data_brute!J:J,"&lt;="&amp;V731,data_brute!J:J,"&gt;="&amp;U731),NA())</f>
        <v>#N/A</v>
      </c>
      <c r="X731" s="46" t="e">
        <f t="shared" si="151"/>
        <v>#N/A</v>
      </c>
      <c r="Y731" s="2" t="b">
        <f t="shared" si="152"/>
        <v>0</v>
      </c>
      <c r="Z731" s="2" t="b">
        <f t="shared" si="153"/>
        <v>0</v>
      </c>
      <c r="AE731" s="46">
        <f t="shared" si="159"/>
        <v>7242</v>
      </c>
      <c r="AF731" s="46">
        <f t="shared" si="160"/>
        <v>7251</v>
      </c>
      <c r="AG731" s="33" t="e">
        <f>IFERROR(AVERAGEIFS(data_brute!M:M,data_brute!J:J,"&gt;="&amp;AE731,data_brute!J:J,"&lt;="&amp;AF731),NA())</f>
        <v>#N/A</v>
      </c>
      <c r="AH731" s="46" t="e">
        <f t="shared" si="161"/>
        <v>#N/A</v>
      </c>
      <c r="AJ731" s="46">
        <f t="shared" si="154"/>
        <v>7242</v>
      </c>
      <c r="AK731" s="46">
        <f t="shared" si="155"/>
        <v>7251</v>
      </c>
      <c r="AL731" s="33">
        <f ca="1">IFERROR(AVERAGEIFS(data_brute!M:M,data_brute!J:J,"&lt;="&amp;AK731),NA())</f>
        <v>25.353524229074896</v>
      </c>
      <c r="AM731" s="46">
        <f t="shared" ca="1" si="156"/>
        <v>7250</v>
      </c>
      <c r="AN731" s="46" t="b">
        <f t="shared" si="157"/>
        <v>0</v>
      </c>
      <c r="AO731" s="50" t="b">
        <f t="shared" si="158"/>
        <v>0</v>
      </c>
    </row>
    <row r="732" spans="21:41" x14ac:dyDescent="0.2">
      <c r="U732" s="46">
        <f t="shared" si="149"/>
        <v>7252</v>
      </c>
      <c r="V732" s="46">
        <f t="shared" si="150"/>
        <v>7261</v>
      </c>
      <c r="W732" s="33" t="e">
        <f>IFERROR(AVERAGEIFS(data_brute!M:M,data_brute!J:J,"&lt;="&amp;V732,data_brute!J:J,"&gt;="&amp;U732),NA())</f>
        <v>#N/A</v>
      </c>
      <c r="X732" s="46" t="e">
        <f t="shared" si="151"/>
        <v>#N/A</v>
      </c>
      <c r="Y732" s="2" t="b">
        <f t="shared" si="152"/>
        <v>0</v>
      </c>
      <c r="Z732" s="2" t="b">
        <f t="shared" si="153"/>
        <v>0</v>
      </c>
      <c r="AE732" s="46">
        <f t="shared" si="159"/>
        <v>7252</v>
      </c>
      <c r="AF732" s="46">
        <f t="shared" si="160"/>
        <v>7261</v>
      </c>
      <c r="AG732" s="33" t="e">
        <f>IFERROR(AVERAGEIFS(data_brute!M:M,data_brute!J:J,"&gt;="&amp;AE732,data_brute!J:J,"&lt;="&amp;AF732),NA())</f>
        <v>#N/A</v>
      </c>
      <c r="AH732" s="46" t="e">
        <f t="shared" si="161"/>
        <v>#N/A</v>
      </c>
      <c r="AJ732" s="46">
        <f t="shared" si="154"/>
        <v>7252</v>
      </c>
      <c r="AK732" s="46">
        <f t="shared" si="155"/>
        <v>7261</v>
      </c>
      <c r="AL732" s="33">
        <f ca="1">IFERROR(AVERAGEIFS(data_brute!M:M,data_brute!J:J,"&lt;="&amp;AK732),NA())</f>
        <v>25.353524229074896</v>
      </c>
      <c r="AM732" s="46">
        <f t="shared" ca="1" si="156"/>
        <v>7260</v>
      </c>
      <c r="AN732" s="46" t="b">
        <f t="shared" si="157"/>
        <v>0</v>
      </c>
      <c r="AO732" s="50" t="b">
        <f t="shared" si="158"/>
        <v>0</v>
      </c>
    </row>
    <row r="733" spans="21:41" x14ac:dyDescent="0.2">
      <c r="U733" s="46">
        <f t="shared" si="149"/>
        <v>7262</v>
      </c>
      <c r="V733" s="46">
        <f t="shared" si="150"/>
        <v>7271</v>
      </c>
      <c r="W733" s="33" t="e">
        <f>IFERROR(AVERAGEIFS(data_brute!M:M,data_brute!J:J,"&lt;="&amp;V733,data_brute!J:J,"&gt;="&amp;U733),NA())</f>
        <v>#N/A</v>
      </c>
      <c r="X733" s="46" t="e">
        <f t="shared" si="151"/>
        <v>#N/A</v>
      </c>
      <c r="Y733" s="2" t="b">
        <f t="shared" si="152"/>
        <v>0</v>
      </c>
      <c r="Z733" s="2" t="b">
        <f t="shared" si="153"/>
        <v>0</v>
      </c>
      <c r="AE733" s="46">
        <f t="shared" si="159"/>
        <v>7262</v>
      </c>
      <c r="AF733" s="46">
        <f t="shared" si="160"/>
        <v>7271</v>
      </c>
      <c r="AG733" s="33" t="e">
        <f>IFERROR(AVERAGEIFS(data_brute!M:M,data_brute!J:J,"&gt;="&amp;AE733,data_brute!J:J,"&lt;="&amp;AF733),NA())</f>
        <v>#N/A</v>
      </c>
      <c r="AH733" s="46" t="e">
        <f t="shared" si="161"/>
        <v>#N/A</v>
      </c>
      <c r="AJ733" s="46">
        <f t="shared" si="154"/>
        <v>7262</v>
      </c>
      <c r="AK733" s="46">
        <f t="shared" si="155"/>
        <v>7271</v>
      </c>
      <c r="AL733" s="33">
        <f ca="1">IFERROR(AVERAGEIFS(data_brute!M:M,data_brute!J:J,"&lt;="&amp;AK733),NA())</f>
        <v>25.353524229074896</v>
      </c>
      <c r="AM733" s="46">
        <f t="shared" ca="1" si="156"/>
        <v>7270</v>
      </c>
      <c r="AN733" s="46" t="b">
        <f t="shared" si="157"/>
        <v>0</v>
      </c>
      <c r="AO733" s="50" t="b">
        <f t="shared" si="158"/>
        <v>0</v>
      </c>
    </row>
    <row r="734" spans="21:41" x14ac:dyDescent="0.2">
      <c r="U734" s="46">
        <f t="shared" si="149"/>
        <v>7272</v>
      </c>
      <c r="V734" s="46">
        <f t="shared" si="150"/>
        <v>7281</v>
      </c>
      <c r="W734" s="33" t="e">
        <f>IFERROR(AVERAGEIFS(data_brute!M:M,data_brute!J:J,"&lt;="&amp;V734,data_brute!J:J,"&gt;="&amp;U734),NA())</f>
        <v>#N/A</v>
      </c>
      <c r="X734" s="46" t="e">
        <f t="shared" si="151"/>
        <v>#N/A</v>
      </c>
      <c r="Y734" s="2" t="b">
        <f t="shared" si="152"/>
        <v>0</v>
      </c>
      <c r="Z734" s="2" t="b">
        <f t="shared" si="153"/>
        <v>0</v>
      </c>
      <c r="AE734" s="46">
        <f t="shared" si="159"/>
        <v>7272</v>
      </c>
      <c r="AF734" s="46">
        <f t="shared" si="160"/>
        <v>7281</v>
      </c>
      <c r="AG734" s="33" t="e">
        <f>IFERROR(AVERAGEIFS(data_brute!M:M,data_brute!J:J,"&gt;="&amp;AE734,data_brute!J:J,"&lt;="&amp;AF734),NA())</f>
        <v>#N/A</v>
      </c>
      <c r="AH734" s="46" t="e">
        <f t="shared" si="161"/>
        <v>#N/A</v>
      </c>
      <c r="AJ734" s="46">
        <f t="shared" si="154"/>
        <v>7272</v>
      </c>
      <c r="AK734" s="46">
        <f t="shared" si="155"/>
        <v>7281</v>
      </c>
      <c r="AL734" s="33">
        <f ca="1">IFERROR(AVERAGEIFS(data_brute!M:M,data_brute!J:J,"&lt;="&amp;AK734),NA())</f>
        <v>25.353524229074896</v>
      </c>
      <c r="AM734" s="46">
        <f t="shared" ca="1" si="156"/>
        <v>7280</v>
      </c>
      <c r="AN734" s="46" t="b">
        <f t="shared" si="157"/>
        <v>0</v>
      </c>
      <c r="AO734" s="50" t="b">
        <f t="shared" si="158"/>
        <v>0</v>
      </c>
    </row>
    <row r="735" spans="21:41" x14ac:dyDescent="0.2">
      <c r="U735" s="46">
        <f t="shared" si="149"/>
        <v>7282</v>
      </c>
      <c r="V735" s="46">
        <f t="shared" si="150"/>
        <v>7291</v>
      </c>
      <c r="W735" s="33" t="e">
        <f>IFERROR(AVERAGEIFS(data_brute!M:M,data_brute!J:J,"&lt;="&amp;V735,data_brute!J:J,"&gt;="&amp;U735),NA())</f>
        <v>#N/A</v>
      </c>
      <c r="X735" s="46" t="e">
        <f t="shared" si="151"/>
        <v>#N/A</v>
      </c>
      <c r="Y735" s="2" t="b">
        <f t="shared" si="152"/>
        <v>0</v>
      </c>
      <c r="Z735" s="2" t="b">
        <f t="shared" si="153"/>
        <v>0</v>
      </c>
      <c r="AE735" s="46">
        <f t="shared" si="159"/>
        <v>7282</v>
      </c>
      <c r="AF735" s="46">
        <f t="shared" si="160"/>
        <v>7291</v>
      </c>
      <c r="AG735" s="33" t="e">
        <f>IFERROR(AVERAGEIFS(data_brute!M:M,data_brute!J:J,"&gt;="&amp;AE735,data_brute!J:J,"&lt;="&amp;AF735),NA())</f>
        <v>#N/A</v>
      </c>
      <c r="AH735" s="46" t="e">
        <f t="shared" si="161"/>
        <v>#N/A</v>
      </c>
      <c r="AJ735" s="46">
        <f t="shared" si="154"/>
        <v>7282</v>
      </c>
      <c r="AK735" s="46">
        <f t="shared" si="155"/>
        <v>7291</v>
      </c>
      <c r="AL735" s="33">
        <f ca="1">IFERROR(AVERAGEIFS(data_brute!M:M,data_brute!J:J,"&lt;="&amp;AK735),NA())</f>
        <v>25.353524229074896</v>
      </c>
      <c r="AM735" s="46">
        <f t="shared" ca="1" si="156"/>
        <v>7290</v>
      </c>
      <c r="AN735" s="46" t="b">
        <f t="shared" si="157"/>
        <v>0</v>
      </c>
      <c r="AO735" s="50" t="b">
        <f t="shared" si="158"/>
        <v>0</v>
      </c>
    </row>
    <row r="736" spans="21:41" x14ac:dyDescent="0.2">
      <c r="U736" s="46">
        <f t="shared" si="149"/>
        <v>7292</v>
      </c>
      <c r="V736" s="46">
        <f t="shared" si="150"/>
        <v>7301</v>
      </c>
      <c r="W736" s="33" t="e">
        <f>IFERROR(AVERAGEIFS(data_brute!M:M,data_brute!J:J,"&lt;="&amp;V736,data_brute!J:J,"&gt;="&amp;U736),NA())</f>
        <v>#N/A</v>
      </c>
      <c r="X736" s="46" t="e">
        <f t="shared" si="151"/>
        <v>#N/A</v>
      </c>
      <c r="Y736" s="2" t="b">
        <f t="shared" si="152"/>
        <v>0</v>
      </c>
      <c r="Z736" s="2" t="b">
        <f t="shared" si="153"/>
        <v>0</v>
      </c>
      <c r="AE736" s="46">
        <f t="shared" si="159"/>
        <v>7292</v>
      </c>
      <c r="AF736" s="46">
        <f t="shared" si="160"/>
        <v>7301</v>
      </c>
      <c r="AG736" s="33" t="e">
        <f>IFERROR(AVERAGEIFS(data_brute!M:M,data_brute!J:J,"&gt;="&amp;AE736,data_brute!J:J,"&lt;="&amp;AF736),NA())</f>
        <v>#N/A</v>
      </c>
      <c r="AH736" s="46" t="e">
        <f t="shared" si="161"/>
        <v>#N/A</v>
      </c>
      <c r="AJ736" s="46">
        <f t="shared" si="154"/>
        <v>7292</v>
      </c>
      <c r="AK736" s="46">
        <f t="shared" si="155"/>
        <v>7301</v>
      </c>
      <c r="AL736" s="33">
        <f ca="1">IFERROR(AVERAGEIFS(data_brute!M:M,data_brute!J:J,"&lt;="&amp;AK736),NA())</f>
        <v>25.353524229074896</v>
      </c>
      <c r="AM736" s="46">
        <f t="shared" ca="1" si="156"/>
        <v>7300</v>
      </c>
      <c r="AN736" s="46" t="b">
        <f t="shared" si="157"/>
        <v>0</v>
      </c>
      <c r="AO736" s="50" t="b">
        <f t="shared" si="158"/>
        <v>0</v>
      </c>
    </row>
    <row r="737" spans="21:41" x14ac:dyDescent="0.2">
      <c r="U737" s="46">
        <f t="shared" si="149"/>
        <v>7302</v>
      </c>
      <c r="V737" s="46">
        <f t="shared" si="150"/>
        <v>7311</v>
      </c>
      <c r="W737" s="33" t="e">
        <f>IFERROR(AVERAGEIFS(data_brute!M:M,data_brute!J:J,"&lt;="&amp;V737,data_brute!J:J,"&gt;="&amp;U737),NA())</f>
        <v>#N/A</v>
      </c>
      <c r="X737" s="46" t="e">
        <f t="shared" si="151"/>
        <v>#N/A</v>
      </c>
      <c r="Y737" s="2" t="b">
        <f t="shared" si="152"/>
        <v>0</v>
      </c>
      <c r="Z737" s="2" t="b">
        <f t="shared" si="153"/>
        <v>0</v>
      </c>
      <c r="AE737" s="46">
        <f t="shared" si="159"/>
        <v>7302</v>
      </c>
      <c r="AF737" s="46">
        <f t="shared" si="160"/>
        <v>7311</v>
      </c>
      <c r="AG737" s="33" t="e">
        <f>IFERROR(AVERAGEIFS(data_brute!M:M,data_brute!J:J,"&gt;="&amp;AE737,data_brute!J:J,"&lt;="&amp;AF737),NA())</f>
        <v>#N/A</v>
      </c>
      <c r="AH737" s="46" t="e">
        <f t="shared" si="161"/>
        <v>#N/A</v>
      </c>
      <c r="AJ737" s="46">
        <f t="shared" si="154"/>
        <v>7302</v>
      </c>
      <c r="AK737" s="46">
        <f t="shared" si="155"/>
        <v>7311</v>
      </c>
      <c r="AL737" s="33">
        <f ca="1">IFERROR(AVERAGEIFS(data_brute!M:M,data_brute!J:J,"&lt;="&amp;AK737),NA())</f>
        <v>25.353524229074896</v>
      </c>
      <c r="AM737" s="46">
        <f t="shared" ca="1" si="156"/>
        <v>7310</v>
      </c>
      <c r="AN737" s="46" t="b">
        <f t="shared" si="157"/>
        <v>0</v>
      </c>
      <c r="AO737" s="50" t="b">
        <f t="shared" si="158"/>
        <v>0</v>
      </c>
    </row>
    <row r="738" spans="21:41" x14ac:dyDescent="0.2">
      <c r="U738" s="46">
        <f t="shared" si="149"/>
        <v>7312</v>
      </c>
      <c r="V738" s="46">
        <f t="shared" si="150"/>
        <v>7321</v>
      </c>
      <c r="W738" s="33" t="e">
        <f>IFERROR(AVERAGEIFS(data_brute!M:M,data_brute!J:J,"&lt;="&amp;V738,data_brute!J:J,"&gt;="&amp;U738),NA())</f>
        <v>#N/A</v>
      </c>
      <c r="X738" s="46" t="e">
        <f t="shared" si="151"/>
        <v>#N/A</v>
      </c>
      <c r="Y738" s="2" t="b">
        <f t="shared" si="152"/>
        <v>0</v>
      </c>
      <c r="Z738" s="2" t="b">
        <f t="shared" si="153"/>
        <v>0</v>
      </c>
      <c r="AE738" s="46">
        <f t="shared" si="159"/>
        <v>7312</v>
      </c>
      <c r="AF738" s="46">
        <f t="shared" si="160"/>
        <v>7321</v>
      </c>
      <c r="AG738" s="33" t="e">
        <f>IFERROR(AVERAGEIFS(data_brute!M:M,data_brute!J:J,"&gt;="&amp;AE738,data_brute!J:J,"&lt;="&amp;AF738),NA())</f>
        <v>#N/A</v>
      </c>
      <c r="AH738" s="46" t="e">
        <f t="shared" si="161"/>
        <v>#N/A</v>
      </c>
      <c r="AJ738" s="46">
        <f t="shared" si="154"/>
        <v>7312</v>
      </c>
      <c r="AK738" s="46">
        <f t="shared" si="155"/>
        <v>7321</v>
      </c>
      <c r="AL738" s="33">
        <f ca="1">IFERROR(AVERAGEIFS(data_brute!M:M,data_brute!J:J,"&lt;="&amp;AK738),NA())</f>
        <v>25.353524229074896</v>
      </c>
      <c r="AM738" s="46">
        <f t="shared" ca="1" si="156"/>
        <v>7320</v>
      </c>
      <c r="AN738" s="46" t="b">
        <f t="shared" si="157"/>
        <v>0</v>
      </c>
      <c r="AO738" s="50" t="b">
        <f t="shared" si="158"/>
        <v>0</v>
      </c>
    </row>
    <row r="739" spans="21:41" x14ac:dyDescent="0.2">
      <c r="U739" s="46">
        <f t="shared" ref="U739:U802" si="162">V738+1</f>
        <v>7322</v>
      </c>
      <c r="V739" s="46">
        <f t="shared" ref="V739:V802" si="163">U739+$AG$2-1</f>
        <v>7331</v>
      </c>
      <c r="W739" s="33" t="e">
        <f>IFERROR(AVERAGEIFS(data_brute!M:M,data_brute!J:J,"&lt;="&amp;V739,data_brute!J:J,"&gt;="&amp;U739),NA())</f>
        <v>#N/A</v>
      </c>
      <c r="X739" s="46" t="e">
        <f t="shared" ref="X739:X802" si="164">IF(W739&lt;&gt;"",$AG$2*(ROW()-ROW($AH$6)),NA())</f>
        <v>#N/A</v>
      </c>
      <c r="Y739" s="2" t="b">
        <f t="shared" ref="Y739:Y802" si="165">IF(AND($F$5&gt;=U739,$F$5&lt;=V739,V739=$F$5),TRUE,FALSE)</f>
        <v>0</v>
      </c>
      <c r="Z739" s="2" t="b">
        <f t="shared" ref="Z739:Z802" si="166">IF(AND($F$5&gt;=U739,$F$5&lt;=V739),TRUE,FALSE)</f>
        <v>0</v>
      </c>
      <c r="AE739" s="46">
        <f t="shared" si="159"/>
        <v>7322</v>
      </c>
      <c r="AF739" s="46">
        <f t="shared" si="160"/>
        <v>7331</v>
      </c>
      <c r="AG739" s="33" t="e">
        <f>IFERROR(AVERAGEIFS(data_brute!M:M,data_brute!J:J,"&gt;="&amp;AE739,data_brute!J:J,"&lt;="&amp;AF739),NA())</f>
        <v>#N/A</v>
      </c>
      <c r="AH739" s="46" t="e">
        <f t="shared" si="161"/>
        <v>#N/A</v>
      </c>
      <c r="AJ739" s="46">
        <f t="shared" si="154"/>
        <v>7322</v>
      </c>
      <c r="AK739" s="46">
        <f t="shared" si="155"/>
        <v>7331</v>
      </c>
      <c r="AL739" s="33">
        <f ca="1">IFERROR(AVERAGEIFS(data_brute!M:M,data_brute!J:J,"&lt;="&amp;AK739),NA())</f>
        <v>25.353524229074896</v>
      </c>
      <c r="AM739" s="46">
        <f t="shared" ca="1" si="156"/>
        <v>7330</v>
      </c>
      <c r="AN739" s="46" t="b">
        <f t="shared" si="157"/>
        <v>0</v>
      </c>
      <c r="AO739" s="50" t="b">
        <f t="shared" si="158"/>
        <v>0</v>
      </c>
    </row>
    <row r="740" spans="21:41" x14ac:dyDescent="0.2">
      <c r="U740" s="46">
        <f t="shared" si="162"/>
        <v>7332</v>
      </c>
      <c r="V740" s="46">
        <f t="shared" si="163"/>
        <v>7341</v>
      </c>
      <c r="W740" s="33" t="e">
        <f>IFERROR(AVERAGEIFS(data_brute!M:M,data_brute!J:J,"&lt;="&amp;V740,data_brute!J:J,"&gt;="&amp;U740),NA())</f>
        <v>#N/A</v>
      </c>
      <c r="X740" s="46" t="e">
        <f t="shared" si="164"/>
        <v>#N/A</v>
      </c>
      <c r="Y740" s="2" t="b">
        <f t="shared" si="165"/>
        <v>0</v>
      </c>
      <c r="Z740" s="2" t="b">
        <f t="shared" si="166"/>
        <v>0</v>
      </c>
      <c r="AE740" s="46">
        <f t="shared" si="159"/>
        <v>7332</v>
      </c>
      <c r="AF740" s="46">
        <f t="shared" si="160"/>
        <v>7341</v>
      </c>
      <c r="AG740" s="33" t="e">
        <f>IFERROR(AVERAGEIFS(data_brute!M:M,data_brute!J:J,"&gt;="&amp;AE740,data_brute!J:J,"&lt;="&amp;AF740),NA())</f>
        <v>#N/A</v>
      </c>
      <c r="AH740" s="46" t="e">
        <f t="shared" si="161"/>
        <v>#N/A</v>
      </c>
      <c r="AJ740" s="46">
        <f t="shared" ref="AJ740:AJ803" si="167">AK739+1</f>
        <v>7332</v>
      </c>
      <c r="AK740" s="46">
        <f t="shared" ref="AK740:AK803" si="168">AJ740+$AG$2-1</f>
        <v>7341</v>
      </c>
      <c r="AL740" s="33">
        <f ca="1">IFERROR(AVERAGEIFS(data_brute!M:M,data_brute!J:J,"&lt;="&amp;AK740),NA())</f>
        <v>25.353524229074896</v>
      </c>
      <c r="AM740" s="46">
        <f t="shared" ref="AM740:AM803" ca="1" si="169">IF(AL740&lt;&gt;"",$AG$2*(ROW()-ROW($AH$6)),NA())</f>
        <v>7340</v>
      </c>
      <c r="AN740" s="46" t="b">
        <f t="shared" ref="AN740:AN803" si="170">IF(AND($F$5&gt;=AJ740,$F$5&lt;=AK740,AK740=$F$5),TRUE,FALSE)</f>
        <v>0</v>
      </c>
      <c r="AO740" s="50" t="b">
        <f t="shared" ref="AO740:AO803" si="171">IF(AND($F$5&gt;=AJ740,$F$5&lt;=AK740),TRUE,FALSE)</f>
        <v>0</v>
      </c>
    </row>
    <row r="741" spans="21:41" x14ac:dyDescent="0.2">
      <c r="U741" s="46">
        <f t="shared" si="162"/>
        <v>7342</v>
      </c>
      <c r="V741" s="46">
        <f t="shared" si="163"/>
        <v>7351</v>
      </c>
      <c r="W741" s="33" t="e">
        <f>IFERROR(AVERAGEIFS(data_brute!M:M,data_brute!J:J,"&lt;="&amp;V741,data_brute!J:J,"&gt;="&amp;U741),NA())</f>
        <v>#N/A</v>
      </c>
      <c r="X741" s="46" t="e">
        <f t="shared" si="164"/>
        <v>#N/A</v>
      </c>
      <c r="Y741" s="2" t="b">
        <f t="shared" si="165"/>
        <v>0</v>
      </c>
      <c r="Z741" s="2" t="b">
        <f t="shared" si="166"/>
        <v>0</v>
      </c>
      <c r="AE741" s="46">
        <f t="shared" si="159"/>
        <v>7342</v>
      </c>
      <c r="AF741" s="46">
        <f t="shared" si="160"/>
        <v>7351</v>
      </c>
      <c r="AG741" s="33" t="e">
        <f>IFERROR(AVERAGEIFS(data_brute!M:M,data_brute!J:J,"&gt;="&amp;AE741,data_brute!J:J,"&lt;="&amp;AF741),NA())</f>
        <v>#N/A</v>
      </c>
      <c r="AH741" s="46" t="e">
        <f t="shared" si="161"/>
        <v>#N/A</v>
      </c>
      <c r="AJ741" s="46">
        <f t="shared" si="167"/>
        <v>7342</v>
      </c>
      <c r="AK741" s="46">
        <f t="shared" si="168"/>
        <v>7351</v>
      </c>
      <c r="AL741" s="33">
        <f ca="1">IFERROR(AVERAGEIFS(data_brute!M:M,data_brute!J:J,"&lt;="&amp;AK741),NA())</f>
        <v>25.353524229074896</v>
      </c>
      <c r="AM741" s="46">
        <f t="shared" ca="1" si="169"/>
        <v>7350</v>
      </c>
      <c r="AN741" s="46" t="b">
        <f t="shared" si="170"/>
        <v>0</v>
      </c>
      <c r="AO741" s="50" t="b">
        <f t="shared" si="171"/>
        <v>0</v>
      </c>
    </row>
    <row r="742" spans="21:41" x14ac:dyDescent="0.2">
      <c r="U742" s="46">
        <f t="shared" si="162"/>
        <v>7352</v>
      </c>
      <c r="V742" s="46">
        <f t="shared" si="163"/>
        <v>7361</v>
      </c>
      <c r="W742" s="33" t="e">
        <f>IFERROR(AVERAGEIFS(data_brute!M:M,data_brute!J:J,"&lt;="&amp;V742,data_brute!J:J,"&gt;="&amp;U742),NA())</f>
        <v>#N/A</v>
      </c>
      <c r="X742" s="46" t="e">
        <f t="shared" si="164"/>
        <v>#N/A</v>
      </c>
      <c r="Y742" s="2" t="b">
        <f t="shared" si="165"/>
        <v>0</v>
      </c>
      <c r="Z742" s="2" t="b">
        <f t="shared" si="166"/>
        <v>0</v>
      </c>
      <c r="AE742" s="46">
        <f t="shared" si="159"/>
        <v>7352</v>
      </c>
      <c r="AF742" s="46">
        <f t="shared" si="160"/>
        <v>7361</v>
      </c>
      <c r="AG742" s="33" t="e">
        <f>IFERROR(AVERAGEIFS(data_brute!M:M,data_brute!J:J,"&gt;="&amp;AE742,data_brute!J:J,"&lt;="&amp;AF742),NA())</f>
        <v>#N/A</v>
      </c>
      <c r="AH742" s="46" t="e">
        <f t="shared" si="161"/>
        <v>#N/A</v>
      </c>
      <c r="AJ742" s="46">
        <f t="shared" si="167"/>
        <v>7352</v>
      </c>
      <c r="AK742" s="46">
        <f t="shared" si="168"/>
        <v>7361</v>
      </c>
      <c r="AL742" s="33">
        <f ca="1">IFERROR(AVERAGEIFS(data_brute!M:M,data_brute!J:J,"&lt;="&amp;AK742),NA())</f>
        <v>25.353524229074896</v>
      </c>
      <c r="AM742" s="46">
        <f t="shared" ca="1" si="169"/>
        <v>7360</v>
      </c>
      <c r="AN742" s="46" t="b">
        <f t="shared" si="170"/>
        <v>0</v>
      </c>
      <c r="AO742" s="50" t="b">
        <f t="shared" si="171"/>
        <v>0</v>
      </c>
    </row>
    <row r="743" spans="21:41" x14ac:dyDescent="0.2">
      <c r="U743" s="46">
        <f t="shared" si="162"/>
        <v>7362</v>
      </c>
      <c r="V743" s="46">
        <f t="shared" si="163"/>
        <v>7371</v>
      </c>
      <c r="W743" s="33" t="e">
        <f>IFERROR(AVERAGEIFS(data_brute!M:M,data_brute!J:J,"&lt;="&amp;V743,data_brute!J:J,"&gt;="&amp;U743),NA())</f>
        <v>#N/A</v>
      </c>
      <c r="X743" s="46" t="e">
        <f t="shared" si="164"/>
        <v>#N/A</v>
      </c>
      <c r="Y743" s="2" t="b">
        <f t="shared" si="165"/>
        <v>0</v>
      </c>
      <c r="Z743" s="2" t="b">
        <f t="shared" si="166"/>
        <v>0</v>
      </c>
      <c r="AE743" s="46">
        <f t="shared" si="159"/>
        <v>7362</v>
      </c>
      <c r="AF743" s="46">
        <f t="shared" si="160"/>
        <v>7371</v>
      </c>
      <c r="AG743" s="33" t="e">
        <f>IFERROR(AVERAGEIFS(data_brute!M:M,data_brute!J:J,"&gt;="&amp;AE743,data_brute!J:J,"&lt;="&amp;AF743),NA())</f>
        <v>#N/A</v>
      </c>
      <c r="AH743" s="46" t="e">
        <f t="shared" si="161"/>
        <v>#N/A</v>
      </c>
      <c r="AJ743" s="46">
        <f t="shared" si="167"/>
        <v>7362</v>
      </c>
      <c r="AK743" s="46">
        <f t="shared" si="168"/>
        <v>7371</v>
      </c>
      <c r="AL743" s="33">
        <f ca="1">IFERROR(AVERAGEIFS(data_brute!M:M,data_brute!J:J,"&lt;="&amp;AK743),NA())</f>
        <v>25.353524229074896</v>
      </c>
      <c r="AM743" s="46">
        <f t="shared" ca="1" si="169"/>
        <v>7370</v>
      </c>
      <c r="AN743" s="46" t="b">
        <f t="shared" si="170"/>
        <v>0</v>
      </c>
      <c r="AO743" s="50" t="b">
        <f t="shared" si="171"/>
        <v>0</v>
      </c>
    </row>
    <row r="744" spans="21:41" x14ac:dyDescent="0.2">
      <c r="U744" s="46">
        <f t="shared" si="162"/>
        <v>7372</v>
      </c>
      <c r="V744" s="46">
        <f t="shared" si="163"/>
        <v>7381</v>
      </c>
      <c r="W744" s="33" t="e">
        <f>IFERROR(AVERAGEIFS(data_brute!M:M,data_brute!J:J,"&lt;="&amp;V744,data_brute!J:J,"&gt;="&amp;U744),NA())</f>
        <v>#N/A</v>
      </c>
      <c r="X744" s="46" t="e">
        <f t="shared" si="164"/>
        <v>#N/A</v>
      </c>
      <c r="Y744" s="2" t="b">
        <f t="shared" si="165"/>
        <v>0</v>
      </c>
      <c r="Z744" s="2" t="b">
        <f t="shared" si="166"/>
        <v>0</v>
      </c>
      <c r="AE744" s="46">
        <f t="shared" si="159"/>
        <v>7372</v>
      </c>
      <c r="AF744" s="46">
        <f t="shared" si="160"/>
        <v>7381</v>
      </c>
      <c r="AG744" s="33" t="e">
        <f>IFERROR(AVERAGEIFS(data_brute!M:M,data_brute!J:J,"&gt;="&amp;AE744,data_brute!J:J,"&lt;="&amp;AF744),NA())</f>
        <v>#N/A</v>
      </c>
      <c r="AH744" s="46" t="e">
        <f t="shared" si="161"/>
        <v>#N/A</v>
      </c>
      <c r="AJ744" s="46">
        <f t="shared" si="167"/>
        <v>7372</v>
      </c>
      <c r="AK744" s="46">
        <f t="shared" si="168"/>
        <v>7381</v>
      </c>
      <c r="AL744" s="33">
        <f ca="1">IFERROR(AVERAGEIFS(data_brute!M:M,data_brute!J:J,"&lt;="&amp;AK744),NA())</f>
        <v>25.353524229074896</v>
      </c>
      <c r="AM744" s="46">
        <f t="shared" ca="1" si="169"/>
        <v>7380</v>
      </c>
      <c r="AN744" s="46" t="b">
        <f t="shared" si="170"/>
        <v>0</v>
      </c>
      <c r="AO744" s="50" t="b">
        <f t="shared" si="171"/>
        <v>0</v>
      </c>
    </row>
    <row r="745" spans="21:41" x14ac:dyDescent="0.2">
      <c r="U745" s="46">
        <f t="shared" si="162"/>
        <v>7382</v>
      </c>
      <c r="V745" s="46">
        <f t="shared" si="163"/>
        <v>7391</v>
      </c>
      <c r="W745" s="33" t="e">
        <f>IFERROR(AVERAGEIFS(data_brute!M:M,data_brute!J:J,"&lt;="&amp;V745,data_brute!J:J,"&gt;="&amp;U745),NA())</f>
        <v>#N/A</v>
      </c>
      <c r="X745" s="46" t="e">
        <f t="shared" si="164"/>
        <v>#N/A</v>
      </c>
      <c r="Y745" s="2" t="b">
        <f t="shared" si="165"/>
        <v>0</v>
      </c>
      <c r="Z745" s="2" t="b">
        <f t="shared" si="166"/>
        <v>0</v>
      </c>
      <c r="AE745" s="46">
        <f t="shared" si="159"/>
        <v>7382</v>
      </c>
      <c r="AF745" s="46">
        <f t="shared" si="160"/>
        <v>7391</v>
      </c>
      <c r="AG745" s="33" t="e">
        <f>IFERROR(AVERAGEIFS(data_brute!M:M,data_brute!J:J,"&gt;="&amp;AE745,data_brute!J:J,"&lt;="&amp;AF745),NA())</f>
        <v>#N/A</v>
      </c>
      <c r="AH745" s="46" t="e">
        <f t="shared" si="161"/>
        <v>#N/A</v>
      </c>
      <c r="AJ745" s="46">
        <f t="shared" si="167"/>
        <v>7382</v>
      </c>
      <c r="AK745" s="46">
        <f t="shared" si="168"/>
        <v>7391</v>
      </c>
      <c r="AL745" s="33">
        <f ca="1">IFERROR(AVERAGEIFS(data_brute!M:M,data_brute!J:J,"&lt;="&amp;AK745),NA())</f>
        <v>25.353524229074896</v>
      </c>
      <c r="AM745" s="46">
        <f t="shared" ca="1" si="169"/>
        <v>7390</v>
      </c>
      <c r="AN745" s="46" t="b">
        <f t="shared" si="170"/>
        <v>0</v>
      </c>
      <c r="AO745" s="50" t="b">
        <f t="shared" si="171"/>
        <v>0</v>
      </c>
    </row>
    <row r="746" spans="21:41" x14ac:dyDescent="0.2">
      <c r="U746" s="46">
        <f t="shared" si="162"/>
        <v>7392</v>
      </c>
      <c r="V746" s="46">
        <f t="shared" si="163"/>
        <v>7401</v>
      </c>
      <c r="W746" s="33" t="e">
        <f>IFERROR(AVERAGEIFS(data_brute!M:M,data_brute!J:J,"&lt;="&amp;V746,data_brute!J:J,"&gt;="&amp;U746),NA())</f>
        <v>#N/A</v>
      </c>
      <c r="X746" s="46" t="e">
        <f t="shared" si="164"/>
        <v>#N/A</v>
      </c>
      <c r="Y746" s="2" t="b">
        <f t="shared" si="165"/>
        <v>0</v>
      </c>
      <c r="Z746" s="2" t="b">
        <f t="shared" si="166"/>
        <v>0</v>
      </c>
      <c r="AE746" s="46">
        <f t="shared" si="159"/>
        <v>7392</v>
      </c>
      <c r="AF746" s="46">
        <f t="shared" si="160"/>
        <v>7401</v>
      </c>
      <c r="AG746" s="33" t="e">
        <f>IFERROR(AVERAGEIFS(data_brute!M:M,data_brute!J:J,"&gt;="&amp;AE746,data_brute!J:J,"&lt;="&amp;AF746),NA())</f>
        <v>#N/A</v>
      </c>
      <c r="AH746" s="46" t="e">
        <f t="shared" si="161"/>
        <v>#N/A</v>
      </c>
      <c r="AJ746" s="46">
        <f t="shared" si="167"/>
        <v>7392</v>
      </c>
      <c r="AK746" s="46">
        <f t="shared" si="168"/>
        <v>7401</v>
      </c>
      <c r="AL746" s="33">
        <f ca="1">IFERROR(AVERAGEIFS(data_brute!M:M,data_brute!J:J,"&lt;="&amp;AK746),NA())</f>
        <v>25.353524229074896</v>
      </c>
      <c r="AM746" s="46">
        <f t="shared" ca="1" si="169"/>
        <v>7400</v>
      </c>
      <c r="AN746" s="46" t="b">
        <f t="shared" si="170"/>
        <v>0</v>
      </c>
      <c r="AO746" s="50" t="b">
        <f t="shared" si="171"/>
        <v>0</v>
      </c>
    </row>
    <row r="747" spans="21:41" x14ac:dyDescent="0.2">
      <c r="U747" s="46">
        <f t="shared" si="162"/>
        <v>7402</v>
      </c>
      <c r="V747" s="46">
        <f t="shared" si="163"/>
        <v>7411</v>
      </c>
      <c r="W747" s="33" t="e">
        <f>IFERROR(AVERAGEIFS(data_brute!M:M,data_brute!J:J,"&lt;="&amp;V747,data_brute!J:J,"&gt;="&amp;U747),NA())</f>
        <v>#N/A</v>
      </c>
      <c r="X747" s="46" t="e">
        <f t="shared" si="164"/>
        <v>#N/A</v>
      </c>
      <c r="Y747" s="2" t="b">
        <f t="shared" si="165"/>
        <v>0</v>
      </c>
      <c r="Z747" s="2" t="b">
        <f t="shared" si="166"/>
        <v>0</v>
      </c>
      <c r="AE747" s="46">
        <f t="shared" si="159"/>
        <v>7402</v>
      </c>
      <c r="AF747" s="46">
        <f t="shared" si="160"/>
        <v>7411</v>
      </c>
      <c r="AG747" s="33" t="e">
        <f>IFERROR(AVERAGEIFS(data_brute!M:M,data_brute!J:J,"&gt;="&amp;AE747,data_brute!J:J,"&lt;="&amp;AF747),NA())</f>
        <v>#N/A</v>
      </c>
      <c r="AH747" s="46" t="e">
        <f t="shared" si="161"/>
        <v>#N/A</v>
      </c>
      <c r="AJ747" s="46">
        <f t="shared" si="167"/>
        <v>7402</v>
      </c>
      <c r="AK747" s="46">
        <f t="shared" si="168"/>
        <v>7411</v>
      </c>
      <c r="AL747" s="33">
        <f ca="1">IFERROR(AVERAGEIFS(data_brute!M:M,data_brute!J:J,"&lt;="&amp;AK747),NA())</f>
        <v>25.353524229074896</v>
      </c>
      <c r="AM747" s="46">
        <f t="shared" ca="1" si="169"/>
        <v>7410</v>
      </c>
      <c r="AN747" s="46" t="b">
        <f t="shared" si="170"/>
        <v>0</v>
      </c>
      <c r="AO747" s="50" t="b">
        <f t="shared" si="171"/>
        <v>0</v>
      </c>
    </row>
    <row r="748" spans="21:41" x14ac:dyDescent="0.2">
      <c r="U748" s="46">
        <f t="shared" si="162"/>
        <v>7412</v>
      </c>
      <c r="V748" s="46">
        <f t="shared" si="163"/>
        <v>7421</v>
      </c>
      <c r="W748" s="33" t="e">
        <f>IFERROR(AVERAGEIFS(data_brute!M:M,data_brute!J:J,"&lt;="&amp;V748,data_brute!J:J,"&gt;="&amp;U748),NA())</f>
        <v>#N/A</v>
      </c>
      <c r="X748" s="46" t="e">
        <f t="shared" si="164"/>
        <v>#N/A</v>
      </c>
      <c r="Y748" s="2" t="b">
        <f t="shared" si="165"/>
        <v>0</v>
      </c>
      <c r="Z748" s="2" t="b">
        <f t="shared" si="166"/>
        <v>0</v>
      </c>
      <c r="AE748" s="46">
        <f t="shared" si="159"/>
        <v>7412</v>
      </c>
      <c r="AF748" s="46">
        <f t="shared" si="160"/>
        <v>7421</v>
      </c>
      <c r="AG748" s="33" t="e">
        <f>IFERROR(AVERAGEIFS(data_brute!M:M,data_brute!J:J,"&gt;="&amp;AE748,data_brute!J:J,"&lt;="&amp;AF748),NA())</f>
        <v>#N/A</v>
      </c>
      <c r="AH748" s="46" t="e">
        <f t="shared" si="161"/>
        <v>#N/A</v>
      </c>
      <c r="AJ748" s="46">
        <f t="shared" si="167"/>
        <v>7412</v>
      </c>
      <c r="AK748" s="46">
        <f t="shared" si="168"/>
        <v>7421</v>
      </c>
      <c r="AL748" s="33">
        <f ca="1">IFERROR(AVERAGEIFS(data_brute!M:M,data_brute!J:J,"&lt;="&amp;AK748),NA())</f>
        <v>25.353524229074896</v>
      </c>
      <c r="AM748" s="46">
        <f t="shared" ca="1" si="169"/>
        <v>7420</v>
      </c>
      <c r="AN748" s="46" t="b">
        <f t="shared" si="170"/>
        <v>0</v>
      </c>
      <c r="AO748" s="50" t="b">
        <f t="shared" si="171"/>
        <v>0</v>
      </c>
    </row>
    <row r="749" spans="21:41" x14ac:dyDescent="0.2">
      <c r="U749" s="46">
        <f t="shared" si="162"/>
        <v>7422</v>
      </c>
      <c r="V749" s="46">
        <f t="shared" si="163"/>
        <v>7431</v>
      </c>
      <c r="W749" s="33" t="e">
        <f>IFERROR(AVERAGEIFS(data_brute!M:M,data_brute!J:J,"&lt;="&amp;V749,data_brute!J:J,"&gt;="&amp;U749),NA())</f>
        <v>#N/A</v>
      </c>
      <c r="X749" s="46" t="e">
        <f t="shared" si="164"/>
        <v>#N/A</v>
      </c>
      <c r="Y749" s="2" t="b">
        <f t="shared" si="165"/>
        <v>0</v>
      </c>
      <c r="Z749" s="2" t="b">
        <f t="shared" si="166"/>
        <v>0</v>
      </c>
      <c r="AE749" s="46">
        <f t="shared" si="159"/>
        <v>7422</v>
      </c>
      <c r="AF749" s="46">
        <f t="shared" si="160"/>
        <v>7431</v>
      </c>
      <c r="AG749" s="33" t="e">
        <f>IFERROR(AVERAGEIFS(data_brute!M:M,data_brute!J:J,"&gt;="&amp;AE749,data_brute!J:J,"&lt;="&amp;AF749),NA())</f>
        <v>#N/A</v>
      </c>
      <c r="AH749" s="46" t="e">
        <f t="shared" si="161"/>
        <v>#N/A</v>
      </c>
      <c r="AJ749" s="46">
        <f t="shared" si="167"/>
        <v>7422</v>
      </c>
      <c r="AK749" s="46">
        <f t="shared" si="168"/>
        <v>7431</v>
      </c>
      <c r="AL749" s="33">
        <f ca="1">IFERROR(AVERAGEIFS(data_brute!M:M,data_brute!J:J,"&lt;="&amp;AK749),NA())</f>
        <v>25.353524229074896</v>
      </c>
      <c r="AM749" s="46">
        <f t="shared" ca="1" si="169"/>
        <v>7430</v>
      </c>
      <c r="AN749" s="46" t="b">
        <f t="shared" si="170"/>
        <v>0</v>
      </c>
      <c r="AO749" s="50" t="b">
        <f t="shared" si="171"/>
        <v>0</v>
      </c>
    </row>
    <row r="750" spans="21:41" x14ac:dyDescent="0.2">
      <c r="U750" s="46">
        <f t="shared" si="162"/>
        <v>7432</v>
      </c>
      <c r="V750" s="46">
        <f t="shared" si="163"/>
        <v>7441</v>
      </c>
      <c r="W750" s="33" t="e">
        <f>IFERROR(AVERAGEIFS(data_brute!M:M,data_brute!J:J,"&lt;="&amp;V750,data_brute!J:J,"&gt;="&amp;U750),NA())</f>
        <v>#N/A</v>
      </c>
      <c r="X750" s="46" t="e">
        <f t="shared" si="164"/>
        <v>#N/A</v>
      </c>
      <c r="Y750" s="2" t="b">
        <f t="shared" si="165"/>
        <v>0</v>
      </c>
      <c r="Z750" s="2" t="b">
        <f t="shared" si="166"/>
        <v>0</v>
      </c>
      <c r="AE750" s="46">
        <f t="shared" si="159"/>
        <v>7432</v>
      </c>
      <c r="AF750" s="46">
        <f t="shared" si="160"/>
        <v>7441</v>
      </c>
      <c r="AG750" s="33" t="e">
        <f>IFERROR(AVERAGEIFS(data_brute!M:M,data_brute!J:J,"&gt;="&amp;AE750,data_brute!J:J,"&lt;="&amp;AF750),NA())</f>
        <v>#N/A</v>
      </c>
      <c r="AH750" s="46" t="e">
        <f t="shared" si="161"/>
        <v>#N/A</v>
      </c>
      <c r="AJ750" s="46">
        <f t="shared" si="167"/>
        <v>7432</v>
      </c>
      <c r="AK750" s="46">
        <f t="shared" si="168"/>
        <v>7441</v>
      </c>
      <c r="AL750" s="33">
        <f ca="1">IFERROR(AVERAGEIFS(data_brute!M:M,data_brute!J:J,"&lt;="&amp;AK750),NA())</f>
        <v>25.353524229074896</v>
      </c>
      <c r="AM750" s="46">
        <f t="shared" ca="1" si="169"/>
        <v>7440</v>
      </c>
      <c r="AN750" s="46" t="b">
        <f t="shared" si="170"/>
        <v>0</v>
      </c>
      <c r="AO750" s="50" t="b">
        <f t="shared" si="171"/>
        <v>0</v>
      </c>
    </row>
    <row r="751" spans="21:41" x14ac:dyDescent="0.2">
      <c r="U751" s="46">
        <f t="shared" si="162"/>
        <v>7442</v>
      </c>
      <c r="V751" s="46">
        <f t="shared" si="163"/>
        <v>7451</v>
      </c>
      <c r="W751" s="33" t="e">
        <f>IFERROR(AVERAGEIFS(data_brute!M:M,data_brute!J:J,"&lt;="&amp;V751,data_brute!J:J,"&gt;="&amp;U751),NA())</f>
        <v>#N/A</v>
      </c>
      <c r="X751" s="46" t="e">
        <f t="shared" si="164"/>
        <v>#N/A</v>
      </c>
      <c r="Y751" s="2" t="b">
        <f t="shared" si="165"/>
        <v>0</v>
      </c>
      <c r="Z751" s="2" t="b">
        <f t="shared" si="166"/>
        <v>0</v>
      </c>
      <c r="AE751" s="46">
        <f t="shared" si="159"/>
        <v>7442</v>
      </c>
      <c r="AF751" s="46">
        <f t="shared" si="160"/>
        <v>7451</v>
      </c>
      <c r="AG751" s="33" t="e">
        <f>IFERROR(AVERAGEIFS(data_brute!M:M,data_brute!J:J,"&gt;="&amp;AE751,data_brute!J:J,"&lt;="&amp;AF751),NA())</f>
        <v>#N/A</v>
      </c>
      <c r="AH751" s="46" t="e">
        <f t="shared" si="161"/>
        <v>#N/A</v>
      </c>
      <c r="AJ751" s="46">
        <f t="shared" si="167"/>
        <v>7442</v>
      </c>
      <c r="AK751" s="46">
        <f t="shared" si="168"/>
        <v>7451</v>
      </c>
      <c r="AL751" s="33">
        <f ca="1">IFERROR(AVERAGEIFS(data_brute!M:M,data_brute!J:J,"&lt;="&amp;AK751),NA())</f>
        <v>25.353524229074896</v>
      </c>
      <c r="AM751" s="46">
        <f t="shared" ca="1" si="169"/>
        <v>7450</v>
      </c>
      <c r="AN751" s="46" t="b">
        <f t="shared" si="170"/>
        <v>0</v>
      </c>
      <c r="AO751" s="50" t="b">
        <f t="shared" si="171"/>
        <v>0</v>
      </c>
    </row>
    <row r="752" spans="21:41" x14ac:dyDescent="0.2">
      <c r="U752" s="46">
        <f t="shared" si="162"/>
        <v>7452</v>
      </c>
      <c r="V752" s="46">
        <f t="shared" si="163"/>
        <v>7461</v>
      </c>
      <c r="W752" s="33" t="e">
        <f>IFERROR(AVERAGEIFS(data_brute!M:M,data_brute!J:J,"&lt;="&amp;V752,data_brute!J:J,"&gt;="&amp;U752),NA())</f>
        <v>#N/A</v>
      </c>
      <c r="X752" s="46" t="e">
        <f t="shared" si="164"/>
        <v>#N/A</v>
      </c>
      <c r="Y752" s="2" t="b">
        <f t="shared" si="165"/>
        <v>0</v>
      </c>
      <c r="Z752" s="2" t="b">
        <f t="shared" si="166"/>
        <v>0</v>
      </c>
      <c r="AE752" s="46">
        <f t="shared" si="159"/>
        <v>7452</v>
      </c>
      <c r="AF752" s="46">
        <f t="shared" si="160"/>
        <v>7461</v>
      </c>
      <c r="AG752" s="33" t="e">
        <f>IFERROR(AVERAGEIFS(data_brute!M:M,data_brute!J:J,"&gt;="&amp;AE752,data_brute!J:J,"&lt;="&amp;AF752),NA())</f>
        <v>#N/A</v>
      </c>
      <c r="AH752" s="46" t="e">
        <f t="shared" si="161"/>
        <v>#N/A</v>
      </c>
      <c r="AJ752" s="46">
        <f t="shared" si="167"/>
        <v>7452</v>
      </c>
      <c r="AK752" s="46">
        <f t="shared" si="168"/>
        <v>7461</v>
      </c>
      <c r="AL752" s="33">
        <f ca="1">IFERROR(AVERAGEIFS(data_brute!M:M,data_brute!J:J,"&lt;="&amp;AK752),NA())</f>
        <v>25.353524229074896</v>
      </c>
      <c r="AM752" s="46">
        <f t="shared" ca="1" si="169"/>
        <v>7460</v>
      </c>
      <c r="AN752" s="46" t="b">
        <f t="shared" si="170"/>
        <v>0</v>
      </c>
      <c r="AO752" s="50" t="b">
        <f t="shared" si="171"/>
        <v>0</v>
      </c>
    </row>
    <row r="753" spans="21:41" x14ac:dyDescent="0.2">
      <c r="U753" s="46">
        <f t="shared" si="162"/>
        <v>7462</v>
      </c>
      <c r="V753" s="46">
        <f t="shared" si="163"/>
        <v>7471</v>
      </c>
      <c r="W753" s="33" t="e">
        <f>IFERROR(AVERAGEIFS(data_brute!M:M,data_brute!J:J,"&lt;="&amp;V753,data_brute!J:J,"&gt;="&amp;U753),NA())</f>
        <v>#N/A</v>
      </c>
      <c r="X753" s="46" t="e">
        <f t="shared" si="164"/>
        <v>#N/A</v>
      </c>
      <c r="Y753" s="2" t="b">
        <f t="shared" si="165"/>
        <v>0</v>
      </c>
      <c r="Z753" s="2" t="b">
        <f t="shared" si="166"/>
        <v>0</v>
      </c>
      <c r="AE753" s="46">
        <f t="shared" si="159"/>
        <v>7462</v>
      </c>
      <c r="AF753" s="46">
        <f t="shared" si="160"/>
        <v>7471</v>
      </c>
      <c r="AG753" s="33" t="e">
        <f>IFERROR(AVERAGEIFS(data_brute!M:M,data_brute!J:J,"&gt;="&amp;AE753,data_brute!J:J,"&lt;="&amp;AF753),NA())</f>
        <v>#N/A</v>
      </c>
      <c r="AH753" s="46" t="e">
        <f t="shared" si="161"/>
        <v>#N/A</v>
      </c>
      <c r="AJ753" s="46">
        <f t="shared" si="167"/>
        <v>7462</v>
      </c>
      <c r="AK753" s="46">
        <f t="shared" si="168"/>
        <v>7471</v>
      </c>
      <c r="AL753" s="33">
        <f ca="1">IFERROR(AVERAGEIFS(data_brute!M:M,data_brute!J:J,"&lt;="&amp;AK753),NA())</f>
        <v>25.353524229074896</v>
      </c>
      <c r="AM753" s="46">
        <f t="shared" ca="1" si="169"/>
        <v>7470</v>
      </c>
      <c r="AN753" s="46" t="b">
        <f t="shared" si="170"/>
        <v>0</v>
      </c>
      <c r="AO753" s="50" t="b">
        <f t="shared" si="171"/>
        <v>0</v>
      </c>
    </row>
    <row r="754" spans="21:41" x14ac:dyDescent="0.2">
      <c r="U754" s="46">
        <f t="shared" si="162"/>
        <v>7472</v>
      </c>
      <c r="V754" s="46">
        <f t="shared" si="163"/>
        <v>7481</v>
      </c>
      <c r="W754" s="33" t="e">
        <f>IFERROR(AVERAGEIFS(data_brute!M:M,data_brute!J:J,"&lt;="&amp;V754,data_brute!J:J,"&gt;="&amp;U754),NA())</f>
        <v>#N/A</v>
      </c>
      <c r="X754" s="46" t="e">
        <f t="shared" si="164"/>
        <v>#N/A</v>
      </c>
      <c r="Y754" s="2" t="b">
        <f t="shared" si="165"/>
        <v>0</v>
      </c>
      <c r="Z754" s="2" t="b">
        <f t="shared" si="166"/>
        <v>0</v>
      </c>
      <c r="AE754" s="46">
        <f t="shared" si="159"/>
        <v>7472</v>
      </c>
      <c r="AF754" s="46">
        <f t="shared" si="160"/>
        <v>7481</v>
      </c>
      <c r="AG754" s="33" t="e">
        <f>IFERROR(AVERAGEIFS(data_brute!M:M,data_brute!J:J,"&gt;="&amp;AE754,data_brute!J:J,"&lt;="&amp;AF754),NA())</f>
        <v>#N/A</v>
      </c>
      <c r="AH754" s="46" t="e">
        <f t="shared" si="161"/>
        <v>#N/A</v>
      </c>
      <c r="AJ754" s="46">
        <f t="shared" si="167"/>
        <v>7472</v>
      </c>
      <c r="AK754" s="46">
        <f t="shared" si="168"/>
        <v>7481</v>
      </c>
      <c r="AL754" s="33">
        <f ca="1">IFERROR(AVERAGEIFS(data_brute!M:M,data_brute!J:J,"&lt;="&amp;AK754),NA())</f>
        <v>25.353524229074896</v>
      </c>
      <c r="AM754" s="46">
        <f t="shared" ca="1" si="169"/>
        <v>7480</v>
      </c>
      <c r="AN754" s="46" t="b">
        <f t="shared" si="170"/>
        <v>0</v>
      </c>
      <c r="AO754" s="50" t="b">
        <f t="shared" si="171"/>
        <v>0</v>
      </c>
    </row>
    <row r="755" spans="21:41" x14ac:dyDescent="0.2">
      <c r="U755" s="46">
        <f t="shared" si="162"/>
        <v>7482</v>
      </c>
      <c r="V755" s="46">
        <f t="shared" si="163"/>
        <v>7491</v>
      </c>
      <c r="W755" s="33" t="e">
        <f>IFERROR(AVERAGEIFS(data_brute!M:M,data_brute!J:J,"&lt;="&amp;V755,data_brute!J:J,"&gt;="&amp;U755),NA())</f>
        <v>#N/A</v>
      </c>
      <c r="X755" s="46" t="e">
        <f t="shared" si="164"/>
        <v>#N/A</v>
      </c>
      <c r="Y755" s="2" t="b">
        <f t="shared" si="165"/>
        <v>0</v>
      </c>
      <c r="Z755" s="2" t="b">
        <f t="shared" si="166"/>
        <v>0</v>
      </c>
      <c r="AE755" s="46">
        <f t="shared" si="159"/>
        <v>7482</v>
      </c>
      <c r="AF755" s="46">
        <f t="shared" si="160"/>
        <v>7491</v>
      </c>
      <c r="AG755" s="33" t="e">
        <f>IFERROR(AVERAGEIFS(data_brute!M:M,data_brute!J:J,"&gt;="&amp;AE755,data_brute!J:J,"&lt;="&amp;AF755),NA())</f>
        <v>#N/A</v>
      </c>
      <c r="AH755" s="46" t="e">
        <f t="shared" si="161"/>
        <v>#N/A</v>
      </c>
      <c r="AJ755" s="46">
        <f t="shared" si="167"/>
        <v>7482</v>
      </c>
      <c r="AK755" s="46">
        <f t="shared" si="168"/>
        <v>7491</v>
      </c>
      <c r="AL755" s="33">
        <f ca="1">IFERROR(AVERAGEIFS(data_brute!M:M,data_brute!J:J,"&lt;="&amp;AK755),NA())</f>
        <v>25.353524229074896</v>
      </c>
      <c r="AM755" s="46">
        <f t="shared" ca="1" si="169"/>
        <v>7490</v>
      </c>
      <c r="AN755" s="46" t="b">
        <f t="shared" si="170"/>
        <v>0</v>
      </c>
      <c r="AO755" s="50" t="b">
        <f t="shared" si="171"/>
        <v>0</v>
      </c>
    </row>
    <row r="756" spans="21:41" x14ac:dyDescent="0.2">
      <c r="U756" s="46">
        <f t="shared" si="162"/>
        <v>7492</v>
      </c>
      <c r="V756" s="46">
        <f t="shared" si="163"/>
        <v>7501</v>
      </c>
      <c r="W756" s="33" t="e">
        <f>IFERROR(AVERAGEIFS(data_brute!M:M,data_brute!J:J,"&lt;="&amp;V756,data_brute!J:J,"&gt;="&amp;U756),NA())</f>
        <v>#N/A</v>
      </c>
      <c r="X756" s="46" t="e">
        <f t="shared" si="164"/>
        <v>#N/A</v>
      </c>
      <c r="Y756" s="2" t="b">
        <f t="shared" si="165"/>
        <v>0</v>
      </c>
      <c r="Z756" s="2" t="b">
        <f t="shared" si="166"/>
        <v>0</v>
      </c>
      <c r="AE756" s="46">
        <f t="shared" si="159"/>
        <v>7492</v>
      </c>
      <c r="AF756" s="46">
        <f t="shared" si="160"/>
        <v>7501</v>
      </c>
      <c r="AG756" s="33" t="e">
        <f>IFERROR(AVERAGEIFS(data_brute!M:M,data_brute!J:J,"&gt;="&amp;AE756,data_brute!J:J,"&lt;="&amp;AF756),NA())</f>
        <v>#N/A</v>
      </c>
      <c r="AH756" s="46" t="e">
        <f t="shared" si="161"/>
        <v>#N/A</v>
      </c>
      <c r="AJ756" s="46">
        <f t="shared" si="167"/>
        <v>7492</v>
      </c>
      <c r="AK756" s="46">
        <f t="shared" si="168"/>
        <v>7501</v>
      </c>
      <c r="AL756" s="33">
        <f ca="1">IFERROR(AVERAGEIFS(data_brute!M:M,data_brute!J:J,"&lt;="&amp;AK756),NA())</f>
        <v>25.353524229074896</v>
      </c>
      <c r="AM756" s="46">
        <f t="shared" ca="1" si="169"/>
        <v>7500</v>
      </c>
      <c r="AN756" s="46" t="b">
        <f t="shared" si="170"/>
        <v>0</v>
      </c>
      <c r="AO756" s="50" t="b">
        <f t="shared" si="171"/>
        <v>0</v>
      </c>
    </row>
    <row r="757" spans="21:41" x14ac:dyDescent="0.2">
      <c r="U757" s="46">
        <f t="shared" si="162"/>
        <v>7502</v>
      </c>
      <c r="V757" s="46">
        <f t="shared" si="163"/>
        <v>7511</v>
      </c>
      <c r="W757" s="33" t="e">
        <f>IFERROR(AVERAGEIFS(data_brute!M:M,data_brute!J:J,"&lt;="&amp;V757,data_brute!J:J,"&gt;="&amp;U757),NA())</f>
        <v>#N/A</v>
      </c>
      <c r="X757" s="46" t="e">
        <f t="shared" si="164"/>
        <v>#N/A</v>
      </c>
      <c r="Y757" s="2" t="b">
        <f t="shared" si="165"/>
        <v>0</v>
      </c>
      <c r="Z757" s="2" t="b">
        <f t="shared" si="166"/>
        <v>0</v>
      </c>
      <c r="AE757" s="46">
        <f t="shared" si="159"/>
        <v>7502</v>
      </c>
      <c r="AF757" s="46">
        <f t="shared" si="160"/>
        <v>7511</v>
      </c>
      <c r="AG757" s="33" t="e">
        <f>IFERROR(AVERAGEIFS(data_brute!M:M,data_brute!J:J,"&gt;="&amp;AE757,data_brute!J:J,"&lt;="&amp;AF757),NA())</f>
        <v>#N/A</v>
      </c>
      <c r="AH757" s="46" t="e">
        <f t="shared" si="161"/>
        <v>#N/A</v>
      </c>
      <c r="AJ757" s="46">
        <f t="shared" si="167"/>
        <v>7502</v>
      </c>
      <c r="AK757" s="46">
        <f t="shared" si="168"/>
        <v>7511</v>
      </c>
      <c r="AL757" s="33">
        <f ca="1">IFERROR(AVERAGEIFS(data_brute!M:M,data_brute!J:J,"&lt;="&amp;AK757),NA())</f>
        <v>25.353524229074896</v>
      </c>
      <c r="AM757" s="46">
        <f t="shared" ca="1" si="169"/>
        <v>7510</v>
      </c>
      <c r="AN757" s="46" t="b">
        <f t="shared" si="170"/>
        <v>0</v>
      </c>
      <c r="AO757" s="50" t="b">
        <f t="shared" si="171"/>
        <v>0</v>
      </c>
    </row>
    <row r="758" spans="21:41" x14ac:dyDescent="0.2">
      <c r="U758" s="46">
        <f t="shared" si="162"/>
        <v>7512</v>
      </c>
      <c r="V758" s="46">
        <f t="shared" si="163"/>
        <v>7521</v>
      </c>
      <c r="W758" s="33" t="e">
        <f>IFERROR(AVERAGEIFS(data_brute!M:M,data_brute!J:J,"&lt;="&amp;V758,data_brute!J:J,"&gt;="&amp;U758),NA())</f>
        <v>#N/A</v>
      </c>
      <c r="X758" s="46" t="e">
        <f t="shared" si="164"/>
        <v>#N/A</v>
      </c>
      <c r="Y758" s="2" t="b">
        <f t="shared" si="165"/>
        <v>0</v>
      </c>
      <c r="Z758" s="2" t="b">
        <f t="shared" si="166"/>
        <v>0</v>
      </c>
      <c r="AE758" s="46">
        <f t="shared" si="159"/>
        <v>7512</v>
      </c>
      <c r="AF758" s="46">
        <f t="shared" si="160"/>
        <v>7521</v>
      </c>
      <c r="AG758" s="33" t="e">
        <f>IFERROR(AVERAGEIFS(data_brute!M:M,data_brute!J:J,"&gt;="&amp;AE758,data_brute!J:J,"&lt;="&amp;AF758),NA())</f>
        <v>#N/A</v>
      </c>
      <c r="AH758" s="46" t="e">
        <f t="shared" si="161"/>
        <v>#N/A</v>
      </c>
      <c r="AJ758" s="46">
        <f t="shared" si="167"/>
        <v>7512</v>
      </c>
      <c r="AK758" s="46">
        <f t="shared" si="168"/>
        <v>7521</v>
      </c>
      <c r="AL758" s="33">
        <f ca="1">IFERROR(AVERAGEIFS(data_brute!M:M,data_brute!J:J,"&lt;="&amp;AK758),NA())</f>
        <v>25.353524229074896</v>
      </c>
      <c r="AM758" s="46">
        <f t="shared" ca="1" si="169"/>
        <v>7520</v>
      </c>
      <c r="AN758" s="46" t="b">
        <f t="shared" si="170"/>
        <v>0</v>
      </c>
      <c r="AO758" s="50" t="b">
        <f t="shared" si="171"/>
        <v>0</v>
      </c>
    </row>
    <row r="759" spans="21:41" x14ac:dyDescent="0.2">
      <c r="U759" s="46">
        <f t="shared" si="162"/>
        <v>7522</v>
      </c>
      <c r="V759" s="46">
        <f t="shared" si="163"/>
        <v>7531</v>
      </c>
      <c r="W759" s="33" t="e">
        <f>IFERROR(AVERAGEIFS(data_brute!M:M,data_brute!J:J,"&lt;="&amp;V759,data_brute!J:J,"&gt;="&amp;U759),NA())</f>
        <v>#N/A</v>
      </c>
      <c r="X759" s="46" t="e">
        <f t="shared" si="164"/>
        <v>#N/A</v>
      </c>
      <c r="Y759" s="2" t="b">
        <f t="shared" si="165"/>
        <v>0</v>
      </c>
      <c r="Z759" s="2" t="b">
        <f t="shared" si="166"/>
        <v>0</v>
      </c>
      <c r="AE759" s="46">
        <f t="shared" si="159"/>
        <v>7522</v>
      </c>
      <c r="AF759" s="46">
        <f t="shared" si="160"/>
        <v>7531</v>
      </c>
      <c r="AG759" s="33" t="e">
        <f>IFERROR(AVERAGEIFS(data_brute!M:M,data_brute!J:J,"&gt;="&amp;AE759,data_brute!J:J,"&lt;="&amp;AF759),NA())</f>
        <v>#N/A</v>
      </c>
      <c r="AH759" s="46" t="e">
        <f t="shared" si="161"/>
        <v>#N/A</v>
      </c>
      <c r="AJ759" s="46">
        <f t="shared" si="167"/>
        <v>7522</v>
      </c>
      <c r="AK759" s="46">
        <f t="shared" si="168"/>
        <v>7531</v>
      </c>
      <c r="AL759" s="33">
        <f ca="1">IFERROR(AVERAGEIFS(data_brute!M:M,data_brute!J:J,"&lt;="&amp;AK759),NA())</f>
        <v>25.353524229074896</v>
      </c>
      <c r="AM759" s="46">
        <f t="shared" ca="1" si="169"/>
        <v>7530</v>
      </c>
      <c r="AN759" s="46" t="b">
        <f t="shared" si="170"/>
        <v>0</v>
      </c>
      <c r="AO759" s="50" t="b">
        <f t="shared" si="171"/>
        <v>0</v>
      </c>
    </row>
    <row r="760" spans="21:41" x14ac:dyDescent="0.2">
      <c r="U760" s="46">
        <f t="shared" si="162"/>
        <v>7532</v>
      </c>
      <c r="V760" s="46">
        <f t="shared" si="163"/>
        <v>7541</v>
      </c>
      <c r="W760" s="33" t="e">
        <f>IFERROR(AVERAGEIFS(data_brute!M:M,data_brute!J:J,"&lt;="&amp;V760,data_brute!J:J,"&gt;="&amp;U760),NA())</f>
        <v>#N/A</v>
      </c>
      <c r="X760" s="46" t="e">
        <f t="shared" si="164"/>
        <v>#N/A</v>
      </c>
      <c r="Y760" s="2" t="b">
        <f t="shared" si="165"/>
        <v>0</v>
      </c>
      <c r="Z760" s="2" t="b">
        <f t="shared" si="166"/>
        <v>0</v>
      </c>
      <c r="AE760" s="46">
        <f t="shared" si="159"/>
        <v>7532</v>
      </c>
      <c r="AF760" s="46">
        <f t="shared" si="160"/>
        <v>7541</v>
      </c>
      <c r="AG760" s="33" t="e">
        <f>IFERROR(AVERAGEIFS(data_brute!M:M,data_brute!J:J,"&gt;="&amp;AE760,data_brute!J:J,"&lt;="&amp;AF760),NA())</f>
        <v>#N/A</v>
      </c>
      <c r="AH760" s="46" t="e">
        <f t="shared" si="161"/>
        <v>#N/A</v>
      </c>
      <c r="AJ760" s="46">
        <f t="shared" si="167"/>
        <v>7532</v>
      </c>
      <c r="AK760" s="46">
        <f t="shared" si="168"/>
        <v>7541</v>
      </c>
      <c r="AL760" s="33">
        <f ca="1">IFERROR(AVERAGEIFS(data_brute!M:M,data_brute!J:J,"&lt;="&amp;AK760),NA())</f>
        <v>25.353524229074896</v>
      </c>
      <c r="AM760" s="46">
        <f t="shared" ca="1" si="169"/>
        <v>7540</v>
      </c>
      <c r="AN760" s="46" t="b">
        <f t="shared" si="170"/>
        <v>0</v>
      </c>
      <c r="AO760" s="50" t="b">
        <f t="shared" si="171"/>
        <v>0</v>
      </c>
    </row>
    <row r="761" spans="21:41" x14ac:dyDescent="0.2">
      <c r="U761" s="46">
        <f t="shared" si="162"/>
        <v>7542</v>
      </c>
      <c r="V761" s="46">
        <f t="shared" si="163"/>
        <v>7551</v>
      </c>
      <c r="W761" s="33" t="e">
        <f>IFERROR(AVERAGEIFS(data_brute!M:M,data_brute!J:J,"&lt;="&amp;V761,data_brute!J:J,"&gt;="&amp;U761),NA())</f>
        <v>#N/A</v>
      </c>
      <c r="X761" s="46" t="e">
        <f t="shared" si="164"/>
        <v>#N/A</v>
      </c>
      <c r="Y761" s="2" t="b">
        <f t="shared" si="165"/>
        <v>0</v>
      </c>
      <c r="Z761" s="2" t="b">
        <f t="shared" si="166"/>
        <v>0</v>
      </c>
      <c r="AE761" s="46">
        <f t="shared" si="159"/>
        <v>7542</v>
      </c>
      <c r="AF761" s="46">
        <f t="shared" si="160"/>
        <v>7551</v>
      </c>
      <c r="AG761" s="33" t="e">
        <f>IFERROR(AVERAGEIFS(data_brute!M:M,data_brute!J:J,"&gt;="&amp;AE761,data_brute!J:J,"&lt;="&amp;AF761),NA())</f>
        <v>#N/A</v>
      </c>
      <c r="AH761" s="46" t="e">
        <f t="shared" si="161"/>
        <v>#N/A</v>
      </c>
      <c r="AJ761" s="46">
        <f t="shared" si="167"/>
        <v>7542</v>
      </c>
      <c r="AK761" s="46">
        <f t="shared" si="168"/>
        <v>7551</v>
      </c>
      <c r="AL761" s="33">
        <f ca="1">IFERROR(AVERAGEIFS(data_brute!M:M,data_brute!J:J,"&lt;="&amp;AK761),NA())</f>
        <v>25.353524229074896</v>
      </c>
      <c r="AM761" s="46">
        <f t="shared" ca="1" si="169"/>
        <v>7550</v>
      </c>
      <c r="AN761" s="46" t="b">
        <f t="shared" si="170"/>
        <v>0</v>
      </c>
      <c r="AO761" s="50" t="b">
        <f t="shared" si="171"/>
        <v>0</v>
      </c>
    </row>
    <row r="762" spans="21:41" x14ac:dyDescent="0.2">
      <c r="U762" s="46">
        <f t="shared" si="162"/>
        <v>7552</v>
      </c>
      <c r="V762" s="46">
        <f t="shared" si="163"/>
        <v>7561</v>
      </c>
      <c r="W762" s="33" t="e">
        <f>IFERROR(AVERAGEIFS(data_brute!M:M,data_brute!J:J,"&lt;="&amp;V762,data_brute!J:J,"&gt;="&amp;U762),NA())</f>
        <v>#N/A</v>
      </c>
      <c r="X762" s="46" t="e">
        <f t="shared" si="164"/>
        <v>#N/A</v>
      </c>
      <c r="Y762" s="2" t="b">
        <f t="shared" si="165"/>
        <v>0</v>
      </c>
      <c r="Z762" s="2" t="b">
        <f t="shared" si="166"/>
        <v>0</v>
      </c>
      <c r="AE762" s="46">
        <f t="shared" si="159"/>
        <v>7552</v>
      </c>
      <c r="AF762" s="46">
        <f t="shared" si="160"/>
        <v>7561</v>
      </c>
      <c r="AG762" s="33" t="e">
        <f>IFERROR(AVERAGEIFS(data_brute!M:M,data_brute!J:J,"&gt;="&amp;AE762,data_brute!J:J,"&lt;="&amp;AF762),NA())</f>
        <v>#N/A</v>
      </c>
      <c r="AH762" s="46" t="e">
        <f t="shared" si="161"/>
        <v>#N/A</v>
      </c>
      <c r="AJ762" s="46">
        <f t="shared" si="167"/>
        <v>7552</v>
      </c>
      <c r="AK762" s="46">
        <f t="shared" si="168"/>
        <v>7561</v>
      </c>
      <c r="AL762" s="33">
        <f ca="1">IFERROR(AVERAGEIFS(data_brute!M:M,data_brute!J:J,"&lt;="&amp;AK762),NA())</f>
        <v>25.353524229074896</v>
      </c>
      <c r="AM762" s="46">
        <f t="shared" ca="1" si="169"/>
        <v>7560</v>
      </c>
      <c r="AN762" s="46" t="b">
        <f t="shared" si="170"/>
        <v>0</v>
      </c>
      <c r="AO762" s="50" t="b">
        <f t="shared" si="171"/>
        <v>0</v>
      </c>
    </row>
    <row r="763" spans="21:41" x14ac:dyDescent="0.2">
      <c r="U763" s="46">
        <f t="shared" si="162"/>
        <v>7562</v>
      </c>
      <c r="V763" s="46">
        <f t="shared" si="163"/>
        <v>7571</v>
      </c>
      <c r="W763" s="33" t="e">
        <f>IFERROR(AVERAGEIFS(data_brute!M:M,data_brute!J:J,"&lt;="&amp;V763,data_brute!J:J,"&gt;="&amp;U763),NA())</f>
        <v>#N/A</v>
      </c>
      <c r="X763" s="46" t="e">
        <f t="shared" si="164"/>
        <v>#N/A</v>
      </c>
      <c r="Y763" s="2" t="b">
        <f t="shared" si="165"/>
        <v>0</v>
      </c>
      <c r="Z763" s="2" t="b">
        <f t="shared" si="166"/>
        <v>0</v>
      </c>
      <c r="AE763" s="46">
        <f t="shared" si="159"/>
        <v>7562</v>
      </c>
      <c r="AF763" s="46">
        <f t="shared" si="160"/>
        <v>7571</v>
      </c>
      <c r="AG763" s="33" t="e">
        <f>IFERROR(AVERAGEIFS(data_brute!M:M,data_brute!J:J,"&gt;="&amp;AE763,data_brute!J:J,"&lt;="&amp;AF763),NA())</f>
        <v>#N/A</v>
      </c>
      <c r="AH763" s="46" t="e">
        <f t="shared" si="161"/>
        <v>#N/A</v>
      </c>
      <c r="AJ763" s="46">
        <f t="shared" si="167"/>
        <v>7562</v>
      </c>
      <c r="AK763" s="46">
        <f t="shared" si="168"/>
        <v>7571</v>
      </c>
      <c r="AL763" s="33">
        <f ca="1">IFERROR(AVERAGEIFS(data_brute!M:M,data_brute!J:J,"&lt;="&amp;AK763),NA())</f>
        <v>25.353524229074896</v>
      </c>
      <c r="AM763" s="46">
        <f t="shared" ca="1" si="169"/>
        <v>7570</v>
      </c>
      <c r="AN763" s="46" t="b">
        <f t="shared" si="170"/>
        <v>0</v>
      </c>
      <c r="AO763" s="50" t="b">
        <f t="shared" si="171"/>
        <v>0</v>
      </c>
    </row>
    <row r="764" spans="21:41" x14ac:dyDescent="0.2">
      <c r="U764" s="46">
        <f t="shared" si="162"/>
        <v>7572</v>
      </c>
      <c r="V764" s="46">
        <f t="shared" si="163"/>
        <v>7581</v>
      </c>
      <c r="W764" s="33" t="e">
        <f>IFERROR(AVERAGEIFS(data_brute!M:M,data_brute!J:J,"&lt;="&amp;V764,data_brute!J:J,"&gt;="&amp;U764),NA())</f>
        <v>#N/A</v>
      </c>
      <c r="X764" s="46" t="e">
        <f t="shared" si="164"/>
        <v>#N/A</v>
      </c>
      <c r="Y764" s="2" t="b">
        <f t="shared" si="165"/>
        <v>0</v>
      </c>
      <c r="Z764" s="2" t="b">
        <f t="shared" si="166"/>
        <v>0</v>
      </c>
      <c r="AE764" s="46">
        <f t="shared" si="159"/>
        <v>7572</v>
      </c>
      <c r="AF764" s="46">
        <f t="shared" si="160"/>
        <v>7581</v>
      </c>
      <c r="AG764" s="33" t="e">
        <f>IFERROR(AVERAGEIFS(data_brute!M:M,data_brute!J:J,"&gt;="&amp;AE764,data_brute!J:J,"&lt;="&amp;AF764),NA())</f>
        <v>#N/A</v>
      </c>
      <c r="AH764" s="46" t="e">
        <f t="shared" si="161"/>
        <v>#N/A</v>
      </c>
      <c r="AJ764" s="46">
        <f t="shared" si="167"/>
        <v>7572</v>
      </c>
      <c r="AK764" s="46">
        <f t="shared" si="168"/>
        <v>7581</v>
      </c>
      <c r="AL764" s="33">
        <f ca="1">IFERROR(AVERAGEIFS(data_brute!M:M,data_brute!J:J,"&lt;="&amp;AK764),NA())</f>
        <v>25.353524229074896</v>
      </c>
      <c r="AM764" s="46">
        <f t="shared" ca="1" si="169"/>
        <v>7580</v>
      </c>
      <c r="AN764" s="46" t="b">
        <f t="shared" si="170"/>
        <v>0</v>
      </c>
      <c r="AO764" s="50" t="b">
        <f t="shared" si="171"/>
        <v>0</v>
      </c>
    </row>
    <row r="765" spans="21:41" x14ac:dyDescent="0.2">
      <c r="U765" s="46">
        <f t="shared" si="162"/>
        <v>7582</v>
      </c>
      <c r="V765" s="46">
        <f t="shared" si="163"/>
        <v>7591</v>
      </c>
      <c r="W765" s="33" t="e">
        <f>IFERROR(AVERAGEIFS(data_brute!M:M,data_brute!J:J,"&lt;="&amp;V765,data_brute!J:J,"&gt;="&amp;U765),NA())</f>
        <v>#N/A</v>
      </c>
      <c r="X765" s="46" t="e">
        <f t="shared" si="164"/>
        <v>#N/A</v>
      </c>
      <c r="Y765" s="2" t="b">
        <f t="shared" si="165"/>
        <v>0</v>
      </c>
      <c r="Z765" s="2" t="b">
        <f t="shared" si="166"/>
        <v>0</v>
      </c>
      <c r="AE765" s="46">
        <f t="shared" si="159"/>
        <v>7582</v>
      </c>
      <c r="AF765" s="46">
        <f t="shared" si="160"/>
        <v>7591</v>
      </c>
      <c r="AG765" s="33" t="e">
        <f>IFERROR(AVERAGEIFS(data_brute!M:M,data_brute!J:J,"&gt;="&amp;AE765,data_brute!J:J,"&lt;="&amp;AF765),NA())</f>
        <v>#N/A</v>
      </c>
      <c r="AH765" s="46" t="e">
        <f t="shared" si="161"/>
        <v>#N/A</v>
      </c>
      <c r="AJ765" s="46">
        <f t="shared" si="167"/>
        <v>7582</v>
      </c>
      <c r="AK765" s="46">
        <f t="shared" si="168"/>
        <v>7591</v>
      </c>
      <c r="AL765" s="33">
        <f ca="1">IFERROR(AVERAGEIFS(data_brute!M:M,data_brute!J:J,"&lt;="&amp;AK765),NA())</f>
        <v>25.353524229074896</v>
      </c>
      <c r="AM765" s="46">
        <f t="shared" ca="1" si="169"/>
        <v>7590</v>
      </c>
      <c r="AN765" s="46" t="b">
        <f t="shared" si="170"/>
        <v>0</v>
      </c>
      <c r="AO765" s="50" t="b">
        <f t="shared" si="171"/>
        <v>0</v>
      </c>
    </row>
    <row r="766" spans="21:41" x14ac:dyDescent="0.2">
      <c r="U766" s="46">
        <f t="shared" si="162"/>
        <v>7592</v>
      </c>
      <c r="V766" s="46">
        <f t="shared" si="163"/>
        <v>7601</v>
      </c>
      <c r="W766" s="33" t="e">
        <f>IFERROR(AVERAGEIFS(data_brute!M:M,data_brute!J:J,"&lt;="&amp;V766,data_brute!J:J,"&gt;="&amp;U766),NA())</f>
        <v>#N/A</v>
      </c>
      <c r="X766" s="46" t="e">
        <f t="shared" si="164"/>
        <v>#N/A</v>
      </c>
      <c r="Y766" s="2" t="b">
        <f t="shared" si="165"/>
        <v>0</v>
      </c>
      <c r="Z766" s="2" t="b">
        <f t="shared" si="166"/>
        <v>0</v>
      </c>
      <c r="AE766" s="46">
        <f t="shared" si="159"/>
        <v>7592</v>
      </c>
      <c r="AF766" s="46">
        <f t="shared" si="160"/>
        <v>7601</v>
      </c>
      <c r="AG766" s="33" t="e">
        <f>IFERROR(AVERAGEIFS(data_brute!M:M,data_brute!J:J,"&gt;="&amp;AE766,data_brute!J:J,"&lt;="&amp;AF766),NA())</f>
        <v>#N/A</v>
      </c>
      <c r="AH766" s="46" t="e">
        <f t="shared" si="161"/>
        <v>#N/A</v>
      </c>
      <c r="AJ766" s="46">
        <f t="shared" si="167"/>
        <v>7592</v>
      </c>
      <c r="AK766" s="46">
        <f t="shared" si="168"/>
        <v>7601</v>
      </c>
      <c r="AL766" s="33">
        <f ca="1">IFERROR(AVERAGEIFS(data_brute!M:M,data_brute!J:J,"&lt;="&amp;AK766),NA())</f>
        <v>25.353524229074896</v>
      </c>
      <c r="AM766" s="46">
        <f t="shared" ca="1" si="169"/>
        <v>7600</v>
      </c>
      <c r="AN766" s="46" t="b">
        <f t="shared" si="170"/>
        <v>0</v>
      </c>
      <c r="AO766" s="50" t="b">
        <f t="shared" si="171"/>
        <v>0</v>
      </c>
    </row>
    <row r="767" spans="21:41" x14ac:dyDescent="0.2">
      <c r="U767" s="46">
        <f t="shared" si="162"/>
        <v>7602</v>
      </c>
      <c r="V767" s="46">
        <f t="shared" si="163"/>
        <v>7611</v>
      </c>
      <c r="W767" s="33" t="e">
        <f>IFERROR(AVERAGEIFS(data_brute!M:M,data_brute!J:J,"&lt;="&amp;V767,data_brute!J:J,"&gt;="&amp;U767),NA())</f>
        <v>#N/A</v>
      </c>
      <c r="X767" s="46" t="e">
        <f t="shared" si="164"/>
        <v>#N/A</v>
      </c>
      <c r="Y767" s="2" t="b">
        <f t="shared" si="165"/>
        <v>0</v>
      </c>
      <c r="Z767" s="2" t="b">
        <f t="shared" si="166"/>
        <v>0</v>
      </c>
      <c r="AE767" s="46">
        <f t="shared" si="159"/>
        <v>7602</v>
      </c>
      <c r="AF767" s="46">
        <f t="shared" si="160"/>
        <v>7611</v>
      </c>
      <c r="AG767" s="33" t="e">
        <f>IFERROR(AVERAGEIFS(data_brute!M:M,data_brute!J:J,"&gt;="&amp;AE767,data_brute!J:J,"&lt;="&amp;AF767),NA())</f>
        <v>#N/A</v>
      </c>
      <c r="AH767" s="46" t="e">
        <f t="shared" si="161"/>
        <v>#N/A</v>
      </c>
      <c r="AJ767" s="46">
        <f t="shared" si="167"/>
        <v>7602</v>
      </c>
      <c r="AK767" s="46">
        <f t="shared" si="168"/>
        <v>7611</v>
      </c>
      <c r="AL767" s="33">
        <f ca="1">IFERROR(AVERAGEIFS(data_brute!M:M,data_brute!J:J,"&lt;="&amp;AK767),NA())</f>
        <v>25.353524229074896</v>
      </c>
      <c r="AM767" s="46">
        <f t="shared" ca="1" si="169"/>
        <v>7610</v>
      </c>
      <c r="AN767" s="46" t="b">
        <f t="shared" si="170"/>
        <v>0</v>
      </c>
      <c r="AO767" s="50" t="b">
        <f t="shared" si="171"/>
        <v>0</v>
      </c>
    </row>
    <row r="768" spans="21:41" x14ac:dyDescent="0.2">
      <c r="U768" s="46">
        <f t="shared" si="162"/>
        <v>7612</v>
      </c>
      <c r="V768" s="46">
        <f t="shared" si="163"/>
        <v>7621</v>
      </c>
      <c r="W768" s="33" t="e">
        <f>IFERROR(AVERAGEIFS(data_brute!M:M,data_brute!J:J,"&lt;="&amp;V768,data_brute!J:J,"&gt;="&amp;U768),NA())</f>
        <v>#N/A</v>
      </c>
      <c r="X768" s="46" t="e">
        <f t="shared" si="164"/>
        <v>#N/A</v>
      </c>
      <c r="Y768" s="2" t="b">
        <f t="shared" si="165"/>
        <v>0</v>
      </c>
      <c r="Z768" s="2" t="b">
        <f t="shared" si="166"/>
        <v>0</v>
      </c>
      <c r="AE768" s="46">
        <f t="shared" si="159"/>
        <v>7612</v>
      </c>
      <c r="AF768" s="46">
        <f t="shared" si="160"/>
        <v>7621</v>
      </c>
      <c r="AG768" s="33" t="e">
        <f>IFERROR(AVERAGEIFS(data_brute!M:M,data_brute!J:J,"&gt;="&amp;AE768,data_brute!J:J,"&lt;="&amp;AF768),NA())</f>
        <v>#N/A</v>
      </c>
      <c r="AH768" s="46" t="e">
        <f t="shared" si="161"/>
        <v>#N/A</v>
      </c>
      <c r="AJ768" s="46">
        <f t="shared" si="167"/>
        <v>7612</v>
      </c>
      <c r="AK768" s="46">
        <f t="shared" si="168"/>
        <v>7621</v>
      </c>
      <c r="AL768" s="33">
        <f ca="1">IFERROR(AVERAGEIFS(data_brute!M:M,data_brute!J:J,"&lt;="&amp;AK768),NA())</f>
        <v>25.353524229074896</v>
      </c>
      <c r="AM768" s="46">
        <f t="shared" ca="1" si="169"/>
        <v>7620</v>
      </c>
      <c r="AN768" s="46" t="b">
        <f t="shared" si="170"/>
        <v>0</v>
      </c>
      <c r="AO768" s="50" t="b">
        <f t="shared" si="171"/>
        <v>0</v>
      </c>
    </row>
    <row r="769" spans="21:41" x14ac:dyDescent="0.2">
      <c r="U769" s="46">
        <f t="shared" si="162"/>
        <v>7622</v>
      </c>
      <c r="V769" s="46">
        <f t="shared" si="163"/>
        <v>7631</v>
      </c>
      <c r="W769" s="33" t="e">
        <f>IFERROR(AVERAGEIFS(data_brute!M:M,data_brute!J:J,"&lt;="&amp;V769,data_brute!J:J,"&gt;="&amp;U769),NA())</f>
        <v>#N/A</v>
      </c>
      <c r="X769" s="46" t="e">
        <f t="shared" si="164"/>
        <v>#N/A</v>
      </c>
      <c r="Y769" s="2" t="b">
        <f t="shared" si="165"/>
        <v>0</v>
      </c>
      <c r="Z769" s="2" t="b">
        <f t="shared" si="166"/>
        <v>0</v>
      </c>
      <c r="AE769" s="46">
        <f t="shared" si="159"/>
        <v>7622</v>
      </c>
      <c r="AF769" s="46">
        <f t="shared" si="160"/>
        <v>7631</v>
      </c>
      <c r="AG769" s="33" t="e">
        <f>IFERROR(AVERAGEIFS(data_brute!M:M,data_brute!J:J,"&gt;="&amp;AE769,data_brute!J:J,"&lt;="&amp;AF769),NA())</f>
        <v>#N/A</v>
      </c>
      <c r="AH769" s="46" t="e">
        <f t="shared" si="161"/>
        <v>#N/A</v>
      </c>
      <c r="AJ769" s="46">
        <f t="shared" si="167"/>
        <v>7622</v>
      </c>
      <c r="AK769" s="46">
        <f t="shared" si="168"/>
        <v>7631</v>
      </c>
      <c r="AL769" s="33">
        <f ca="1">IFERROR(AVERAGEIFS(data_brute!M:M,data_brute!J:J,"&lt;="&amp;AK769),NA())</f>
        <v>25.353524229074896</v>
      </c>
      <c r="AM769" s="46">
        <f t="shared" ca="1" si="169"/>
        <v>7630</v>
      </c>
      <c r="AN769" s="46" t="b">
        <f t="shared" si="170"/>
        <v>0</v>
      </c>
      <c r="AO769" s="50" t="b">
        <f t="shared" si="171"/>
        <v>0</v>
      </c>
    </row>
    <row r="770" spans="21:41" x14ac:dyDescent="0.2">
      <c r="U770" s="46">
        <f t="shared" si="162"/>
        <v>7632</v>
      </c>
      <c r="V770" s="46">
        <f t="shared" si="163"/>
        <v>7641</v>
      </c>
      <c r="W770" s="33" t="e">
        <f>IFERROR(AVERAGEIFS(data_brute!M:M,data_brute!J:J,"&lt;="&amp;V770,data_brute!J:J,"&gt;="&amp;U770),NA())</f>
        <v>#N/A</v>
      </c>
      <c r="X770" s="46" t="e">
        <f t="shared" si="164"/>
        <v>#N/A</v>
      </c>
      <c r="Y770" s="2" t="b">
        <f t="shared" si="165"/>
        <v>0</v>
      </c>
      <c r="Z770" s="2" t="b">
        <f t="shared" si="166"/>
        <v>0</v>
      </c>
      <c r="AE770" s="46">
        <f t="shared" si="159"/>
        <v>7632</v>
      </c>
      <c r="AF770" s="46">
        <f t="shared" si="160"/>
        <v>7641</v>
      </c>
      <c r="AG770" s="33" t="e">
        <f>IFERROR(AVERAGEIFS(data_brute!M:M,data_brute!J:J,"&gt;="&amp;AE770,data_brute!J:J,"&lt;="&amp;AF770),NA())</f>
        <v>#N/A</v>
      </c>
      <c r="AH770" s="46" t="e">
        <f t="shared" si="161"/>
        <v>#N/A</v>
      </c>
      <c r="AJ770" s="46">
        <f t="shared" si="167"/>
        <v>7632</v>
      </c>
      <c r="AK770" s="46">
        <f t="shared" si="168"/>
        <v>7641</v>
      </c>
      <c r="AL770" s="33">
        <f ca="1">IFERROR(AVERAGEIFS(data_brute!M:M,data_brute!J:J,"&lt;="&amp;AK770),NA())</f>
        <v>25.353524229074896</v>
      </c>
      <c r="AM770" s="46">
        <f t="shared" ca="1" si="169"/>
        <v>7640</v>
      </c>
      <c r="AN770" s="46" t="b">
        <f t="shared" si="170"/>
        <v>0</v>
      </c>
      <c r="AO770" s="50" t="b">
        <f t="shared" si="171"/>
        <v>0</v>
      </c>
    </row>
    <row r="771" spans="21:41" x14ac:dyDescent="0.2">
      <c r="U771" s="46">
        <f t="shared" si="162"/>
        <v>7642</v>
      </c>
      <c r="V771" s="46">
        <f t="shared" si="163"/>
        <v>7651</v>
      </c>
      <c r="W771" s="33" t="e">
        <f>IFERROR(AVERAGEIFS(data_brute!M:M,data_brute!J:J,"&lt;="&amp;V771,data_brute!J:J,"&gt;="&amp;U771),NA())</f>
        <v>#N/A</v>
      </c>
      <c r="X771" s="46" t="e">
        <f t="shared" si="164"/>
        <v>#N/A</v>
      </c>
      <c r="Y771" s="2" t="b">
        <f t="shared" si="165"/>
        <v>0</v>
      </c>
      <c r="Z771" s="2" t="b">
        <f t="shared" si="166"/>
        <v>0</v>
      </c>
      <c r="AE771" s="46">
        <f t="shared" si="159"/>
        <v>7642</v>
      </c>
      <c r="AF771" s="46">
        <f t="shared" si="160"/>
        <v>7651</v>
      </c>
      <c r="AG771" s="33" t="e">
        <f>IFERROR(AVERAGEIFS(data_brute!M:M,data_brute!J:J,"&gt;="&amp;AE771,data_brute!J:J,"&lt;="&amp;AF771),NA())</f>
        <v>#N/A</v>
      </c>
      <c r="AH771" s="46" t="e">
        <f t="shared" si="161"/>
        <v>#N/A</v>
      </c>
      <c r="AJ771" s="46">
        <f t="shared" si="167"/>
        <v>7642</v>
      </c>
      <c r="AK771" s="46">
        <f t="shared" si="168"/>
        <v>7651</v>
      </c>
      <c r="AL771" s="33">
        <f ca="1">IFERROR(AVERAGEIFS(data_brute!M:M,data_brute!J:J,"&lt;="&amp;AK771),NA())</f>
        <v>25.353524229074896</v>
      </c>
      <c r="AM771" s="46">
        <f t="shared" ca="1" si="169"/>
        <v>7650</v>
      </c>
      <c r="AN771" s="46" t="b">
        <f t="shared" si="170"/>
        <v>0</v>
      </c>
      <c r="AO771" s="50" t="b">
        <f t="shared" si="171"/>
        <v>0</v>
      </c>
    </row>
    <row r="772" spans="21:41" x14ac:dyDescent="0.2">
      <c r="U772" s="46">
        <f t="shared" si="162"/>
        <v>7652</v>
      </c>
      <c r="V772" s="46">
        <f t="shared" si="163"/>
        <v>7661</v>
      </c>
      <c r="W772" s="33" t="e">
        <f>IFERROR(AVERAGEIFS(data_brute!M:M,data_brute!J:J,"&lt;="&amp;V772,data_brute!J:J,"&gt;="&amp;U772),NA())</f>
        <v>#N/A</v>
      </c>
      <c r="X772" s="46" t="e">
        <f t="shared" si="164"/>
        <v>#N/A</v>
      </c>
      <c r="Y772" s="2" t="b">
        <f t="shared" si="165"/>
        <v>0</v>
      </c>
      <c r="Z772" s="2" t="b">
        <f t="shared" si="166"/>
        <v>0</v>
      </c>
      <c r="AE772" s="46">
        <f t="shared" si="159"/>
        <v>7652</v>
      </c>
      <c r="AF772" s="46">
        <f t="shared" si="160"/>
        <v>7661</v>
      </c>
      <c r="AG772" s="33" t="e">
        <f>IFERROR(AVERAGEIFS(data_brute!M:M,data_brute!J:J,"&gt;="&amp;AE772,data_brute!J:J,"&lt;="&amp;AF772),NA())</f>
        <v>#N/A</v>
      </c>
      <c r="AH772" s="46" t="e">
        <f t="shared" si="161"/>
        <v>#N/A</v>
      </c>
      <c r="AJ772" s="46">
        <f t="shared" si="167"/>
        <v>7652</v>
      </c>
      <c r="AK772" s="46">
        <f t="shared" si="168"/>
        <v>7661</v>
      </c>
      <c r="AL772" s="33">
        <f ca="1">IFERROR(AVERAGEIFS(data_brute!M:M,data_brute!J:J,"&lt;="&amp;AK772),NA())</f>
        <v>25.353524229074896</v>
      </c>
      <c r="AM772" s="46">
        <f t="shared" ca="1" si="169"/>
        <v>7660</v>
      </c>
      <c r="AN772" s="46" t="b">
        <f t="shared" si="170"/>
        <v>0</v>
      </c>
      <c r="AO772" s="50" t="b">
        <f t="shared" si="171"/>
        <v>0</v>
      </c>
    </row>
    <row r="773" spans="21:41" x14ac:dyDescent="0.2">
      <c r="U773" s="46">
        <f t="shared" si="162"/>
        <v>7662</v>
      </c>
      <c r="V773" s="46">
        <f t="shared" si="163"/>
        <v>7671</v>
      </c>
      <c r="W773" s="33" t="e">
        <f>IFERROR(AVERAGEIFS(data_brute!M:M,data_brute!J:J,"&lt;="&amp;V773,data_brute!J:J,"&gt;="&amp;U773),NA())</f>
        <v>#N/A</v>
      </c>
      <c r="X773" s="46" t="e">
        <f t="shared" si="164"/>
        <v>#N/A</v>
      </c>
      <c r="Y773" s="2" t="b">
        <f t="shared" si="165"/>
        <v>0</v>
      </c>
      <c r="Z773" s="2" t="b">
        <f t="shared" si="166"/>
        <v>0</v>
      </c>
      <c r="AE773" s="46">
        <f t="shared" si="159"/>
        <v>7662</v>
      </c>
      <c r="AF773" s="46">
        <f t="shared" si="160"/>
        <v>7671</v>
      </c>
      <c r="AG773" s="33" t="e">
        <f>IFERROR(AVERAGEIFS(data_brute!M:M,data_brute!J:J,"&gt;="&amp;AE773,data_brute!J:J,"&lt;="&amp;AF773),NA())</f>
        <v>#N/A</v>
      </c>
      <c r="AH773" s="46" t="e">
        <f t="shared" si="161"/>
        <v>#N/A</v>
      </c>
      <c r="AJ773" s="46">
        <f t="shared" si="167"/>
        <v>7662</v>
      </c>
      <c r="AK773" s="46">
        <f t="shared" si="168"/>
        <v>7671</v>
      </c>
      <c r="AL773" s="33">
        <f ca="1">IFERROR(AVERAGEIFS(data_brute!M:M,data_brute!J:J,"&lt;="&amp;AK773),NA())</f>
        <v>25.353524229074896</v>
      </c>
      <c r="AM773" s="46">
        <f t="shared" ca="1" si="169"/>
        <v>7670</v>
      </c>
      <c r="AN773" s="46" t="b">
        <f t="shared" si="170"/>
        <v>0</v>
      </c>
      <c r="AO773" s="50" t="b">
        <f t="shared" si="171"/>
        <v>0</v>
      </c>
    </row>
    <row r="774" spans="21:41" x14ac:dyDescent="0.2">
      <c r="U774" s="46">
        <f t="shared" si="162"/>
        <v>7672</v>
      </c>
      <c r="V774" s="46">
        <f t="shared" si="163"/>
        <v>7681</v>
      </c>
      <c r="W774" s="33" t="e">
        <f>IFERROR(AVERAGEIFS(data_brute!M:M,data_brute!J:J,"&lt;="&amp;V774,data_brute!J:J,"&gt;="&amp;U774),NA())</f>
        <v>#N/A</v>
      </c>
      <c r="X774" s="46" t="e">
        <f t="shared" si="164"/>
        <v>#N/A</v>
      </c>
      <c r="Y774" s="2" t="b">
        <f t="shared" si="165"/>
        <v>0</v>
      </c>
      <c r="Z774" s="2" t="b">
        <f t="shared" si="166"/>
        <v>0</v>
      </c>
      <c r="AE774" s="46">
        <f t="shared" si="159"/>
        <v>7672</v>
      </c>
      <c r="AF774" s="46">
        <f t="shared" si="160"/>
        <v>7681</v>
      </c>
      <c r="AG774" s="33" t="e">
        <f>IFERROR(AVERAGEIFS(data_brute!M:M,data_brute!J:J,"&gt;="&amp;AE774,data_brute!J:J,"&lt;="&amp;AF774),NA())</f>
        <v>#N/A</v>
      </c>
      <c r="AH774" s="46" t="e">
        <f t="shared" si="161"/>
        <v>#N/A</v>
      </c>
      <c r="AJ774" s="46">
        <f t="shared" si="167"/>
        <v>7672</v>
      </c>
      <c r="AK774" s="46">
        <f t="shared" si="168"/>
        <v>7681</v>
      </c>
      <c r="AL774" s="33">
        <f ca="1">IFERROR(AVERAGEIFS(data_brute!M:M,data_brute!J:J,"&lt;="&amp;AK774),NA())</f>
        <v>25.353524229074896</v>
      </c>
      <c r="AM774" s="46">
        <f t="shared" ca="1" si="169"/>
        <v>7680</v>
      </c>
      <c r="AN774" s="46" t="b">
        <f t="shared" si="170"/>
        <v>0</v>
      </c>
      <c r="AO774" s="50" t="b">
        <f t="shared" si="171"/>
        <v>0</v>
      </c>
    </row>
    <row r="775" spans="21:41" x14ac:dyDescent="0.2">
      <c r="U775" s="46">
        <f t="shared" si="162"/>
        <v>7682</v>
      </c>
      <c r="V775" s="46">
        <f t="shared" si="163"/>
        <v>7691</v>
      </c>
      <c r="W775" s="33" t="e">
        <f>IFERROR(AVERAGEIFS(data_brute!M:M,data_brute!J:J,"&lt;="&amp;V775,data_brute!J:J,"&gt;="&amp;U775),NA())</f>
        <v>#N/A</v>
      </c>
      <c r="X775" s="46" t="e">
        <f t="shared" si="164"/>
        <v>#N/A</v>
      </c>
      <c r="Y775" s="2" t="b">
        <f t="shared" si="165"/>
        <v>0</v>
      </c>
      <c r="Z775" s="2" t="b">
        <f t="shared" si="166"/>
        <v>0</v>
      </c>
      <c r="AE775" s="46">
        <f t="shared" si="159"/>
        <v>7682</v>
      </c>
      <c r="AF775" s="46">
        <f t="shared" si="160"/>
        <v>7691</v>
      </c>
      <c r="AG775" s="33" t="e">
        <f>IFERROR(AVERAGEIFS(data_brute!M:M,data_brute!J:J,"&gt;="&amp;AE775,data_brute!J:J,"&lt;="&amp;AF775),NA())</f>
        <v>#N/A</v>
      </c>
      <c r="AH775" s="46" t="e">
        <f t="shared" si="161"/>
        <v>#N/A</v>
      </c>
      <c r="AJ775" s="46">
        <f t="shared" si="167"/>
        <v>7682</v>
      </c>
      <c r="AK775" s="46">
        <f t="shared" si="168"/>
        <v>7691</v>
      </c>
      <c r="AL775" s="33">
        <f ca="1">IFERROR(AVERAGEIFS(data_brute!M:M,data_brute!J:J,"&lt;="&amp;AK775),NA())</f>
        <v>25.353524229074896</v>
      </c>
      <c r="AM775" s="46">
        <f t="shared" ca="1" si="169"/>
        <v>7690</v>
      </c>
      <c r="AN775" s="46" t="b">
        <f t="shared" si="170"/>
        <v>0</v>
      </c>
      <c r="AO775" s="50" t="b">
        <f t="shared" si="171"/>
        <v>0</v>
      </c>
    </row>
    <row r="776" spans="21:41" x14ac:dyDescent="0.2">
      <c r="U776" s="46">
        <f t="shared" si="162"/>
        <v>7692</v>
      </c>
      <c r="V776" s="46">
        <f t="shared" si="163"/>
        <v>7701</v>
      </c>
      <c r="W776" s="33" t="e">
        <f>IFERROR(AVERAGEIFS(data_brute!M:M,data_brute!J:J,"&lt;="&amp;V776,data_brute!J:J,"&gt;="&amp;U776),NA())</f>
        <v>#N/A</v>
      </c>
      <c r="X776" s="46" t="e">
        <f t="shared" si="164"/>
        <v>#N/A</v>
      </c>
      <c r="Y776" s="2" t="b">
        <f t="shared" si="165"/>
        <v>0</v>
      </c>
      <c r="Z776" s="2" t="b">
        <f t="shared" si="166"/>
        <v>0</v>
      </c>
      <c r="AE776" s="46">
        <f t="shared" si="159"/>
        <v>7692</v>
      </c>
      <c r="AF776" s="46">
        <f t="shared" si="160"/>
        <v>7701</v>
      </c>
      <c r="AG776" s="33" t="e">
        <f>IFERROR(AVERAGEIFS(data_brute!M:M,data_brute!J:J,"&gt;="&amp;AE776,data_brute!J:J,"&lt;="&amp;AF776),NA())</f>
        <v>#N/A</v>
      </c>
      <c r="AH776" s="46" t="e">
        <f t="shared" si="161"/>
        <v>#N/A</v>
      </c>
      <c r="AJ776" s="46">
        <f t="shared" si="167"/>
        <v>7692</v>
      </c>
      <c r="AK776" s="46">
        <f t="shared" si="168"/>
        <v>7701</v>
      </c>
      <c r="AL776" s="33">
        <f ca="1">IFERROR(AVERAGEIFS(data_brute!M:M,data_brute!J:J,"&lt;="&amp;AK776),NA())</f>
        <v>25.353524229074896</v>
      </c>
      <c r="AM776" s="46">
        <f t="shared" ca="1" si="169"/>
        <v>7700</v>
      </c>
      <c r="AN776" s="46" t="b">
        <f t="shared" si="170"/>
        <v>0</v>
      </c>
      <c r="AO776" s="50" t="b">
        <f t="shared" si="171"/>
        <v>0</v>
      </c>
    </row>
    <row r="777" spans="21:41" x14ac:dyDescent="0.2">
      <c r="U777" s="46">
        <f t="shared" si="162"/>
        <v>7702</v>
      </c>
      <c r="V777" s="46">
        <f t="shared" si="163"/>
        <v>7711</v>
      </c>
      <c r="W777" s="33" t="e">
        <f>IFERROR(AVERAGEIFS(data_brute!M:M,data_brute!J:J,"&lt;="&amp;V777,data_brute!J:J,"&gt;="&amp;U777),NA())</f>
        <v>#N/A</v>
      </c>
      <c r="X777" s="46" t="e">
        <f t="shared" si="164"/>
        <v>#N/A</v>
      </c>
      <c r="Y777" s="2" t="b">
        <f t="shared" si="165"/>
        <v>0</v>
      </c>
      <c r="Z777" s="2" t="b">
        <f t="shared" si="166"/>
        <v>0</v>
      </c>
      <c r="AE777" s="46">
        <f t="shared" si="159"/>
        <v>7702</v>
      </c>
      <c r="AF777" s="46">
        <f t="shared" si="160"/>
        <v>7711</v>
      </c>
      <c r="AG777" s="33" t="e">
        <f>IFERROR(AVERAGEIFS(data_brute!M:M,data_brute!J:J,"&gt;="&amp;AE777,data_brute!J:J,"&lt;="&amp;AF777),NA())</f>
        <v>#N/A</v>
      </c>
      <c r="AH777" s="46" t="e">
        <f t="shared" si="161"/>
        <v>#N/A</v>
      </c>
      <c r="AJ777" s="46">
        <f t="shared" si="167"/>
        <v>7702</v>
      </c>
      <c r="AK777" s="46">
        <f t="shared" si="168"/>
        <v>7711</v>
      </c>
      <c r="AL777" s="33">
        <f ca="1">IFERROR(AVERAGEIFS(data_brute!M:M,data_brute!J:J,"&lt;="&amp;AK777),NA())</f>
        <v>25.353524229074896</v>
      </c>
      <c r="AM777" s="46">
        <f t="shared" ca="1" si="169"/>
        <v>7710</v>
      </c>
      <c r="AN777" s="46" t="b">
        <f t="shared" si="170"/>
        <v>0</v>
      </c>
      <c r="AO777" s="50" t="b">
        <f t="shared" si="171"/>
        <v>0</v>
      </c>
    </row>
    <row r="778" spans="21:41" x14ac:dyDescent="0.2">
      <c r="U778" s="46">
        <f t="shared" si="162"/>
        <v>7712</v>
      </c>
      <c r="V778" s="46">
        <f t="shared" si="163"/>
        <v>7721</v>
      </c>
      <c r="W778" s="33" t="e">
        <f>IFERROR(AVERAGEIFS(data_brute!M:M,data_brute!J:J,"&lt;="&amp;V778,data_brute!J:J,"&gt;="&amp;U778),NA())</f>
        <v>#N/A</v>
      </c>
      <c r="X778" s="46" t="e">
        <f t="shared" si="164"/>
        <v>#N/A</v>
      </c>
      <c r="Y778" s="2" t="b">
        <f t="shared" si="165"/>
        <v>0</v>
      </c>
      <c r="Z778" s="2" t="b">
        <f t="shared" si="166"/>
        <v>0</v>
      </c>
      <c r="AE778" s="46">
        <f t="shared" si="159"/>
        <v>7712</v>
      </c>
      <c r="AF778" s="46">
        <f t="shared" si="160"/>
        <v>7721</v>
      </c>
      <c r="AG778" s="33" t="e">
        <f>IFERROR(AVERAGEIFS(data_brute!M:M,data_brute!J:J,"&gt;="&amp;AE778,data_brute!J:J,"&lt;="&amp;AF778),NA())</f>
        <v>#N/A</v>
      </c>
      <c r="AH778" s="46" t="e">
        <f t="shared" si="161"/>
        <v>#N/A</v>
      </c>
      <c r="AJ778" s="46">
        <f t="shared" si="167"/>
        <v>7712</v>
      </c>
      <c r="AK778" s="46">
        <f t="shared" si="168"/>
        <v>7721</v>
      </c>
      <c r="AL778" s="33">
        <f ca="1">IFERROR(AVERAGEIFS(data_brute!M:M,data_brute!J:J,"&lt;="&amp;AK778),NA())</f>
        <v>25.353524229074896</v>
      </c>
      <c r="AM778" s="46">
        <f t="shared" ca="1" si="169"/>
        <v>7720</v>
      </c>
      <c r="AN778" s="46" t="b">
        <f t="shared" si="170"/>
        <v>0</v>
      </c>
      <c r="AO778" s="50" t="b">
        <f t="shared" si="171"/>
        <v>0</v>
      </c>
    </row>
    <row r="779" spans="21:41" x14ac:dyDescent="0.2">
      <c r="U779" s="46">
        <f t="shared" si="162"/>
        <v>7722</v>
      </c>
      <c r="V779" s="46">
        <f t="shared" si="163"/>
        <v>7731</v>
      </c>
      <c r="W779" s="33" t="e">
        <f>IFERROR(AVERAGEIFS(data_brute!M:M,data_brute!J:J,"&lt;="&amp;V779,data_brute!J:J,"&gt;="&amp;U779),NA())</f>
        <v>#N/A</v>
      </c>
      <c r="X779" s="46" t="e">
        <f t="shared" si="164"/>
        <v>#N/A</v>
      </c>
      <c r="Y779" s="2" t="b">
        <f t="shared" si="165"/>
        <v>0</v>
      </c>
      <c r="Z779" s="2" t="b">
        <f t="shared" si="166"/>
        <v>0</v>
      </c>
      <c r="AE779" s="46">
        <f t="shared" si="159"/>
        <v>7722</v>
      </c>
      <c r="AF779" s="46">
        <f t="shared" si="160"/>
        <v>7731</v>
      </c>
      <c r="AG779" s="33" t="e">
        <f>IFERROR(AVERAGEIFS(data_brute!M:M,data_brute!J:J,"&gt;="&amp;AE779,data_brute!J:J,"&lt;="&amp;AF779),NA())</f>
        <v>#N/A</v>
      </c>
      <c r="AH779" s="46" t="e">
        <f t="shared" si="161"/>
        <v>#N/A</v>
      </c>
      <c r="AJ779" s="46">
        <f t="shared" si="167"/>
        <v>7722</v>
      </c>
      <c r="AK779" s="46">
        <f t="shared" si="168"/>
        <v>7731</v>
      </c>
      <c r="AL779" s="33">
        <f ca="1">IFERROR(AVERAGEIFS(data_brute!M:M,data_brute!J:J,"&lt;="&amp;AK779),NA())</f>
        <v>25.353524229074896</v>
      </c>
      <c r="AM779" s="46">
        <f t="shared" ca="1" si="169"/>
        <v>7730</v>
      </c>
      <c r="AN779" s="46" t="b">
        <f t="shared" si="170"/>
        <v>0</v>
      </c>
      <c r="AO779" s="50" t="b">
        <f t="shared" si="171"/>
        <v>0</v>
      </c>
    </row>
    <row r="780" spans="21:41" x14ac:dyDescent="0.2">
      <c r="U780" s="46">
        <f t="shared" si="162"/>
        <v>7732</v>
      </c>
      <c r="V780" s="46">
        <f t="shared" si="163"/>
        <v>7741</v>
      </c>
      <c r="W780" s="33" t="e">
        <f>IFERROR(AVERAGEIFS(data_brute!M:M,data_brute!J:J,"&lt;="&amp;V780,data_brute!J:J,"&gt;="&amp;U780),NA())</f>
        <v>#N/A</v>
      </c>
      <c r="X780" s="46" t="e">
        <f t="shared" si="164"/>
        <v>#N/A</v>
      </c>
      <c r="Y780" s="2" t="b">
        <f t="shared" si="165"/>
        <v>0</v>
      </c>
      <c r="Z780" s="2" t="b">
        <f t="shared" si="166"/>
        <v>0</v>
      </c>
      <c r="AE780" s="46">
        <f t="shared" si="159"/>
        <v>7732</v>
      </c>
      <c r="AF780" s="46">
        <f t="shared" si="160"/>
        <v>7741</v>
      </c>
      <c r="AG780" s="33" t="e">
        <f>IFERROR(AVERAGEIFS(data_brute!M:M,data_brute!J:J,"&gt;="&amp;AE780,data_brute!J:J,"&lt;="&amp;AF780),NA())</f>
        <v>#N/A</v>
      </c>
      <c r="AH780" s="46" t="e">
        <f t="shared" si="161"/>
        <v>#N/A</v>
      </c>
      <c r="AJ780" s="46">
        <f t="shared" si="167"/>
        <v>7732</v>
      </c>
      <c r="AK780" s="46">
        <f t="shared" si="168"/>
        <v>7741</v>
      </c>
      <c r="AL780" s="33">
        <f ca="1">IFERROR(AVERAGEIFS(data_brute!M:M,data_brute!J:J,"&lt;="&amp;AK780),NA())</f>
        <v>25.353524229074896</v>
      </c>
      <c r="AM780" s="46">
        <f t="shared" ca="1" si="169"/>
        <v>7740</v>
      </c>
      <c r="AN780" s="46" t="b">
        <f t="shared" si="170"/>
        <v>0</v>
      </c>
      <c r="AO780" s="50" t="b">
        <f t="shared" si="171"/>
        <v>0</v>
      </c>
    </row>
    <row r="781" spans="21:41" x14ac:dyDescent="0.2">
      <c r="U781" s="46">
        <f t="shared" si="162"/>
        <v>7742</v>
      </c>
      <c r="V781" s="46">
        <f t="shared" si="163"/>
        <v>7751</v>
      </c>
      <c r="W781" s="33" t="e">
        <f>IFERROR(AVERAGEIFS(data_brute!M:M,data_brute!J:J,"&lt;="&amp;V781,data_brute!J:J,"&gt;="&amp;U781),NA())</f>
        <v>#N/A</v>
      </c>
      <c r="X781" s="46" t="e">
        <f t="shared" si="164"/>
        <v>#N/A</v>
      </c>
      <c r="Y781" s="2" t="b">
        <f t="shared" si="165"/>
        <v>0</v>
      </c>
      <c r="Z781" s="2" t="b">
        <f t="shared" si="166"/>
        <v>0</v>
      </c>
      <c r="AE781" s="46">
        <f t="shared" si="159"/>
        <v>7742</v>
      </c>
      <c r="AF781" s="46">
        <f t="shared" si="160"/>
        <v>7751</v>
      </c>
      <c r="AG781" s="33" t="e">
        <f>IFERROR(AVERAGEIFS(data_brute!M:M,data_brute!J:J,"&gt;="&amp;AE781,data_brute!J:J,"&lt;="&amp;AF781),NA())</f>
        <v>#N/A</v>
      </c>
      <c r="AH781" s="46" t="e">
        <f t="shared" si="161"/>
        <v>#N/A</v>
      </c>
      <c r="AJ781" s="46">
        <f t="shared" si="167"/>
        <v>7742</v>
      </c>
      <c r="AK781" s="46">
        <f t="shared" si="168"/>
        <v>7751</v>
      </c>
      <c r="AL781" s="33">
        <f ca="1">IFERROR(AVERAGEIFS(data_brute!M:M,data_brute!J:J,"&lt;="&amp;AK781),NA())</f>
        <v>25.353524229074896</v>
      </c>
      <c r="AM781" s="46">
        <f t="shared" ca="1" si="169"/>
        <v>7750</v>
      </c>
      <c r="AN781" s="46" t="b">
        <f t="shared" si="170"/>
        <v>0</v>
      </c>
      <c r="AO781" s="50" t="b">
        <f t="shared" si="171"/>
        <v>0</v>
      </c>
    </row>
    <row r="782" spans="21:41" x14ac:dyDescent="0.2">
      <c r="U782" s="46">
        <f t="shared" si="162"/>
        <v>7752</v>
      </c>
      <c r="V782" s="46">
        <f t="shared" si="163"/>
        <v>7761</v>
      </c>
      <c r="W782" s="33" t="e">
        <f>IFERROR(AVERAGEIFS(data_brute!M:M,data_brute!J:J,"&lt;="&amp;V782,data_brute!J:J,"&gt;="&amp;U782),NA())</f>
        <v>#N/A</v>
      </c>
      <c r="X782" s="46" t="e">
        <f t="shared" si="164"/>
        <v>#N/A</v>
      </c>
      <c r="Y782" s="2" t="b">
        <f t="shared" si="165"/>
        <v>0</v>
      </c>
      <c r="Z782" s="2" t="b">
        <f t="shared" si="166"/>
        <v>0</v>
      </c>
      <c r="AE782" s="46">
        <f t="shared" si="159"/>
        <v>7752</v>
      </c>
      <c r="AF782" s="46">
        <f t="shared" si="160"/>
        <v>7761</v>
      </c>
      <c r="AG782" s="33" t="e">
        <f>IFERROR(AVERAGEIFS(data_brute!M:M,data_brute!J:J,"&gt;="&amp;AE782,data_brute!J:J,"&lt;="&amp;AF782),NA())</f>
        <v>#N/A</v>
      </c>
      <c r="AH782" s="46" t="e">
        <f t="shared" si="161"/>
        <v>#N/A</v>
      </c>
      <c r="AJ782" s="46">
        <f t="shared" si="167"/>
        <v>7752</v>
      </c>
      <c r="AK782" s="46">
        <f t="shared" si="168"/>
        <v>7761</v>
      </c>
      <c r="AL782" s="33">
        <f ca="1">IFERROR(AVERAGEIFS(data_brute!M:M,data_brute!J:J,"&lt;="&amp;AK782),NA())</f>
        <v>25.353524229074896</v>
      </c>
      <c r="AM782" s="46">
        <f t="shared" ca="1" si="169"/>
        <v>7760</v>
      </c>
      <c r="AN782" s="46" t="b">
        <f t="shared" si="170"/>
        <v>0</v>
      </c>
      <c r="AO782" s="50" t="b">
        <f t="shared" si="171"/>
        <v>0</v>
      </c>
    </row>
    <row r="783" spans="21:41" x14ac:dyDescent="0.2">
      <c r="U783" s="46">
        <f t="shared" si="162"/>
        <v>7762</v>
      </c>
      <c r="V783" s="46">
        <f t="shared" si="163"/>
        <v>7771</v>
      </c>
      <c r="W783" s="33" t="e">
        <f>IFERROR(AVERAGEIFS(data_brute!M:M,data_brute!J:J,"&lt;="&amp;V783,data_brute!J:J,"&gt;="&amp;U783),NA())</f>
        <v>#N/A</v>
      </c>
      <c r="X783" s="46" t="e">
        <f t="shared" si="164"/>
        <v>#N/A</v>
      </c>
      <c r="Y783" s="2" t="b">
        <f t="shared" si="165"/>
        <v>0</v>
      </c>
      <c r="Z783" s="2" t="b">
        <f t="shared" si="166"/>
        <v>0</v>
      </c>
      <c r="AE783" s="46">
        <f t="shared" si="159"/>
        <v>7762</v>
      </c>
      <c r="AF783" s="46">
        <f t="shared" si="160"/>
        <v>7771</v>
      </c>
      <c r="AG783" s="33" t="e">
        <f>IFERROR(AVERAGEIFS(data_brute!M:M,data_brute!J:J,"&gt;="&amp;AE783,data_brute!J:J,"&lt;="&amp;AF783),NA())</f>
        <v>#N/A</v>
      </c>
      <c r="AH783" s="46" t="e">
        <f t="shared" si="161"/>
        <v>#N/A</v>
      </c>
      <c r="AJ783" s="46">
        <f t="shared" si="167"/>
        <v>7762</v>
      </c>
      <c r="AK783" s="46">
        <f t="shared" si="168"/>
        <v>7771</v>
      </c>
      <c r="AL783" s="33">
        <f ca="1">IFERROR(AVERAGEIFS(data_brute!M:M,data_brute!J:J,"&lt;="&amp;AK783),NA())</f>
        <v>25.353524229074896</v>
      </c>
      <c r="AM783" s="46">
        <f t="shared" ca="1" si="169"/>
        <v>7770</v>
      </c>
      <c r="AN783" s="46" t="b">
        <f t="shared" si="170"/>
        <v>0</v>
      </c>
      <c r="AO783" s="50" t="b">
        <f t="shared" si="171"/>
        <v>0</v>
      </c>
    </row>
    <row r="784" spans="21:41" x14ac:dyDescent="0.2">
      <c r="U784" s="46">
        <f t="shared" si="162"/>
        <v>7772</v>
      </c>
      <c r="V784" s="46">
        <f t="shared" si="163"/>
        <v>7781</v>
      </c>
      <c r="W784" s="33" t="e">
        <f>IFERROR(AVERAGEIFS(data_brute!M:M,data_brute!J:J,"&lt;="&amp;V784,data_brute!J:J,"&gt;="&amp;U784),NA())</f>
        <v>#N/A</v>
      </c>
      <c r="X784" s="46" t="e">
        <f t="shared" si="164"/>
        <v>#N/A</v>
      </c>
      <c r="Y784" s="2" t="b">
        <f t="shared" si="165"/>
        <v>0</v>
      </c>
      <c r="Z784" s="2" t="b">
        <f t="shared" si="166"/>
        <v>0</v>
      </c>
      <c r="AE784" s="46">
        <f t="shared" si="159"/>
        <v>7772</v>
      </c>
      <c r="AF784" s="46">
        <f t="shared" si="160"/>
        <v>7781</v>
      </c>
      <c r="AG784" s="33" t="e">
        <f>IFERROR(AVERAGEIFS(data_brute!M:M,data_brute!J:J,"&gt;="&amp;AE784,data_brute!J:J,"&lt;="&amp;AF784),NA())</f>
        <v>#N/A</v>
      </c>
      <c r="AH784" s="46" t="e">
        <f t="shared" si="161"/>
        <v>#N/A</v>
      </c>
      <c r="AJ784" s="46">
        <f t="shared" si="167"/>
        <v>7772</v>
      </c>
      <c r="AK784" s="46">
        <f t="shared" si="168"/>
        <v>7781</v>
      </c>
      <c r="AL784" s="33">
        <f ca="1">IFERROR(AVERAGEIFS(data_brute!M:M,data_brute!J:J,"&lt;="&amp;AK784),NA())</f>
        <v>25.353524229074896</v>
      </c>
      <c r="AM784" s="46">
        <f t="shared" ca="1" si="169"/>
        <v>7780</v>
      </c>
      <c r="AN784" s="46" t="b">
        <f t="shared" si="170"/>
        <v>0</v>
      </c>
      <c r="AO784" s="50" t="b">
        <f t="shared" si="171"/>
        <v>0</v>
      </c>
    </row>
    <row r="785" spans="21:41" x14ac:dyDescent="0.2">
      <c r="U785" s="46">
        <f t="shared" si="162"/>
        <v>7782</v>
      </c>
      <c r="V785" s="46">
        <f t="shared" si="163"/>
        <v>7791</v>
      </c>
      <c r="W785" s="33" t="e">
        <f>IFERROR(AVERAGEIFS(data_brute!M:M,data_brute!J:J,"&lt;="&amp;V785,data_brute!J:J,"&gt;="&amp;U785),NA())</f>
        <v>#N/A</v>
      </c>
      <c r="X785" s="46" t="e">
        <f t="shared" si="164"/>
        <v>#N/A</v>
      </c>
      <c r="Y785" s="2" t="b">
        <f t="shared" si="165"/>
        <v>0</v>
      </c>
      <c r="Z785" s="2" t="b">
        <f t="shared" si="166"/>
        <v>0</v>
      </c>
      <c r="AE785" s="46">
        <f t="shared" si="159"/>
        <v>7782</v>
      </c>
      <c r="AF785" s="46">
        <f t="shared" si="160"/>
        <v>7791</v>
      </c>
      <c r="AG785" s="33" t="e">
        <f>IFERROR(AVERAGEIFS(data_brute!M:M,data_brute!J:J,"&gt;="&amp;AE785,data_brute!J:J,"&lt;="&amp;AF785),NA())</f>
        <v>#N/A</v>
      </c>
      <c r="AH785" s="46" t="e">
        <f t="shared" si="161"/>
        <v>#N/A</v>
      </c>
      <c r="AJ785" s="46">
        <f t="shared" si="167"/>
        <v>7782</v>
      </c>
      <c r="AK785" s="46">
        <f t="shared" si="168"/>
        <v>7791</v>
      </c>
      <c r="AL785" s="33">
        <f ca="1">IFERROR(AVERAGEIFS(data_brute!M:M,data_brute!J:J,"&lt;="&amp;AK785),NA())</f>
        <v>25.353524229074896</v>
      </c>
      <c r="AM785" s="46">
        <f t="shared" ca="1" si="169"/>
        <v>7790</v>
      </c>
      <c r="AN785" s="46" t="b">
        <f t="shared" si="170"/>
        <v>0</v>
      </c>
      <c r="AO785" s="50" t="b">
        <f t="shared" si="171"/>
        <v>0</v>
      </c>
    </row>
    <row r="786" spans="21:41" x14ac:dyDescent="0.2">
      <c r="U786" s="46">
        <f t="shared" si="162"/>
        <v>7792</v>
      </c>
      <c r="V786" s="46">
        <f t="shared" si="163"/>
        <v>7801</v>
      </c>
      <c r="W786" s="33" t="e">
        <f>IFERROR(AVERAGEIFS(data_brute!M:M,data_brute!J:J,"&lt;="&amp;V786,data_brute!J:J,"&gt;="&amp;U786),NA())</f>
        <v>#N/A</v>
      </c>
      <c r="X786" s="46" t="e">
        <f t="shared" si="164"/>
        <v>#N/A</v>
      </c>
      <c r="Y786" s="2" t="b">
        <f t="shared" si="165"/>
        <v>0</v>
      </c>
      <c r="Z786" s="2" t="b">
        <f t="shared" si="166"/>
        <v>0</v>
      </c>
      <c r="AE786" s="46">
        <f t="shared" si="159"/>
        <v>7792</v>
      </c>
      <c r="AF786" s="46">
        <f t="shared" si="160"/>
        <v>7801</v>
      </c>
      <c r="AG786" s="33" t="e">
        <f>IFERROR(AVERAGEIFS(data_brute!M:M,data_brute!J:J,"&gt;="&amp;AE786,data_brute!J:J,"&lt;="&amp;AF786),NA())</f>
        <v>#N/A</v>
      </c>
      <c r="AH786" s="46" t="e">
        <f t="shared" si="161"/>
        <v>#N/A</v>
      </c>
      <c r="AJ786" s="46">
        <f t="shared" si="167"/>
        <v>7792</v>
      </c>
      <c r="AK786" s="46">
        <f t="shared" si="168"/>
        <v>7801</v>
      </c>
      <c r="AL786" s="33">
        <f ca="1">IFERROR(AVERAGEIFS(data_brute!M:M,data_brute!J:J,"&lt;="&amp;AK786),NA())</f>
        <v>25.353524229074896</v>
      </c>
      <c r="AM786" s="46">
        <f t="shared" ca="1" si="169"/>
        <v>7800</v>
      </c>
      <c r="AN786" s="46" t="b">
        <f t="shared" si="170"/>
        <v>0</v>
      </c>
      <c r="AO786" s="50" t="b">
        <f t="shared" si="171"/>
        <v>0</v>
      </c>
    </row>
    <row r="787" spans="21:41" x14ac:dyDescent="0.2">
      <c r="U787" s="46">
        <f t="shared" si="162"/>
        <v>7802</v>
      </c>
      <c r="V787" s="46">
        <f t="shared" si="163"/>
        <v>7811</v>
      </c>
      <c r="W787" s="33" t="e">
        <f>IFERROR(AVERAGEIFS(data_brute!M:M,data_brute!J:J,"&lt;="&amp;V787,data_brute!J:J,"&gt;="&amp;U787),NA())</f>
        <v>#N/A</v>
      </c>
      <c r="X787" s="46" t="e">
        <f t="shared" si="164"/>
        <v>#N/A</v>
      </c>
      <c r="Y787" s="2" t="b">
        <f t="shared" si="165"/>
        <v>0</v>
      </c>
      <c r="Z787" s="2" t="b">
        <f t="shared" si="166"/>
        <v>0</v>
      </c>
      <c r="AE787" s="46">
        <f t="shared" si="159"/>
        <v>7802</v>
      </c>
      <c r="AF787" s="46">
        <f t="shared" si="160"/>
        <v>7811</v>
      </c>
      <c r="AG787" s="33" t="e">
        <f>IFERROR(AVERAGEIFS(data_brute!M:M,data_brute!J:J,"&gt;="&amp;AE787,data_brute!J:J,"&lt;="&amp;AF787),NA())</f>
        <v>#N/A</v>
      </c>
      <c r="AH787" s="46" t="e">
        <f t="shared" si="161"/>
        <v>#N/A</v>
      </c>
      <c r="AJ787" s="46">
        <f t="shared" si="167"/>
        <v>7802</v>
      </c>
      <c r="AK787" s="46">
        <f t="shared" si="168"/>
        <v>7811</v>
      </c>
      <c r="AL787" s="33">
        <f ca="1">IFERROR(AVERAGEIFS(data_brute!M:M,data_brute!J:J,"&lt;="&amp;AK787),NA())</f>
        <v>25.353524229074896</v>
      </c>
      <c r="AM787" s="46">
        <f t="shared" ca="1" si="169"/>
        <v>7810</v>
      </c>
      <c r="AN787" s="46" t="b">
        <f t="shared" si="170"/>
        <v>0</v>
      </c>
      <c r="AO787" s="50" t="b">
        <f t="shared" si="171"/>
        <v>0</v>
      </c>
    </row>
    <row r="788" spans="21:41" x14ac:dyDescent="0.2">
      <c r="U788" s="46">
        <f t="shared" si="162"/>
        <v>7812</v>
      </c>
      <c r="V788" s="46">
        <f t="shared" si="163"/>
        <v>7821</v>
      </c>
      <c r="W788" s="33" t="e">
        <f>IFERROR(AVERAGEIFS(data_brute!M:M,data_brute!J:J,"&lt;="&amp;V788,data_brute!J:J,"&gt;="&amp;U788),NA())</f>
        <v>#N/A</v>
      </c>
      <c r="X788" s="46" t="e">
        <f t="shared" si="164"/>
        <v>#N/A</v>
      </c>
      <c r="Y788" s="2" t="b">
        <f t="shared" si="165"/>
        <v>0</v>
      </c>
      <c r="Z788" s="2" t="b">
        <f t="shared" si="166"/>
        <v>0</v>
      </c>
      <c r="AE788" s="46">
        <f t="shared" si="159"/>
        <v>7812</v>
      </c>
      <c r="AF788" s="46">
        <f t="shared" si="160"/>
        <v>7821</v>
      </c>
      <c r="AG788" s="33" t="e">
        <f>IFERROR(AVERAGEIFS(data_brute!M:M,data_brute!J:J,"&gt;="&amp;AE788,data_brute!J:J,"&lt;="&amp;AF788),NA())</f>
        <v>#N/A</v>
      </c>
      <c r="AH788" s="46" t="e">
        <f t="shared" si="161"/>
        <v>#N/A</v>
      </c>
      <c r="AJ788" s="46">
        <f t="shared" si="167"/>
        <v>7812</v>
      </c>
      <c r="AK788" s="46">
        <f t="shared" si="168"/>
        <v>7821</v>
      </c>
      <c r="AL788" s="33">
        <f ca="1">IFERROR(AVERAGEIFS(data_brute!M:M,data_brute!J:J,"&lt;="&amp;AK788),NA())</f>
        <v>25.353524229074896</v>
      </c>
      <c r="AM788" s="46">
        <f t="shared" ca="1" si="169"/>
        <v>7820</v>
      </c>
      <c r="AN788" s="46" t="b">
        <f t="shared" si="170"/>
        <v>0</v>
      </c>
      <c r="AO788" s="50" t="b">
        <f t="shared" si="171"/>
        <v>0</v>
      </c>
    </row>
    <row r="789" spans="21:41" x14ac:dyDescent="0.2">
      <c r="U789" s="46">
        <f t="shared" si="162"/>
        <v>7822</v>
      </c>
      <c r="V789" s="46">
        <f t="shared" si="163"/>
        <v>7831</v>
      </c>
      <c r="W789" s="33" t="e">
        <f>IFERROR(AVERAGEIFS(data_brute!M:M,data_brute!J:J,"&lt;="&amp;V789,data_brute!J:J,"&gt;="&amp;U789),NA())</f>
        <v>#N/A</v>
      </c>
      <c r="X789" s="46" t="e">
        <f t="shared" si="164"/>
        <v>#N/A</v>
      </c>
      <c r="Y789" s="2" t="b">
        <f t="shared" si="165"/>
        <v>0</v>
      </c>
      <c r="Z789" s="2" t="b">
        <f t="shared" si="166"/>
        <v>0</v>
      </c>
      <c r="AE789" s="46">
        <f t="shared" si="159"/>
        <v>7822</v>
      </c>
      <c r="AF789" s="46">
        <f t="shared" si="160"/>
        <v>7831</v>
      </c>
      <c r="AG789" s="33" t="e">
        <f>IFERROR(AVERAGEIFS(data_brute!M:M,data_brute!J:J,"&gt;="&amp;AE789,data_brute!J:J,"&lt;="&amp;AF789),NA())</f>
        <v>#N/A</v>
      </c>
      <c r="AH789" s="46" t="e">
        <f t="shared" si="161"/>
        <v>#N/A</v>
      </c>
      <c r="AJ789" s="46">
        <f t="shared" si="167"/>
        <v>7822</v>
      </c>
      <c r="AK789" s="46">
        <f t="shared" si="168"/>
        <v>7831</v>
      </c>
      <c r="AL789" s="33">
        <f ca="1">IFERROR(AVERAGEIFS(data_brute!M:M,data_brute!J:J,"&lt;="&amp;AK789),NA())</f>
        <v>25.353524229074896</v>
      </c>
      <c r="AM789" s="46">
        <f t="shared" ca="1" si="169"/>
        <v>7830</v>
      </c>
      <c r="AN789" s="46" t="b">
        <f t="shared" si="170"/>
        <v>0</v>
      </c>
      <c r="AO789" s="50" t="b">
        <f t="shared" si="171"/>
        <v>0</v>
      </c>
    </row>
    <row r="790" spans="21:41" x14ac:dyDescent="0.2">
      <c r="U790" s="46">
        <f t="shared" si="162"/>
        <v>7832</v>
      </c>
      <c r="V790" s="46">
        <f t="shared" si="163"/>
        <v>7841</v>
      </c>
      <c r="W790" s="33" t="e">
        <f>IFERROR(AVERAGEIFS(data_brute!M:M,data_brute!J:J,"&lt;="&amp;V790,data_brute!J:J,"&gt;="&amp;U790),NA())</f>
        <v>#N/A</v>
      </c>
      <c r="X790" s="46" t="e">
        <f t="shared" si="164"/>
        <v>#N/A</v>
      </c>
      <c r="Y790" s="2" t="b">
        <f t="shared" si="165"/>
        <v>0</v>
      </c>
      <c r="Z790" s="2" t="b">
        <f t="shared" si="166"/>
        <v>0</v>
      </c>
      <c r="AE790" s="46">
        <f t="shared" si="159"/>
        <v>7832</v>
      </c>
      <c r="AF790" s="46">
        <f t="shared" si="160"/>
        <v>7841</v>
      </c>
      <c r="AG790" s="33" t="e">
        <f>IFERROR(AVERAGEIFS(data_brute!M:M,data_brute!J:J,"&gt;="&amp;AE790,data_brute!J:J,"&lt;="&amp;AF790),NA())</f>
        <v>#N/A</v>
      </c>
      <c r="AH790" s="46" t="e">
        <f t="shared" si="161"/>
        <v>#N/A</v>
      </c>
      <c r="AJ790" s="46">
        <f t="shared" si="167"/>
        <v>7832</v>
      </c>
      <c r="AK790" s="46">
        <f t="shared" si="168"/>
        <v>7841</v>
      </c>
      <c r="AL790" s="33">
        <f ca="1">IFERROR(AVERAGEIFS(data_brute!M:M,data_brute!J:J,"&lt;="&amp;AK790),NA())</f>
        <v>25.353524229074896</v>
      </c>
      <c r="AM790" s="46">
        <f t="shared" ca="1" si="169"/>
        <v>7840</v>
      </c>
      <c r="AN790" s="46" t="b">
        <f t="shared" si="170"/>
        <v>0</v>
      </c>
      <c r="AO790" s="50" t="b">
        <f t="shared" si="171"/>
        <v>0</v>
      </c>
    </row>
    <row r="791" spans="21:41" x14ac:dyDescent="0.2">
      <c r="U791" s="46">
        <f t="shared" si="162"/>
        <v>7842</v>
      </c>
      <c r="V791" s="46">
        <f t="shared" si="163"/>
        <v>7851</v>
      </c>
      <c r="W791" s="33" t="e">
        <f>IFERROR(AVERAGEIFS(data_brute!M:M,data_brute!J:J,"&lt;="&amp;V791,data_brute!J:J,"&gt;="&amp;U791),NA())</f>
        <v>#N/A</v>
      </c>
      <c r="X791" s="46" t="e">
        <f t="shared" si="164"/>
        <v>#N/A</v>
      </c>
      <c r="Y791" s="2" t="b">
        <f t="shared" si="165"/>
        <v>0</v>
      </c>
      <c r="Z791" s="2" t="b">
        <f t="shared" si="166"/>
        <v>0</v>
      </c>
      <c r="AE791" s="46">
        <f t="shared" si="159"/>
        <v>7842</v>
      </c>
      <c r="AF791" s="46">
        <f t="shared" si="160"/>
        <v>7851</v>
      </c>
      <c r="AG791" s="33" t="e">
        <f>IFERROR(AVERAGEIFS(data_brute!M:M,data_brute!J:J,"&gt;="&amp;AE791,data_brute!J:J,"&lt;="&amp;AF791),NA())</f>
        <v>#N/A</v>
      </c>
      <c r="AH791" s="46" t="e">
        <f t="shared" si="161"/>
        <v>#N/A</v>
      </c>
      <c r="AJ791" s="46">
        <f t="shared" si="167"/>
        <v>7842</v>
      </c>
      <c r="AK791" s="46">
        <f t="shared" si="168"/>
        <v>7851</v>
      </c>
      <c r="AL791" s="33">
        <f ca="1">IFERROR(AVERAGEIFS(data_brute!M:M,data_brute!J:J,"&lt;="&amp;AK791),NA())</f>
        <v>25.353524229074896</v>
      </c>
      <c r="AM791" s="46">
        <f t="shared" ca="1" si="169"/>
        <v>7850</v>
      </c>
      <c r="AN791" s="46" t="b">
        <f t="shared" si="170"/>
        <v>0</v>
      </c>
      <c r="AO791" s="50" t="b">
        <f t="shared" si="171"/>
        <v>0</v>
      </c>
    </row>
    <row r="792" spans="21:41" x14ac:dyDescent="0.2">
      <c r="U792" s="46">
        <f t="shared" si="162"/>
        <v>7852</v>
      </c>
      <c r="V792" s="46">
        <f t="shared" si="163"/>
        <v>7861</v>
      </c>
      <c r="W792" s="33" t="e">
        <f>IFERROR(AVERAGEIFS(data_brute!M:M,data_brute!J:J,"&lt;="&amp;V792,data_brute!J:J,"&gt;="&amp;U792),NA())</f>
        <v>#N/A</v>
      </c>
      <c r="X792" s="46" t="e">
        <f t="shared" si="164"/>
        <v>#N/A</v>
      </c>
      <c r="Y792" s="2" t="b">
        <f t="shared" si="165"/>
        <v>0</v>
      </c>
      <c r="Z792" s="2" t="b">
        <f t="shared" si="166"/>
        <v>0</v>
      </c>
      <c r="AE792" s="46">
        <f t="shared" ref="AE792:AE855" si="172">AF791+1</f>
        <v>7852</v>
      </c>
      <c r="AF792" s="46">
        <f t="shared" ref="AF792:AF855" si="173">AE792+$AG$2-1</f>
        <v>7861</v>
      </c>
      <c r="AG792" s="33" t="e">
        <f>IFERROR(AVERAGEIFS(data_brute!M:M,data_brute!J:J,"&gt;="&amp;AE792,data_brute!J:J,"&lt;="&amp;AF792),NA())</f>
        <v>#N/A</v>
      </c>
      <c r="AH792" s="46" t="e">
        <f t="shared" ref="AH792:AH855" si="174">IF(AG792&lt;&gt;"",$AG$2*(ROW()-ROW($AH$6)),NA())</f>
        <v>#N/A</v>
      </c>
      <c r="AJ792" s="46">
        <f t="shared" si="167"/>
        <v>7852</v>
      </c>
      <c r="AK792" s="46">
        <f t="shared" si="168"/>
        <v>7861</v>
      </c>
      <c r="AL792" s="33">
        <f ca="1">IFERROR(AVERAGEIFS(data_brute!M:M,data_brute!J:J,"&lt;="&amp;AK792),NA())</f>
        <v>25.353524229074896</v>
      </c>
      <c r="AM792" s="46">
        <f t="shared" ca="1" si="169"/>
        <v>7860</v>
      </c>
      <c r="AN792" s="46" t="b">
        <f t="shared" si="170"/>
        <v>0</v>
      </c>
      <c r="AO792" s="50" t="b">
        <f t="shared" si="171"/>
        <v>0</v>
      </c>
    </row>
    <row r="793" spans="21:41" x14ac:dyDescent="0.2">
      <c r="U793" s="46">
        <f t="shared" si="162"/>
        <v>7862</v>
      </c>
      <c r="V793" s="46">
        <f t="shared" si="163"/>
        <v>7871</v>
      </c>
      <c r="W793" s="33" t="e">
        <f>IFERROR(AVERAGEIFS(data_brute!M:M,data_brute!J:J,"&lt;="&amp;V793,data_brute!J:J,"&gt;="&amp;U793),NA())</f>
        <v>#N/A</v>
      </c>
      <c r="X793" s="46" t="e">
        <f t="shared" si="164"/>
        <v>#N/A</v>
      </c>
      <c r="Y793" s="2" t="b">
        <f t="shared" si="165"/>
        <v>0</v>
      </c>
      <c r="Z793" s="2" t="b">
        <f t="shared" si="166"/>
        <v>0</v>
      </c>
      <c r="AE793" s="46">
        <f t="shared" si="172"/>
        <v>7862</v>
      </c>
      <c r="AF793" s="46">
        <f t="shared" si="173"/>
        <v>7871</v>
      </c>
      <c r="AG793" s="33" t="e">
        <f>IFERROR(AVERAGEIFS(data_brute!M:M,data_brute!J:J,"&gt;="&amp;AE793,data_brute!J:J,"&lt;="&amp;AF793),NA())</f>
        <v>#N/A</v>
      </c>
      <c r="AH793" s="46" t="e">
        <f t="shared" si="174"/>
        <v>#N/A</v>
      </c>
      <c r="AJ793" s="46">
        <f t="shared" si="167"/>
        <v>7862</v>
      </c>
      <c r="AK793" s="46">
        <f t="shared" si="168"/>
        <v>7871</v>
      </c>
      <c r="AL793" s="33">
        <f ca="1">IFERROR(AVERAGEIFS(data_brute!M:M,data_brute!J:J,"&lt;="&amp;AK793),NA())</f>
        <v>25.353524229074896</v>
      </c>
      <c r="AM793" s="46">
        <f t="shared" ca="1" si="169"/>
        <v>7870</v>
      </c>
      <c r="AN793" s="46" t="b">
        <f t="shared" si="170"/>
        <v>0</v>
      </c>
      <c r="AO793" s="50" t="b">
        <f t="shared" si="171"/>
        <v>0</v>
      </c>
    </row>
    <row r="794" spans="21:41" x14ac:dyDescent="0.2">
      <c r="U794" s="46">
        <f t="shared" si="162"/>
        <v>7872</v>
      </c>
      <c r="V794" s="46">
        <f t="shared" si="163"/>
        <v>7881</v>
      </c>
      <c r="W794" s="33" t="e">
        <f>IFERROR(AVERAGEIFS(data_brute!M:M,data_brute!J:J,"&lt;="&amp;V794,data_brute!J:J,"&gt;="&amp;U794),NA())</f>
        <v>#N/A</v>
      </c>
      <c r="X794" s="46" t="e">
        <f t="shared" si="164"/>
        <v>#N/A</v>
      </c>
      <c r="Y794" s="2" t="b">
        <f t="shared" si="165"/>
        <v>0</v>
      </c>
      <c r="Z794" s="2" t="b">
        <f t="shared" si="166"/>
        <v>0</v>
      </c>
      <c r="AE794" s="46">
        <f t="shared" si="172"/>
        <v>7872</v>
      </c>
      <c r="AF794" s="46">
        <f t="shared" si="173"/>
        <v>7881</v>
      </c>
      <c r="AG794" s="33" t="e">
        <f>IFERROR(AVERAGEIFS(data_brute!M:M,data_brute!J:J,"&gt;="&amp;AE794,data_brute!J:J,"&lt;="&amp;AF794),NA())</f>
        <v>#N/A</v>
      </c>
      <c r="AH794" s="46" t="e">
        <f t="shared" si="174"/>
        <v>#N/A</v>
      </c>
      <c r="AJ794" s="46">
        <f t="shared" si="167"/>
        <v>7872</v>
      </c>
      <c r="AK794" s="46">
        <f t="shared" si="168"/>
        <v>7881</v>
      </c>
      <c r="AL794" s="33">
        <f ca="1">IFERROR(AVERAGEIFS(data_brute!M:M,data_brute!J:J,"&lt;="&amp;AK794),NA())</f>
        <v>25.353524229074896</v>
      </c>
      <c r="AM794" s="46">
        <f t="shared" ca="1" si="169"/>
        <v>7880</v>
      </c>
      <c r="AN794" s="46" t="b">
        <f t="shared" si="170"/>
        <v>0</v>
      </c>
      <c r="AO794" s="50" t="b">
        <f t="shared" si="171"/>
        <v>0</v>
      </c>
    </row>
    <row r="795" spans="21:41" x14ac:dyDescent="0.2">
      <c r="U795" s="46">
        <f t="shared" si="162"/>
        <v>7882</v>
      </c>
      <c r="V795" s="46">
        <f t="shared" si="163"/>
        <v>7891</v>
      </c>
      <c r="W795" s="33" t="e">
        <f>IFERROR(AVERAGEIFS(data_brute!M:M,data_brute!J:J,"&lt;="&amp;V795,data_brute!J:J,"&gt;="&amp;U795),NA())</f>
        <v>#N/A</v>
      </c>
      <c r="X795" s="46" t="e">
        <f t="shared" si="164"/>
        <v>#N/A</v>
      </c>
      <c r="Y795" s="2" t="b">
        <f t="shared" si="165"/>
        <v>0</v>
      </c>
      <c r="Z795" s="2" t="b">
        <f t="shared" si="166"/>
        <v>0</v>
      </c>
      <c r="AE795" s="46">
        <f t="shared" si="172"/>
        <v>7882</v>
      </c>
      <c r="AF795" s="46">
        <f t="shared" si="173"/>
        <v>7891</v>
      </c>
      <c r="AG795" s="33" t="e">
        <f>IFERROR(AVERAGEIFS(data_brute!M:M,data_brute!J:J,"&gt;="&amp;AE795,data_brute!J:J,"&lt;="&amp;AF795),NA())</f>
        <v>#N/A</v>
      </c>
      <c r="AH795" s="46" t="e">
        <f t="shared" si="174"/>
        <v>#N/A</v>
      </c>
      <c r="AJ795" s="46">
        <f t="shared" si="167"/>
        <v>7882</v>
      </c>
      <c r="AK795" s="46">
        <f t="shared" si="168"/>
        <v>7891</v>
      </c>
      <c r="AL795" s="33">
        <f ca="1">IFERROR(AVERAGEIFS(data_brute!M:M,data_brute!J:J,"&lt;="&amp;AK795),NA())</f>
        <v>25.353524229074896</v>
      </c>
      <c r="AM795" s="46">
        <f t="shared" ca="1" si="169"/>
        <v>7890</v>
      </c>
      <c r="AN795" s="46" t="b">
        <f t="shared" si="170"/>
        <v>0</v>
      </c>
      <c r="AO795" s="50" t="b">
        <f t="shared" si="171"/>
        <v>0</v>
      </c>
    </row>
    <row r="796" spans="21:41" x14ac:dyDescent="0.2">
      <c r="U796" s="46">
        <f t="shared" si="162"/>
        <v>7892</v>
      </c>
      <c r="V796" s="46">
        <f t="shared" si="163"/>
        <v>7901</v>
      </c>
      <c r="W796" s="33" t="e">
        <f>IFERROR(AVERAGEIFS(data_brute!M:M,data_brute!J:J,"&lt;="&amp;V796,data_brute!J:J,"&gt;="&amp;U796),NA())</f>
        <v>#N/A</v>
      </c>
      <c r="X796" s="46" t="e">
        <f t="shared" si="164"/>
        <v>#N/A</v>
      </c>
      <c r="Y796" s="2" t="b">
        <f t="shared" si="165"/>
        <v>0</v>
      </c>
      <c r="Z796" s="2" t="b">
        <f t="shared" si="166"/>
        <v>0</v>
      </c>
      <c r="AE796" s="46">
        <f t="shared" si="172"/>
        <v>7892</v>
      </c>
      <c r="AF796" s="46">
        <f t="shared" si="173"/>
        <v>7901</v>
      </c>
      <c r="AG796" s="33" t="e">
        <f>IFERROR(AVERAGEIFS(data_brute!M:M,data_brute!J:J,"&gt;="&amp;AE796,data_brute!J:J,"&lt;="&amp;AF796),NA())</f>
        <v>#N/A</v>
      </c>
      <c r="AH796" s="46" t="e">
        <f t="shared" si="174"/>
        <v>#N/A</v>
      </c>
      <c r="AJ796" s="46">
        <f t="shared" si="167"/>
        <v>7892</v>
      </c>
      <c r="AK796" s="46">
        <f t="shared" si="168"/>
        <v>7901</v>
      </c>
      <c r="AL796" s="33">
        <f ca="1">IFERROR(AVERAGEIFS(data_brute!M:M,data_brute!J:J,"&lt;="&amp;AK796),NA())</f>
        <v>25.353524229074896</v>
      </c>
      <c r="AM796" s="46">
        <f t="shared" ca="1" si="169"/>
        <v>7900</v>
      </c>
      <c r="AN796" s="46" t="b">
        <f t="shared" si="170"/>
        <v>0</v>
      </c>
      <c r="AO796" s="50" t="b">
        <f t="shared" si="171"/>
        <v>0</v>
      </c>
    </row>
    <row r="797" spans="21:41" x14ac:dyDescent="0.2">
      <c r="U797" s="46">
        <f t="shared" si="162"/>
        <v>7902</v>
      </c>
      <c r="V797" s="46">
        <f t="shared" si="163"/>
        <v>7911</v>
      </c>
      <c r="W797" s="33" t="e">
        <f>IFERROR(AVERAGEIFS(data_brute!M:M,data_brute!J:J,"&lt;="&amp;V797,data_brute!J:J,"&gt;="&amp;U797),NA())</f>
        <v>#N/A</v>
      </c>
      <c r="X797" s="46" t="e">
        <f t="shared" si="164"/>
        <v>#N/A</v>
      </c>
      <c r="Y797" s="2" t="b">
        <f t="shared" si="165"/>
        <v>0</v>
      </c>
      <c r="Z797" s="2" t="b">
        <f t="shared" si="166"/>
        <v>0</v>
      </c>
      <c r="AE797" s="46">
        <f t="shared" si="172"/>
        <v>7902</v>
      </c>
      <c r="AF797" s="46">
        <f t="shared" si="173"/>
        <v>7911</v>
      </c>
      <c r="AG797" s="33" t="e">
        <f>IFERROR(AVERAGEIFS(data_brute!M:M,data_brute!J:J,"&gt;="&amp;AE797,data_brute!J:J,"&lt;="&amp;AF797),NA())</f>
        <v>#N/A</v>
      </c>
      <c r="AH797" s="46" t="e">
        <f t="shared" si="174"/>
        <v>#N/A</v>
      </c>
      <c r="AJ797" s="46">
        <f t="shared" si="167"/>
        <v>7902</v>
      </c>
      <c r="AK797" s="46">
        <f t="shared" si="168"/>
        <v>7911</v>
      </c>
      <c r="AL797" s="33">
        <f ca="1">IFERROR(AVERAGEIFS(data_brute!M:M,data_brute!J:J,"&lt;="&amp;AK797),NA())</f>
        <v>25.353524229074896</v>
      </c>
      <c r="AM797" s="46">
        <f t="shared" ca="1" si="169"/>
        <v>7910</v>
      </c>
      <c r="AN797" s="46" t="b">
        <f t="shared" si="170"/>
        <v>0</v>
      </c>
      <c r="AO797" s="50" t="b">
        <f t="shared" si="171"/>
        <v>0</v>
      </c>
    </row>
    <row r="798" spans="21:41" x14ac:dyDescent="0.2">
      <c r="U798" s="46">
        <f t="shared" si="162"/>
        <v>7912</v>
      </c>
      <c r="V798" s="46">
        <f t="shared" si="163"/>
        <v>7921</v>
      </c>
      <c r="W798" s="33" t="e">
        <f>IFERROR(AVERAGEIFS(data_brute!M:M,data_brute!J:J,"&lt;="&amp;V798,data_brute!J:J,"&gt;="&amp;U798),NA())</f>
        <v>#N/A</v>
      </c>
      <c r="X798" s="46" t="e">
        <f t="shared" si="164"/>
        <v>#N/A</v>
      </c>
      <c r="Y798" s="2" t="b">
        <f t="shared" si="165"/>
        <v>0</v>
      </c>
      <c r="Z798" s="2" t="b">
        <f t="shared" si="166"/>
        <v>0</v>
      </c>
      <c r="AE798" s="46">
        <f t="shared" si="172"/>
        <v>7912</v>
      </c>
      <c r="AF798" s="46">
        <f t="shared" si="173"/>
        <v>7921</v>
      </c>
      <c r="AG798" s="33" t="e">
        <f>IFERROR(AVERAGEIFS(data_brute!M:M,data_brute!J:J,"&gt;="&amp;AE798,data_brute!J:J,"&lt;="&amp;AF798),NA())</f>
        <v>#N/A</v>
      </c>
      <c r="AH798" s="46" t="e">
        <f t="shared" si="174"/>
        <v>#N/A</v>
      </c>
      <c r="AJ798" s="46">
        <f t="shared" si="167"/>
        <v>7912</v>
      </c>
      <c r="AK798" s="46">
        <f t="shared" si="168"/>
        <v>7921</v>
      </c>
      <c r="AL798" s="33">
        <f ca="1">IFERROR(AVERAGEIFS(data_brute!M:M,data_brute!J:J,"&lt;="&amp;AK798),NA())</f>
        <v>25.353524229074896</v>
      </c>
      <c r="AM798" s="46">
        <f t="shared" ca="1" si="169"/>
        <v>7920</v>
      </c>
      <c r="AN798" s="46" t="b">
        <f t="shared" si="170"/>
        <v>0</v>
      </c>
      <c r="AO798" s="50" t="b">
        <f t="shared" si="171"/>
        <v>0</v>
      </c>
    </row>
    <row r="799" spans="21:41" x14ac:dyDescent="0.2">
      <c r="U799" s="46">
        <f t="shared" si="162"/>
        <v>7922</v>
      </c>
      <c r="V799" s="46">
        <f t="shared" si="163"/>
        <v>7931</v>
      </c>
      <c r="W799" s="33" t="e">
        <f>IFERROR(AVERAGEIFS(data_brute!M:M,data_brute!J:J,"&lt;="&amp;V799,data_brute!J:J,"&gt;="&amp;U799),NA())</f>
        <v>#N/A</v>
      </c>
      <c r="X799" s="46" t="e">
        <f t="shared" si="164"/>
        <v>#N/A</v>
      </c>
      <c r="Y799" s="2" t="b">
        <f t="shared" si="165"/>
        <v>0</v>
      </c>
      <c r="Z799" s="2" t="b">
        <f t="shared" si="166"/>
        <v>0</v>
      </c>
      <c r="AE799" s="46">
        <f t="shared" si="172"/>
        <v>7922</v>
      </c>
      <c r="AF799" s="46">
        <f t="shared" si="173"/>
        <v>7931</v>
      </c>
      <c r="AG799" s="33" t="e">
        <f>IFERROR(AVERAGEIFS(data_brute!M:M,data_brute!J:J,"&gt;="&amp;AE799,data_brute!J:J,"&lt;="&amp;AF799),NA())</f>
        <v>#N/A</v>
      </c>
      <c r="AH799" s="46" t="e">
        <f t="shared" si="174"/>
        <v>#N/A</v>
      </c>
      <c r="AJ799" s="46">
        <f t="shared" si="167"/>
        <v>7922</v>
      </c>
      <c r="AK799" s="46">
        <f t="shared" si="168"/>
        <v>7931</v>
      </c>
      <c r="AL799" s="33">
        <f ca="1">IFERROR(AVERAGEIFS(data_brute!M:M,data_brute!J:J,"&lt;="&amp;AK799),NA())</f>
        <v>25.353524229074896</v>
      </c>
      <c r="AM799" s="46">
        <f t="shared" ca="1" si="169"/>
        <v>7930</v>
      </c>
      <c r="AN799" s="46" t="b">
        <f t="shared" si="170"/>
        <v>0</v>
      </c>
      <c r="AO799" s="50" t="b">
        <f t="shared" si="171"/>
        <v>0</v>
      </c>
    </row>
    <row r="800" spans="21:41" x14ac:dyDescent="0.2">
      <c r="U800" s="46">
        <f t="shared" si="162"/>
        <v>7932</v>
      </c>
      <c r="V800" s="46">
        <f t="shared" si="163"/>
        <v>7941</v>
      </c>
      <c r="W800" s="33" t="e">
        <f>IFERROR(AVERAGEIFS(data_brute!M:M,data_brute!J:J,"&lt;="&amp;V800,data_brute!J:J,"&gt;="&amp;U800),NA())</f>
        <v>#N/A</v>
      </c>
      <c r="X800" s="46" t="e">
        <f t="shared" si="164"/>
        <v>#N/A</v>
      </c>
      <c r="Y800" s="2" t="b">
        <f t="shared" si="165"/>
        <v>0</v>
      </c>
      <c r="Z800" s="2" t="b">
        <f t="shared" si="166"/>
        <v>0</v>
      </c>
      <c r="AE800" s="46">
        <f t="shared" si="172"/>
        <v>7932</v>
      </c>
      <c r="AF800" s="46">
        <f t="shared" si="173"/>
        <v>7941</v>
      </c>
      <c r="AG800" s="33" t="e">
        <f>IFERROR(AVERAGEIFS(data_brute!M:M,data_brute!J:J,"&gt;="&amp;AE800,data_brute!J:J,"&lt;="&amp;AF800),NA())</f>
        <v>#N/A</v>
      </c>
      <c r="AH800" s="46" t="e">
        <f t="shared" si="174"/>
        <v>#N/A</v>
      </c>
      <c r="AJ800" s="46">
        <f t="shared" si="167"/>
        <v>7932</v>
      </c>
      <c r="AK800" s="46">
        <f t="shared" si="168"/>
        <v>7941</v>
      </c>
      <c r="AL800" s="33">
        <f ca="1">IFERROR(AVERAGEIFS(data_brute!M:M,data_brute!J:J,"&lt;="&amp;AK800),NA())</f>
        <v>25.353524229074896</v>
      </c>
      <c r="AM800" s="46">
        <f t="shared" ca="1" si="169"/>
        <v>7940</v>
      </c>
      <c r="AN800" s="46" t="b">
        <f t="shared" si="170"/>
        <v>0</v>
      </c>
      <c r="AO800" s="50" t="b">
        <f t="shared" si="171"/>
        <v>0</v>
      </c>
    </row>
    <row r="801" spans="21:41" x14ac:dyDescent="0.2">
      <c r="U801" s="46">
        <f t="shared" si="162"/>
        <v>7942</v>
      </c>
      <c r="V801" s="46">
        <f t="shared" si="163"/>
        <v>7951</v>
      </c>
      <c r="W801" s="33" t="e">
        <f>IFERROR(AVERAGEIFS(data_brute!M:M,data_brute!J:J,"&lt;="&amp;V801,data_brute!J:J,"&gt;="&amp;U801),NA())</f>
        <v>#N/A</v>
      </c>
      <c r="X801" s="46" t="e">
        <f t="shared" si="164"/>
        <v>#N/A</v>
      </c>
      <c r="Y801" s="2" t="b">
        <f t="shared" si="165"/>
        <v>0</v>
      </c>
      <c r="Z801" s="2" t="b">
        <f t="shared" si="166"/>
        <v>0</v>
      </c>
      <c r="AE801" s="46">
        <f t="shared" si="172"/>
        <v>7942</v>
      </c>
      <c r="AF801" s="46">
        <f t="shared" si="173"/>
        <v>7951</v>
      </c>
      <c r="AG801" s="33" t="e">
        <f>IFERROR(AVERAGEIFS(data_brute!M:M,data_brute!J:J,"&gt;="&amp;AE801,data_brute!J:J,"&lt;="&amp;AF801),NA())</f>
        <v>#N/A</v>
      </c>
      <c r="AH801" s="46" t="e">
        <f t="shared" si="174"/>
        <v>#N/A</v>
      </c>
      <c r="AJ801" s="46">
        <f t="shared" si="167"/>
        <v>7942</v>
      </c>
      <c r="AK801" s="46">
        <f t="shared" si="168"/>
        <v>7951</v>
      </c>
      <c r="AL801" s="33">
        <f ca="1">IFERROR(AVERAGEIFS(data_brute!M:M,data_brute!J:J,"&lt;="&amp;AK801),NA())</f>
        <v>25.353524229074896</v>
      </c>
      <c r="AM801" s="46">
        <f t="shared" ca="1" si="169"/>
        <v>7950</v>
      </c>
      <c r="AN801" s="46" t="b">
        <f t="shared" si="170"/>
        <v>0</v>
      </c>
      <c r="AO801" s="50" t="b">
        <f t="shared" si="171"/>
        <v>0</v>
      </c>
    </row>
    <row r="802" spans="21:41" x14ac:dyDescent="0.2">
      <c r="U802" s="46">
        <f t="shared" si="162"/>
        <v>7952</v>
      </c>
      <c r="V802" s="46">
        <f t="shared" si="163"/>
        <v>7961</v>
      </c>
      <c r="W802" s="33" t="e">
        <f>IFERROR(AVERAGEIFS(data_brute!M:M,data_brute!J:J,"&lt;="&amp;V802,data_brute!J:J,"&gt;="&amp;U802),NA())</f>
        <v>#N/A</v>
      </c>
      <c r="X802" s="46" t="e">
        <f t="shared" si="164"/>
        <v>#N/A</v>
      </c>
      <c r="Y802" s="2" t="b">
        <f t="shared" si="165"/>
        <v>0</v>
      </c>
      <c r="Z802" s="2" t="b">
        <f t="shared" si="166"/>
        <v>0</v>
      </c>
      <c r="AE802" s="46">
        <f t="shared" si="172"/>
        <v>7952</v>
      </c>
      <c r="AF802" s="46">
        <f t="shared" si="173"/>
        <v>7961</v>
      </c>
      <c r="AG802" s="33" t="e">
        <f>IFERROR(AVERAGEIFS(data_brute!M:M,data_brute!J:J,"&gt;="&amp;AE802,data_brute!J:J,"&lt;="&amp;AF802),NA())</f>
        <v>#N/A</v>
      </c>
      <c r="AH802" s="46" t="e">
        <f t="shared" si="174"/>
        <v>#N/A</v>
      </c>
      <c r="AJ802" s="46">
        <f t="shared" si="167"/>
        <v>7952</v>
      </c>
      <c r="AK802" s="46">
        <f t="shared" si="168"/>
        <v>7961</v>
      </c>
      <c r="AL802" s="33">
        <f ca="1">IFERROR(AVERAGEIFS(data_brute!M:M,data_brute!J:J,"&lt;="&amp;AK802),NA())</f>
        <v>25.353524229074896</v>
      </c>
      <c r="AM802" s="46">
        <f t="shared" ca="1" si="169"/>
        <v>7960</v>
      </c>
      <c r="AN802" s="46" t="b">
        <f t="shared" si="170"/>
        <v>0</v>
      </c>
      <c r="AO802" s="50" t="b">
        <f t="shared" si="171"/>
        <v>0</v>
      </c>
    </row>
    <row r="803" spans="21:41" x14ac:dyDescent="0.2">
      <c r="U803" s="46">
        <f t="shared" ref="U803:U866" si="175">V802+1</f>
        <v>7962</v>
      </c>
      <c r="V803" s="46">
        <f t="shared" ref="V803:V866" si="176">U803+$AG$2-1</f>
        <v>7971</v>
      </c>
      <c r="W803" s="33" t="e">
        <f>IFERROR(AVERAGEIFS(data_brute!M:M,data_brute!J:J,"&lt;="&amp;V803,data_brute!J:J,"&gt;="&amp;U803),NA())</f>
        <v>#N/A</v>
      </c>
      <c r="X803" s="46" t="e">
        <f t="shared" ref="X803:X866" si="177">IF(W803&lt;&gt;"",$AG$2*(ROW()-ROW($AH$6)),NA())</f>
        <v>#N/A</v>
      </c>
      <c r="Y803" s="2" t="b">
        <f t="shared" ref="Y803:Y866" si="178">IF(AND($F$5&gt;=U803,$F$5&lt;=V803,V803=$F$5),TRUE,FALSE)</f>
        <v>0</v>
      </c>
      <c r="Z803" s="2" t="b">
        <f t="shared" ref="Z803:Z866" si="179">IF(AND($F$5&gt;=U803,$F$5&lt;=V803),TRUE,FALSE)</f>
        <v>0</v>
      </c>
      <c r="AE803" s="46">
        <f t="shared" si="172"/>
        <v>7962</v>
      </c>
      <c r="AF803" s="46">
        <f t="shared" si="173"/>
        <v>7971</v>
      </c>
      <c r="AG803" s="33" t="e">
        <f>IFERROR(AVERAGEIFS(data_brute!M:M,data_brute!J:J,"&gt;="&amp;AE803,data_brute!J:J,"&lt;="&amp;AF803),NA())</f>
        <v>#N/A</v>
      </c>
      <c r="AH803" s="46" t="e">
        <f t="shared" si="174"/>
        <v>#N/A</v>
      </c>
      <c r="AJ803" s="46">
        <f t="shared" si="167"/>
        <v>7962</v>
      </c>
      <c r="AK803" s="46">
        <f t="shared" si="168"/>
        <v>7971</v>
      </c>
      <c r="AL803" s="33">
        <f ca="1">IFERROR(AVERAGEIFS(data_brute!M:M,data_brute!J:J,"&lt;="&amp;AK803),NA())</f>
        <v>25.353524229074896</v>
      </c>
      <c r="AM803" s="46">
        <f t="shared" ca="1" si="169"/>
        <v>7970</v>
      </c>
      <c r="AN803" s="46" t="b">
        <f t="shared" si="170"/>
        <v>0</v>
      </c>
      <c r="AO803" s="50" t="b">
        <f t="shared" si="171"/>
        <v>0</v>
      </c>
    </row>
    <row r="804" spans="21:41" x14ac:dyDescent="0.2">
      <c r="U804" s="46">
        <f t="shared" si="175"/>
        <v>7972</v>
      </c>
      <c r="V804" s="46">
        <f t="shared" si="176"/>
        <v>7981</v>
      </c>
      <c r="W804" s="33" t="e">
        <f>IFERROR(AVERAGEIFS(data_brute!M:M,data_brute!J:J,"&lt;="&amp;V804,data_brute!J:J,"&gt;="&amp;U804),NA())</f>
        <v>#N/A</v>
      </c>
      <c r="X804" s="46" t="e">
        <f t="shared" si="177"/>
        <v>#N/A</v>
      </c>
      <c r="Y804" s="2" t="b">
        <f t="shared" si="178"/>
        <v>0</v>
      </c>
      <c r="Z804" s="2" t="b">
        <f t="shared" si="179"/>
        <v>0</v>
      </c>
      <c r="AE804" s="46">
        <f t="shared" si="172"/>
        <v>7972</v>
      </c>
      <c r="AF804" s="46">
        <f t="shared" si="173"/>
        <v>7981</v>
      </c>
      <c r="AG804" s="33" t="e">
        <f>IFERROR(AVERAGEIFS(data_brute!M:M,data_brute!J:J,"&gt;="&amp;AE804,data_brute!J:J,"&lt;="&amp;AF804),NA())</f>
        <v>#N/A</v>
      </c>
      <c r="AH804" s="46" t="e">
        <f t="shared" si="174"/>
        <v>#N/A</v>
      </c>
      <c r="AJ804" s="46">
        <f t="shared" ref="AJ804:AJ867" si="180">AK803+1</f>
        <v>7972</v>
      </c>
      <c r="AK804" s="46">
        <f t="shared" ref="AK804:AK867" si="181">AJ804+$AG$2-1</f>
        <v>7981</v>
      </c>
      <c r="AL804" s="33">
        <f ca="1">IFERROR(AVERAGEIFS(data_brute!M:M,data_brute!J:J,"&lt;="&amp;AK804),NA())</f>
        <v>25.353524229074896</v>
      </c>
      <c r="AM804" s="46">
        <f t="shared" ref="AM804:AM867" ca="1" si="182">IF(AL804&lt;&gt;"",$AG$2*(ROW()-ROW($AH$6)),NA())</f>
        <v>7980</v>
      </c>
      <c r="AN804" s="46" t="b">
        <f t="shared" ref="AN804:AN867" si="183">IF(AND($F$5&gt;=AJ804,$F$5&lt;=AK804,AK804=$F$5),TRUE,FALSE)</f>
        <v>0</v>
      </c>
      <c r="AO804" s="50" t="b">
        <f t="shared" ref="AO804:AO867" si="184">IF(AND($F$5&gt;=AJ804,$F$5&lt;=AK804),TRUE,FALSE)</f>
        <v>0</v>
      </c>
    </row>
    <row r="805" spans="21:41" x14ac:dyDescent="0.2">
      <c r="U805" s="46">
        <f t="shared" si="175"/>
        <v>7982</v>
      </c>
      <c r="V805" s="46">
        <f t="shared" si="176"/>
        <v>7991</v>
      </c>
      <c r="W805" s="33" t="e">
        <f>IFERROR(AVERAGEIFS(data_brute!M:M,data_brute!J:J,"&lt;="&amp;V805,data_brute!J:J,"&gt;="&amp;U805),NA())</f>
        <v>#N/A</v>
      </c>
      <c r="X805" s="46" t="e">
        <f t="shared" si="177"/>
        <v>#N/A</v>
      </c>
      <c r="Y805" s="2" t="b">
        <f t="shared" si="178"/>
        <v>0</v>
      </c>
      <c r="Z805" s="2" t="b">
        <f t="shared" si="179"/>
        <v>0</v>
      </c>
      <c r="AE805" s="46">
        <f t="shared" si="172"/>
        <v>7982</v>
      </c>
      <c r="AF805" s="46">
        <f t="shared" si="173"/>
        <v>7991</v>
      </c>
      <c r="AG805" s="33" t="e">
        <f>IFERROR(AVERAGEIFS(data_brute!M:M,data_brute!J:J,"&gt;="&amp;AE805,data_brute!J:J,"&lt;="&amp;AF805),NA())</f>
        <v>#N/A</v>
      </c>
      <c r="AH805" s="46" t="e">
        <f t="shared" si="174"/>
        <v>#N/A</v>
      </c>
      <c r="AJ805" s="46">
        <f t="shared" si="180"/>
        <v>7982</v>
      </c>
      <c r="AK805" s="46">
        <f t="shared" si="181"/>
        <v>7991</v>
      </c>
      <c r="AL805" s="33">
        <f ca="1">IFERROR(AVERAGEIFS(data_brute!M:M,data_brute!J:J,"&lt;="&amp;AK805),NA())</f>
        <v>25.353524229074896</v>
      </c>
      <c r="AM805" s="46">
        <f t="shared" ca="1" si="182"/>
        <v>7990</v>
      </c>
      <c r="AN805" s="46" t="b">
        <f t="shared" si="183"/>
        <v>0</v>
      </c>
      <c r="AO805" s="50" t="b">
        <f t="shared" si="184"/>
        <v>0</v>
      </c>
    </row>
    <row r="806" spans="21:41" x14ac:dyDescent="0.2">
      <c r="U806" s="46">
        <f t="shared" si="175"/>
        <v>7992</v>
      </c>
      <c r="V806" s="46">
        <f t="shared" si="176"/>
        <v>8001</v>
      </c>
      <c r="W806" s="33" t="e">
        <f>IFERROR(AVERAGEIFS(data_brute!M:M,data_brute!J:J,"&lt;="&amp;V806,data_brute!J:J,"&gt;="&amp;U806),NA())</f>
        <v>#N/A</v>
      </c>
      <c r="X806" s="46" t="e">
        <f t="shared" si="177"/>
        <v>#N/A</v>
      </c>
      <c r="Y806" s="2" t="b">
        <f t="shared" si="178"/>
        <v>0</v>
      </c>
      <c r="Z806" s="2" t="b">
        <f t="shared" si="179"/>
        <v>0</v>
      </c>
      <c r="AE806" s="46">
        <f t="shared" si="172"/>
        <v>7992</v>
      </c>
      <c r="AF806" s="46">
        <f t="shared" si="173"/>
        <v>8001</v>
      </c>
      <c r="AG806" s="33" t="e">
        <f>IFERROR(AVERAGEIFS(data_brute!M:M,data_brute!J:J,"&gt;="&amp;AE806,data_brute!J:J,"&lt;="&amp;AF806),NA())</f>
        <v>#N/A</v>
      </c>
      <c r="AH806" s="46" t="e">
        <f t="shared" si="174"/>
        <v>#N/A</v>
      </c>
      <c r="AJ806" s="46">
        <f t="shared" si="180"/>
        <v>7992</v>
      </c>
      <c r="AK806" s="46">
        <f t="shared" si="181"/>
        <v>8001</v>
      </c>
      <c r="AL806" s="33">
        <f ca="1">IFERROR(AVERAGEIFS(data_brute!M:M,data_brute!J:J,"&lt;="&amp;AK806),NA())</f>
        <v>25.353524229074896</v>
      </c>
      <c r="AM806" s="46">
        <f t="shared" ca="1" si="182"/>
        <v>8000</v>
      </c>
      <c r="AN806" s="46" t="b">
        <f t="shared" si="183"/>
        <v>0</v>
      </c>
      <c r="AO806" s="50" t="b">
        <f t="shared" si="184"/>
        <v>0</v>
      </c>
    </row>
    <row r="807" spans="21:41" x14ac:dyDescent="0.2">
      <c r="U807" s="46">
        <f t="shared" si="175"/>
        <v>8002</v>
      </c>
      <c r="V807" s="46">
        <f t="shared" si="176"/>
        <v>8011</v>
      </c>
      <c r="W807" s="33" t="e">
        <f>IFERROR(AVERAGEIFS(data_brute!M:M,data_brute!J:J,"&lt;="&amp;V807,data_brute!J:J,"&gt;="&amp;U807),NA())</f>
        <v>#N/A</v>
      </c>
      <c r="X807" s="46" t="e">
        <f t="shared" si="177"/>
        <v>#N/A</v>
      </c>
      <c r="Y807" s="2" t="b">
        <f t="shared" si="178"/>
        <v>0</v>
      </c>
      <c r="Z807" s="2" t="b">
        <f t="shared" si="179"/>
        <v>0</v>
      </c>
      <c r="AE807" s="46">
        <f t="shared" si="172"/>
        <v>8002</v>
      </c>
      <c r="AF807" s="46">
        <f t="shared" si="173"/>
        <v>8011</v>
      </c>
      <c r="AG807" s="33" t="e">
        <f>IFERROR(AVERAGEIFS(data_brute!M:M,data_brute!J:J,"&gt;="&amp;AE807,data_brute!J:J,"&lt;="&amp;AF807),NA())</f>
        <v>#N/A</v>
      </c>
      <c r="AH807" s="46" t="e">
        <f t="shared" si="174"/>
        <v>#N/A</v>
      </c>
      <c r="AJ807" s="46">
        <f t="shared" si="180"/>
        <v>8002</v>
      </c>
      <c r="AK807" s="46">
        <f t="shared" si="181"/>
        <v>8011</v>
      </c>
      <c r="AL807" s="33">
        <f ca="1">IFERROR(AVERAGEIFS(data_brute!M:M,data_brute!J:J,"&lt;="&amp;AK807),NA())</f>
        <v>25.353524229074896</v>
      </c>
      <c r="AM807" s="46">
        <f t="shared" ca="1" si="182"/>
        <v>8010</v>
      </c>
      <c r="AN807" s="46" t="b">
        <f t="shared" si="183"/>
        <v>0</v>
      </c>
      <c r="AO807" s="50" t="b">
        <f t="shared" si="184"/>
        <v>0</v>
      </c>
    </row>
    <row r="808" spans="21:41" x14ac:dyDescent="0.2">
      <c r="U808" s="46">
        <f t="shared" si="175"/>
        <v>8012</v>
      </c>
      <c r="V808" s="46">
        <f t="shared" si="176"/>
        <v>8021</v>
      </c>
      <c r="W808" s="33" t="e">
        <f>IFERROR(AVERAGEIFS(data_brute!M:M,data_brute!J:J,"&lt;="&amp;V808,data_brute!J:J,"&gt;="&amp;U808),NA())</f>
        <v>#N/A</v>
      </c>
      <c r="X808" s="46" t="e">
        <f t="shared" si="177"/>
        <v>#N/A</v>
      </c>
      <c r="Y808" s="2" t="b">
        <f t="shared" si="178"/>
        <v>0</v>
      </c>
      <c r="Z808" s="2" t="b">
        <f t="shared" si="179"/>
        <v>0</v>
      </c>
      <c r="AE808" s="46">
        <f t="shared" si="172"/>
        <v>8012</v>
      </c>
      <c r="AF808" s="46">
        <f t="shared" si="173"/>
        <v>8021</v>
      </c>
      <c r="AG808" s="33" t="e">
        <f>IFERROR(AVERAGEIFS(data_brute!M:M,data_brute!J:J,"&gt;="&amp;AE808,data_brute!J:J,"&lt;="&amp;AF808),NA())</f>
        <v>#N/A</v>
      </c>
      <c r="AH808" s="46" t="e">
        <f t="shared" si="174"/>
        <v>#N/A</v>
      </c>
      <c r="AJ808" s="46">
        <f t="shared" si="180"/>
        <v>8012</v>
      </c>
      <c r="AK808" s="46">
        <f t="shared" si="181"/>
        <v>8021</v>
      </c>
      <c r="AL808" s="33">
        <f ca="1">IFERROR(AVERAGEIFS(data_brute!M:M,data_brute!J:J,"&lt;="&amp;AK808),NA())</f>
        <v>25.353524229074896</v>
      </c>
      <c r="AM808" s="46">
        <f t="shared" ca="1" si="182"/>
        <v>8020</v>
      </c>
      <c r="AN808" s="46" t="b">
        <f t="shared" si="183"/>
        <v>0</v>
      </c>
      <c r="AO808" s="50" t="b">
        <f t="shared" si="184"/>
        <v>0</v>
      </c>
    </row>
    <row r="809" spans="21:41" x14ac:dyDescent="0.2">
      <c r="U809" s="46">
        <f t="shared" si="175"/>
        <v>8022</v>
      </c>
      <c r="V809" s="46">
        <f t="shared" si="176"/>
        <v>8031</v>
      </c>
      <c r="W809" s="33" t="e">
        <f>IFERROR(AVERAGEIFS(data_brute!M:M,data_brute!J:J,"&lt;="&amp;V809,data_brute!J:J,"&gt;="&amp;U809),NA())</f>
        <v>#N/A</v>
      </c>
      <c r="X809" s="46" t="e">
        <f t="shared" si="177"/>
        <v>#N/A</v>
      </c>
      <c r="Y809" s="2" t="b">
        <f t="shared" si="178"/>
        <v>0</v>
      </c>
      <c r="Z809" s="2" t="b">
        <f t="shared" si="179"/>
        <v>0</v>
      </c>
      <c r="AE809" s="46">
        <f t="shared" si="172"/>
        <v>8022</v>
      </c>
      <c r="AF809" s="46">
        <f t="shared" si="173"/>
        <v>8031</v>
      </c>
      <c r="AG809" s="33" t="e">
        <f>IFERROR(AVERAGEIFS(data_brute!M:M,data_brute!J:J,"&gt;="&amp;AE809,data_brute!J:J,"&lt;="&amp;AF809),NA())</f>
        <v>#N/A</v>
      </c>
      <c r="AH809" s="46" t="e">
        <f t="shared" si="174"/>
        <v>#N/A</v>
      </c>
      <c r="AJ809" s="46">
        <f t="shared" si="180"/>
        <v>8022</v>
      </c>
      <c r="AK809" s="46">
        <f t="shared" si="181"/>
        <v>8031</v>
      </c>
      <c r="AL809" s="33">
        <f ca="1">IFERROR(AVERAGEIFS(data_brute!M:M,data_brute!J:J,"&lt;="&amp;AK809),NA())</f>
        <v>25.353524229074896</v>
      </c>
      <c r="AM809" s="46">
        <f t="shared" ca="1" si="182"/>
        <v>8030</v>
      </c>
      <c r="AN809" s="46" t="b">
        <f t="shared" si="183"/>
        <v>0</v>
      </c>
      <c r="AO809" s="50" t="b">
        <f t="shared" si="184"/>
        <v>0</v>
      </c>
    </row>
    <row r="810" spans="21:41" x14ac:dyDescent="0.2">
      <c r="U810" s="46">
        <f t="shared" si="175"/>
        <v>8032</v>
      </c>
      <c r="V810" s="46">
        <f t="shared" si="176"/>
        <v>8041</v>
      </c>
      <c r="W810" s="33" t="e">
        <f>IFERROR(AVERAGEIFS(data_brute!M:M,data_brute!J:J,"&lt;="&amp;V810,data_brute!J:J,"&gt;="&amp;U810),NA())</f>
        <v>#N/A</v>
      </c>
      <c r="X810" s="46" t="e">
        <f t="shared" si="177"/>
        <v>#N/A</v>
      </c>
      <c r="Y810" s="2" t="b">
        <f t="shared" si="178"/>
        <v>0</v>
      </c>
      <c r="Z810" s="2" t="b">
        <f t="shared" si="179"/>
        <v>0</v>
      </c>
      <c r="AE810" s="46">
        <f t="shared" si="172"/>
        <v>8032</v>
      </c>
      <c r="AF810" s="46">
        <f t="shared" si="173"/>
        <v>8041</v>
      </c>
      <c r="AG810" s="33" t="e">
        <f>IFERROR(AVERAGEIFS(data_brute!M:M,data_brute!J:J,"&gt;="&amp;AE810,data_brute!J:J,"&lt;="&amp;AF810),NA())</f>
        <v>#N/A</v>
      </c>
      <c r="AH810" s="46" t="e">
        <f t="shared" si="174"/>
        <v>#N/A</v>
      </c>
      <c r="AJ810" s="46">
        <f t="shared" si="180"/>
        <v>8032</v>
      </c>
      <c r="AK810" s="46">
        <f t="shared" si="181"/>
        <v>8041</v>
      </c>
      <c r="AL810" s="33">
        <f ca="1">IFERROR(AVERAGEIFS(data_brute!M:M,data_brute!J:J,"&lt;="&amp;AK810),NA())</f>
        <v>25.353524229074896</v>
      </c>
      <c r="AM810" s="46">
        <f t="shared" ca="1" si="182"/>
        <v>8040</v>
      </c>
      <c r="AN810" s="46" t="b">
        <f t="shared" si="183"/>
        <v>0</v>
      </c>
      <c r="AO810" s="50" t="b">
        <f t="shared" si="184"/>
        <v>0</v>
      </c>
    </row>
    <row r="811" spans="21:41" x14ac:dyDescent="0.2">
      <c r="U811" s="46">
        <f t="shared" si="175"/>
        <v>8042</v>
      </c>
      <c r="V811" s="46">
        <f t="shared" si="176"/>
        <v>8051</v>
      </c>
      <c r="W811" s="33" t="e">
        <f>IFERROR(AVERAGEIFS(data_brute!M:M,data_brute!J:J,"&lt;="&amp;V811,data_brute!J:J,"&gt;="&amp;U811),NA())</f>
        <v>#N/A</v>
      </c>
      <c r="X811" s="46" t="e">
        <f t="shared" si="177"/>
        <v>#N/A</v>
      </c>
      <c r="Y811" s="2" t="b">
        <f t="shared" si="178"/>
        <v>0</v>
      </c>
      <c r="Z811" s="2" t="b">
        <f t="shared" si="179"/>
        <v>0</v>
      </c>
      <c r="AE811" s="46">
        <f t="shared" si="172"/>
        <v>8042</v>
      </c>
      <c r="AF811" s="46">
        <f t="shared" si="173"/>
        <v>8051</v>
      </c>
      <c r="AG811" s="33" t="e">
        <f>IFERROR(AVERAGEIFS(data_brute!M:M,data_brute!J:J,"&gt;="&amp;AE811,data_brute!J:J,"&lt;="&amp;AF811),NA())</f>
        <v>#N/A</v>
      </c>
      <c r="AH811" s="46" t="e">
        <f t="shared" si="174"/>
        <v>#N/A</v>
      </c>
      <c r="AJ811" s="46">
        <f t="shared" si="180"/>
        <v>8042</v>
      </c>
      <c r="AK811" s="46">
        <f t="shared" si="181"/>
        <v>8051</v>
      </c>
      <c r="AL811" s="33">
        <f ca="1">IFERROR(AVERAGEIFS(data_brute!M:M,data_brute!J:J,"&lt;="&amp;AK811),NA())</f>
        <v>25.353524229074896</v>
      </c>
      <c r="AM811" s="46">
        <f t="shared" ca="1" si="182"/>
        <v>8050</v>
      </c>
      <c r="AN811" s="46" t="b">
        <f t="shared" si="183"/>
        <v>0</v>
      </c>
      <c r="AO811" s="50" t="b">
        <f t="shared" si="184"/>
        <v>0</v>
      </c>
    </row>
    <row r="812" spans="21:41" x14ac:dyDescent="0.2">
      <c r="U812" s="46">
        <f t="shared" si="175"/>
        <v>8052</v>
      </c>
      <c r="V812" s="46">
        <f t="shared" si="176"/>
        <v>8061</v>
      </c>
      <c r="W812" s="33" t="e">
        <f>IFERROR(AVERAGEIFS(data_brute!M:M,data_brute!J:J,"&lt;="&amp;V812,data_brute!J:J,"&gt;="&amp;U812),NA())</f>
        <v>#N/A</v>
      </c>
      <c r="X812" s="46" t="e">
        <f t="shared" si="177"/>
        <v>#N/A</v>
      </c>
      <c r="Y812" s="2" t="b">
        <f t="shared" si="178"/>
        <v>0</v>
      </c>
      <c r="Z812" s="2" t="b">
        <f t="shared" si="179"/>
        <v>0</v>
      </c>
      <c r="AE812" s="46">
        <f t="shared" si="172"/>
        <v>8052</v>
      </c>
      <c r="AF812" s="46">
        <f t="shared" si="173"/>
        <v>8061</v>
      </c>
      <c r="AG812" s="33" t="e">
        <f>IFERROR(AVERAGEIFS(data_brute!M:M,data_brute!J:J,"&gt;="&amp;AE812,data_brute!J:J,"&lt;="&amp;AF812),NA())</f>
        <v>#N/A</v>
      </c>
      <c r="AH812" s="46" t="e">
        <f t="shared" si="174"/>
        <v>#N/A</v>
      </c>
      <c r="AJ812" s="46">
        <f t="shared" si="180"/>
        <v>8052</v>
      </c>
      <c r="AK812" s="46">
        <f t="shared" si="181"/>
        <v>8061</v>
      </c>
      <c r="AL812" s="33">
        <f ca="1">IFERROR(AVERAGEIFS(data_brute!M:M,data_brute!J:J,"&lt;="&amp;AK812),NA())</f>
        <v>25.353524229074896</v>
      </c>
      <c r="AM812" s="46">
        <f t="shared" ca="1" si="182"/>
        <v>8060</v>
      </c>
      <c r="AN812" s="46" t="b">
        <f t="shared" si="183"/>
        <v>0</v>
      </c>
      <c r="AO812" s="50" t="b">
        <f t="shared" si="184"/>
        <v>0</v>
      </c>
    </row>
    <row r="813" spans="21:41" x14ac:dyDescent="0.2">
      <c r="U813" s="46">
        <f t="shared" si="175"/>
        <v>8062</v>
      </c>
      <c r="V813" s="46">
        <f t="shared" si="176"/>
        <v>8071</v>
      </c>
      <c r="W813" s="33" t="e">
        <f>IFERROR(AVERAGEIFS(data_brute!M:M,data_brute!J:J,"&lt;="&amp;V813,data_brute!J:J,"&gt;="&amp;U813),NA())</f>
        <v>#N/A</v>
      </c>
      <c r="X813" s="46" t="e">
        <f t="shared" si="177"/>
        <v>#N/A</v>
      </c>
      <c r="Y813" s="2" t="b">
        <f t="shared" si="178"/>
        <v>0</v>
      </c>
      <c r="Z813" s="2" t="b">
        <f t="shared" si="179"/>
        <v>0</v>
      </c>
      <c r="AE813" s="46">
        <f t="shared" si="172"/>
        <v>8062</v>
      </c>
      <c r="AF813" s="46">
        <f t="shared" si="173"/>
        <v>8071</v>
      </c>
      <c r="AG813" s="33" t="e">
        <f>IFERROR(AVERAGEIFS(data_brute!M:M,data_brute!J:J,"&gt;="&amp;AE813,data_brute!J:J,"&lt;="&amp;AF813),NA())</f>
        <v>#N/A</v>
      </c>
      <c r="AH813" s="46" t="e">
        <f t="shared" si="174"/>
        <v>#N/A</v>
      </c>
      <c r="AJ813" s="46">
        <f t="shared" si="180"/>
        <v>8062</v>
      </c>
      <c r="AK813" s="46">
        <f t="shared" si="181"/>
        <v>8071</v>
      </c>
      <c r="AL813" s="33">
        <f ca="1">IFERROR(AVERAGEIFS(data_brute!M:M,data_brute!J:J,"&lt;="&amp;AK813),NA())</f>
        <v>25.353524229074896</v>
      </c>
      <c r="AM813" s="46">
        <f t="shared" ca="1" si="182"/>
        <v>8070</v>
      </c>
      <c r="AN813" s="46" t="b">
        <f t="shared" si="183"/>
        <v>0</v>
      </c>
      <c r="AO813" s="50" t="b">
        <f t="shared" si="184"/>
        <v>0</v>
      </c>
    </row>
    <row r="814" spans="21:41" x14ac:dyDescent="0.2">
      <c r="U814" s="46">
        <f t="shared" si="175"/>
        <v>8072</v>
      </c>
      <c r="V814" s="46">
        <f t="shared" si="176"/>
        <v>8081</v>
      </c>
      <c r="W814" s="33" t="e">
        <f>IFERROR(AVERAGEIFS(data_brute!M:M,data_brute!J:J,"&lt;="&amp;V814,data_brute!J:J,"&gt;="&amp;U814),NA())</f>
        <v>#N/A</v>
      </c>
      <c r="X814" s="46" t="e">
        <f t="shared" si="177"/>
        <v>#N/A</v>
      </c>
      <c r="Y814" s="2" t="b">
        <f t="shared" si="178"/>
        <v>0</v>
      </c>
      <c r="Z814" s="2" t="b">
        <f t="shared" si="179"/>
        <v>0</v>
      </c>
      <c r="AE814" s="46">
        <f t="shared" si="172"/>
        <v>8072</v>
      </c>
      <c r="AF814" s="46">
        <f t="shared" si="173"/>
        <v>8081</v>
      </c>
      <c r="AG814" s="33" t="e">
        <f>IFERROR(AVERAGEIFS(data_brute!M:M,data_brute!J:J,"&gt;="&amp;AE814,data_brute!J:J,"&lt;="&amp;AF814),NA())</f>
        <v>#N/A</v>
      </c>
      <c r="AH814" s="46" t="e">
        <f t="shared" si="174"/>
        <v>#N/A</v>
      </c>
      <c r="AJ814" s="46">
        <f t="shared" si="180"/>
        <v>8072</v>
      </c>
      <c r="AK814" s="46">
        <f t="shared" si="181"/>
        <v>8081</v>
      </c>
      <c r="AL814" s="33">
        <f ca="1">IFERROR(AVERAGEIFS(data_brute!M:M,data_brute!J:J,"&lt;="&amp;AK814),NA())</f>
        <v>25.353524229074896</v>
      </c>
      <c r="AM814" s="46">
        <f t="shared" ca="1" si="182"/>
        <v>8080</v>
      </c>
      <c r="AN814" s="46" t="b">
        <f t="shared" si="183"/>
        <v>0</v>
      </c>
      <c r="AO814" s="50" t="b">
        <f t="shared" si="184"/>
        <v>0</v>
      </c>
    </row>
    <row r="815" spans="21:41" x14ac:dyDescent="0.2">
      <c r="U815" s="46">
        <f t="shared" si="175"/>
        <v>8082</v>
      </c>
      <c r="V815" s="46">
        <f t="shared" si="176"/>
        <v>8091</v>
      </c>
      <c r="W815" s="33" t="e">
        <f>IFERROR(AVERAGEIFS(data_brute!M:M,data_brute!J:J,"&lt;="&amp;V815,data_brute!J:J,"&gt;="&amp;U815),NA())</f>
        <v>#N/A</v>
      </c>
      <c r="X815" s="46" t="e">
        <f t="shared" si="177"/>
        <v>#N/A</v>
      </c>
      <c r="Y815" s="2" t="b">
        <f t="shared" si="178"/>
        <v>0</v>
      </c>
      <c r="Z815" s="2" t="b">
        <f t="shared" si="179"/>
        <v>0</v>
      </c>
      <c r="AE815" s="46">
        <f t="shared" si="172"/>
        <v>8082</v>
      </c>
      <c r="AF815" s="46">
        <f t="shared" si="173"/>
        <v>8091</v>
      </c>
      <c r="AG815" s="33" t="e">
        <f>IFERROR(AVERAGEIFS(data_brute!M:M,data_brute!J:J,"&gt;="&amp;AE815,data_brute!J:J,"&lt;="&amp;AF815),NA())</f>
        <v>#N/A</v>
      </c>
      <c r="AH815" s="46" t="e">
        <f t="shared" si="174"/>
        <v>#N/A</v>
      </c>
      <c r="AJ815" s="46">
        <f t="shared" si="180"/>
        <v>8082</v>
      </c>
      <c r="AK815" s="46">
        <f t="shared" si="181"/>
        <v>8091</v>
      </c>
      <c r="AL815" s="33">
        <f ca="1">IFERROR(AVERAGEIFS(data_brute!M:M,data_brute!J:J,"&lt;="&amp;AK815),NA())</f>
        <v>25.353524229074896</v>
      </c>
      <c r="AM815" s="46">
        <f t="shared" ca="1" si="182"/>
        <v>8090</v>
      </c>
      <c r="AN815" s="46" t="b">
        <f t="shared" si="183"/>
        <v>0</v>
      </c>
      <c r="AO815" s="50" t="b">
        <f t="shared" si="184"/>
        <v>0</v>
      </c>
    </row>
    <row r="816" spans="21:41" x14ac:dyDescent="0.2">
      <c r="U816" s="46">
        <f t="shared" si="175"/>
        <v>8092</v>
      </c>
      <c r="V816" s="46">
        <f t="shared" si="176"/>
        <v>8101</v>
      </c>
      <c r="W816" s="33" t="e">
        <f>IFERROR(AVERAGEIFS(data_brute!M:M,data_brute!J:J,"&lt;="&amp;V816,data_brute!J:J,"&gt;="&amp;U816),NA())</f>
        <v>#N/A</v>
      </c>
      <c r="X816" s="46" t="e">
        <f t="shared" si="177"/>
        <v>#N/A</v>
      </c>
      <c r="Y816" s="2" t="b">
        <f t="shared" si="178"/>
        <v>0</v>
      </c>
      <c r="Z816" s="2" t="b">
        <f t="shared" si="179"/>
        <v>0</v>
      </c>
      <c r="AE816" s="46">
        <f t="shared" si="172"/>
        <v>8092</v>
      </c>
      <c r="AF816" s="46">
        <f t="shared" si="173"/>
        <v>8101</v>
      </c>
      <c r="AG816" s="33" t="e">
        <f>IFERROR(AVERAGEIFS(data_brute!M:M,data_brute!J:J,"&gt;="&amp;AE816,data_brute!J:J,"&lt;="&amp;AF816),NA())</f>
        <v>#N/A</v>
      </c>
      <c r="AH816" s="46" t="e">
        <f t="shared" si="174"/>
        <v>#N/A</v>
      </c>
      <c r="AJ816" s="46">
        <f t="shared" si="180"/>
        <v>8092</v>
      </c>
      <c r="AK816" s="46">
        <f t="shared" si="181"/>
        <v>8101</v>
      </c>
      <c r="AL816" s="33">
        <f ca="1">IFERROR(AVERAGEIFS(data_brute!M:M,data_brute!J:J,"&lt;="&amp;AK816),NA())</f>
        <v>25.353524229074896</v>
      </c>
      <c r="AM816" s="46">
        <f t="shared" ca="1" si="182"/>
        <v>8100</v>
      </c>
      <c r="AN816" s="46" t="b">
        <f t="shared" si="183"/>
        <v>0</v>
      </c>
      <c r="AO816" s="50" t="b">
        <f t="shared" si="184"/>
        <v>0</v>
      </c>
    </row>
    <row r="817" spans="21:41" x14ac:dyDescent="0.2">
      <c r="U817" s="46">
        <f t="shared" si="175"/>
        <v>8102</v>
      </c>
      <c r="V817" s="46">
        <f t="shared" si="176"/>
        <v>8111</v>
      </c>
      <c r="W817" s="33" t="e">
        <f>IFERROR(AVERAGEIFS(data_brute!M:M,data_brute!J:J,"&lt;="&amp;V817,data_brute!J:J,"&gt;="&amp;U817),NA())</f>
        <v>#N/A</v>
      </c>
      <c r="X817" s="46" t="e">
        <f t="shared" si="177"/>
        <v>#N/A</v>
      </c>
      <c r="Y817" s="2" t="b">
        <f t="shared" si="178"/>
        <v>0</v>
      </c>
      <c r="Z817" s="2" t="b">
        <f t="shared" si="179"/>
        <v>0</v>
      </c>
      <c r="AE817" s="46">
        <f t="shared" si="172"/>
        <v>8102</v>
      </c>
      <c r="AF817" s="46">
        <f t="shared" si="173"/>
        <v>8111</v>
      </c>
      <c r="AG817" s="33" t="e">
        <f>IFERROR(AVERAGEIFS(data_brute!M:M,data_brute!J:J,"&gt;="&amp;AE817,data_brute!J:J,"&lt;="&amp;AF817),NA())</f>
        <v>#N/A</v>
      </c>
      <c r="AH817" s="46" t="e">
        <f t="shared" si="174"/>
        <v>#N/A</v>
      </c>
      <c r="AJ817" s="46">
        <f t="shared" si="180"/>
        <v>8102</v>
      </c>
      <c r="AK817" s="46">
        <f t="shared" si="181"/>
        <v>8111</v>
      </c>
      <c r="AL817" s="33">
        <f ca="1">IFERROR(AVERAGEIFS(data_brute!M:M,data_brute!J:J,"&lt;="&amp;AK817),NA())</f>
        <v>25.353524229074896</v>
      </c>
      <c r="AM817" s="46">
        <f t="shared" ca="1" si="182"/>
        <v>8110</v>
      </c>
      <c r="AN817" s="46" t="b">
        <f t="shared" si="183"/>
        <v>0</v>
      </c>
      <c r="AO817" s="50" t="b">
        <f t="shared" si="184"/>
        <v>0</v>
      </c>
    </row>
    <row r="818" spans="21:41" x14ac:dyDescent="0.2">
      <c r="U818" s="46">
        <f t="shared" si="175"/>
        <v>8112</v>
      </c>
      <c r="V818" s="46">
        <f t="shared" si="176"/>
        <v>8121</v>
      </c>
      <c r="W818" s="33" t="e">
        <f>IFERROR(AVERAGEIFS(data_brute!M:M,data_brute!J:J,"&lt;="&amp;V818,data_brute!J:J,"&gt;="&amp;U818),NA())</f>
        <v>#N/A</v>
      </c>
      <c r="X818" s="46" t="e">
        <f t="shared" si="177"/>
        <v>#N/A</v>
      </c>
      <c r="Y818" s="2" t="b">
        <f t="shared" si="178"/>
        <v>0</v>
      </c>
      <c r="Z818" s="2" t="b">
        <f t="shared" si="179"/>
        <v>0</v>
      </c>
      <c r="AE818" s="46">
        <f t="shared" si="172"/>
        <v>8112</v>
      </c>
      <c r="AF818" s="46">
        <f t="shared" si="173"/>
        <v>8121</v>
      </c>
      <c r="AG818" s="33" t="e">
        <f>IFERROR(AVERAGEIFS(data_brute!M:M,data_brute!J:J,"&gt;="&amp;AE818,data_brute!J:J,"&lt;="&amp;AF818),NA())</f>
        <v>#N/A</v>
      </c>
      <c r="AH818" s="46" t="e">
        <f t="shared" si="174"/>
        <v>#N/A</v>
      </c>
      <c r="AJ818" s="46">
        <f t="shared" si="180"/>
        <v>8112</v>
      </c>
      <c r="AK818" s="46">
        <f t="shared" si="181"/>
        <v>8121</v>
      </c>
      <c r="AL818" s="33">
        <f ca="1">IFERROR(AVERAGEIFS(data_brute!M:M,data_brute!J:J,"&lt;="&amp;AK818),NA())</f>
        <v>25.353524229074896</v>
      </c>
      <c r="AM818" s="46">
        <f t="shared" ca="1" si="182"/>
        <v>8120</v>
      </c>
      <c r="AN818" s="46" t="b">
        <f t="shared" si="183"/>
        <v>0</v>
      </c>
      <c r="AO818" s="50" t="b">
        <f t="shared" si="184"/>
        <v>0</v>
      </c>
    </row>
    <row r="819" spans="21:41" x14ac:dyDescent="0.2">
      <c r="U819" s="46">
        <f t="shared" si="175"/>
        <v>8122</v>
      </c>
      <c r="V819" s="46">
        <f t="shared" si="176"/>
        <v>8131</v>
      </c>
      <c r="W819" s="33" t="e">
        <f>IFERROR(AVERAGEIFS(data_brute!M:M,data_brute!J:J,"&lt;="&amp;V819,data_brute!J:J,"&gt;="&amp;U819),NA())</f>
        <v>#N/A</v>
      </c>
      <c r="X819" s="46" t="e">
        <f t="shared" si="177"/>
        <v>#N/A</v>
      </c>
      <c r="Y819" s="2" t="b">
        <f t="shared" si="178"/>
        <v>0</v>
      </c>
      <c r="Z819" s="2" t="b">
        <f t="shared" si="179"/>
        <v>0</v>
      </c>
      <c r="AE819" s="46">
        <f t="shared" si="172"/>
        <v>8122</v>
      </c>
      <c r="AF819" s="46">
        <f t="shared" si="173"/>
        <v>8131</v>
      </c>
      <c r="AG819" s="33" t="e">
        <f>IFERROR(AVERAGEIFS(data_brute!M:M,data_brute!J:J,"&gt;="&amp;AE819,data_brute!J:J,"&lt;="&amp;AF819),NA())</f>
        <v>#N/A</v>
      </c>
      <c r="AH819" s="46" t="e">
        <f t="shared" si="174"/>
        <v>#N/A</v>
      </c>
      <c r="AJ819" s="46">
        <f t="shared" si="180"/>
        <v>8122</v>
      </c>
      <c r="AK819" s="46">
        <f t="shared" si="181"/>
        <v>8131</v>
      </c>
      <c r="AL819" s="33">
        <f ca="1">IFERROR(AVERAGEIFS(data_brute!M:M,data_brute!J:J,"&lt;="&amp;AK819),NA())</f>
        <v>25.353524229074896</v>
      </c>
      <c r="AM819" s="46">
        <f t="shared" ca="1" si="182"/>
        <v>8130</v>
      </c>
      <c r="AN819" s="46" t="b">
        <f t="shared" si="183"/>
        <v>0</v>
      </c>
      <c r="AO819" s="50" t="b">
        <f t="shared" si="184"/>
        <v>0</v>
      </c>
    </row>
    <row r="820" spans="21:41" x14ac:dyDescent="0.2">
      <c r="U820" s="46">
        <f t="shared" si="175"/>
        <v>8132</v>
      </c>
      <c r="V820" s="46">
        <f t="shared" si="176"/>
        <v>8141</v>
      </c>
      <c r="W820" s="33" t="e">
        <f>IFERROR(AVERAGEIFS(data_brute!M:M,data_brute!J:J,"&lt;="&amp;V820,data_brute!J:J,"&gt;="&amp;U820),NA())</f>
        <v>#N/A</v>
      </c>
      <c r="X820" s="46" t="e">
        <f t="shared" si="177"/>
        <v>#N/A</v>
      </c>
      <c r="Y820" s="2" t="b">
        <f t="shared" si="178"/>
        <v>0</v>
      </c>
      <c r="Z820" s="2" t="b">
        <f t="shared" si="179"/>
        <v>0</v>
      </c>
      <c r="AE820" s="46">
        <f t="shared" si="172"/>
        <v>8132</v>
      </c>
      <c r="AF820" s="46">
        <f t="shared" si="173"/>
        <v>8141</v>
      </c>
      <c r="AG820" s="33" t="e">
        <f>IFERROR(AVERAGEIFS(data_brute!M:M,data_brute!J:J,"&gt;="&amp;AE820,data_brute!J:J,"&lt;="&amp;AF820),NA())</f>
        <v>#N/A</v>
      </c>
      <c r="AH820" s="46" t="e">
        <f t="shared" si="174"/>
        <v>#N/A</v>
      </c>
      <c r="AJ820" s="46">
        <f t="shared" si="180"/>
        <v>8132</v>
      </c>
      <c r="AK820" s="46">
        <f t="shared" si="181"/>
        <v>8141</v>
      </c>
      <c r="AL820" s="33">
        <f ca="1">IFERROR(AVERAGEIFS(data_brute!M:M,data_brute!J:J,"&lt;="&amp;AK820),NA())</f>
        <v>25.353524229074896</v>
      </c>
      <c r="AM820" s="46">
        <f t="shared" ca="1" si="182"/>
        <v>8140</v>
      </c>
      <c r="AN820" s="46" t="b">
        <f t="shared" si="183"/>
        <v>0</v>
      </c>
      <c r="AO820" s="50" t="b">
        <f t="shared" si="184"/>
        <v>0</v>
      </c>
    </row>
    <row r="821" spans="21:41" x14ac:dyDescent="0.2">
      <c r="U821" s="46">
        <f t="shared" si="175"/>
        <v>8142</v>
      </c>
      <c r="V821" s="46">
        <f t="shared" si="176"/>
        <v>8151</v>
      </c>
      <c r="W821" s="33" t="e">
        <f>IFERROR(AVERAGEIFS(data_brute!M:M,data_brute!J:J,"&lt;="&amp;V821,data_brute!J:J,"&gt;="&amp;U821),NA())</f>
        <v>#N/A</v>
      </c>
      <c r="X821" s="46" t="e">
        <f t="shared" si="177"/>
        <v>#N/A</v>
      </c>
      <c r="Y821" s="2" t="b">
        <f t="shared" si="178"/>
        <v>0</v>
      </c>
      <c r="Z821" s="2" t="b">
        <f t="shared" si="179"/>
        <v>0</v>
      </c>
      <c r="AE821" s="46">
        <f t="shared" si="172"/>
        <v>8142</v>
      </c>
      <c r="AF821" s="46">
        <f t="shared" si="173"/>
        <v>8151</v>
      </c>
      <c r="AG821" s="33" t="e">
        <f>IFERROR(AVERAGEIFS(data_brute!M:M,data_brute!J:J,"&gt;="&amp;AE821,data_brute!J:J,"&lt;="&amp;AF821),NA())</f>
        <v>#N/A</v>
      </c>
      <c r="AH821" s="46" t="e">
        <f t="shared" si="174"/>
        <v>#N/A</v>
      </c>
      <c r="AJ821" s="46">
        <f t="shared" si="180"/>
        <v>8142</v>
      </c>
      <c r="AK821" s="46">
        <f t="shared" si="181"/>
        <v>8151</v>
      </c>
      <c r="AL821" s="33">
        <f ca="1">IFERROR(AVERAGEIFS(data_brute!M:M,data_brute!J:J,"&lt;="&amp;AK821),NA())</f>
        <v>25.353524229074896</v>
      </c>
      <c r="AM821" s="46">
        <f t="shared" ca="1" si="182"/>
        <v>8150</v>
      </c>
      <c r="AN821" s="46" t="b">
        <f t="shared" si="183"/>
        <v>0</v>
      </c>
      <c r="AO821" s="50" t="b">
        <f t="shared" si="184"/>
        <v>0</v>
      </c>
    </row>
    <row r="822" spans="21:41" x14ac:dyDescent="0.2">
      <c r="U822" s="46">
        <f t="shared" si="175"/>
        <v>8152</v>
      </c>
      <c r="V822" s="46">
        <f t="shared" si="176"/>
        <v>8161</v>
      </c>
      <c r="W822" s="33" t="e">
        <f>IFERROR(AVERAGEIFS(data_brute!M:M,data_brute!J:J,"&lt;="&amp;V822,data_brute!J:J,"&gt;="&amp;U822),NA())</f>
        <v>#N/A</v>
      </c>
      <c r="X822" s="46" t="e">
        <f t="shared" si="177"/>
        <v>#N/A</v>
      </c>
      <c r="Y822" s="2" t="b">
        <f t="shared" si="178"/>
        <v>0</v>
      </c>
      <c r="Z822" s="2" t="b">
        <f t="shared" si="179"/>
        <v>0</v>
      </c>
      <c r="AE822" s="46">
        <f t="shared" si="172"/>
        <v>8152</v>
      </c>
      <c r="AF822" s="46">
        <f t="shared" si="173"/>
        <v>8161</v>
      </c>
      <c r="AG822" s="33" t="e">
        <f>IFERROR(AVERAGEIFS(data_brute!M:M,data_brute!J:J,"&gt;="&amp;AE822,data_brute!J:J,"&lt;="&amp;AF822),NA())</f>
        <v>#N/A</v>
      </c>
      <c r="AH822" s="46" t="e">
        <f t="shared" si="174"/>
        <v>#N/A</v>
      </c>
      <c r="AJ822" s="46">
        <f t="shared" si="180"/>
        <v>8152</v>
      </c>
      <c r="AK822" s="46">
        <f t="shared" si="181"/>
        <v>8161</v>
      </c>
      <c r="AL822" s="33">
        <f ca="1">IFERROR(AVERAGEIFS(data_brute!M:M,data_brute!J:J,"&lt;="&amp;AK822),NA())</f>
        <v>25.353524229074896</v>
      </c>
      <c r="AM822" s="46">
        <f t="shared" ca="1" si="182"/>
        <v>8160</v>
      </c>
      <c r="AN822" s="46" t="b">
        <f t="shared" si="183"/>
        <v>0</v>
      </c>
      <c r="AO822" s="50" t="b">
        <f t="shared" si="184"/>
        <v>0</v>
      </c>
    </row>
    <row r="823" spans="21:41" x14ac:dyDescent="0.2">
      <c r="U823" s="46">
        <f t="shared" si="175"/>
        <v>8162</v>
      </c>
      <c r="V823" s="46">
        <f t="shared" si="176"/>
        <v>8171</v>
      </c>
      <c r="W823" s="33" t="e">
        <f>IFERROR(AVERAGEIFS(data_brute!M:M,data_brute!J:J,"&lt;="&amp;V823,data_brute!J:J,"&gt;="&amp;U823),NA())</f>
        <v>#N/A</v>
      </c>
      <c r="X823" s="46" t="e">
        <f t="shared" si="177"/>
        <v>#N/A</v>
      </c>
      <c r="Y823" s="2" t="b">
        <f t="shared" si="178"/>
        <v>0</v>
      </c>
      <c r="Z823" s="2" t="b">
        <f t="shared" si="179"/>
        <v>0</v>
      </c>
      <c r="AE823" s="46">
        <f t="shared" si="172"/>
        <v>8162</v>
      </c>
      <c r="AF823" s="46">
        <f t="shared" si="173"/>
        <v>8171</v>
      </c>
      <c r="AG823" s="33" t="e">
        <f>IFERROR(AVERAGEIFS(data_brute!M:M,data_brute!J:J,"&gt;="&amp;AE823,data_brute!J:J,"&lt;="&amp;AF823),NA())</f>
        <v>#N/A</v>
      </c>
      <c r="AH823" s="46" t="e">
        <f t="shared" si="174"/>
        <v>#N/A</v>
      </c>
      <c r="AJ823" s="46">
        <f t="shared" si="180"/>
        <v>8162</v>
      </c>
      <c r="AK823" s="46">
        <f t="shared" si="181"/>
        <v>8171</v>
      </c>
      <c r="AL823" s="33">
        <f ca="1">IFERROR(AVERAGEIFS(data_brute!M:M,data_brute!J:J,"&lt;="&amp;AK823),NA())</f>
        <v>25.353524229074896</v>
      </c>
      <c r="AM823" s="46">
        <f t="shared" ca="1" si="182"/>
        <v>8170</v>
      </c>
      <c r="AN823" s="46" t="b">
        <f t="shared" si="183"/>
        <v>0</v>
      </c>
      <c r="AO823" s="50" t="b">
        <f t="shared" si="184"/>
        <v>0</v>
      </c>
    </row>
    <row r="824" spans="21:41" x14ac:dyDescent="0.2">
      <c r="U824" s="46">
        <f t="shared" si="175"/>
        <v>8172</v>
      </c>
      <c r="V824" s="46">
        <f t="shared" si="176"/>
        <v>8181</v>
      </c>
      <c r="W824" s="33" t="e">
        <f>IFERROR(AVERAGEIFS(data_brute!M:M,data_brute!J:J,"&lt;="&amp;V824,data_brute!J:J,"&gt;="&amp;U824),NA())</f>
        <v>#N/A</v>
      </c>
      <c r="X824" s="46" t="e">
        <f t="shared" si="177"/>
        <v>#N/A</v>
      </c>
      <c r="Y824" s="2" t="b">
        <f t="shared" si="178"/>
        <v>0</v>
      </c>
      <c r="Z824" s="2" t="b">
        <f t="shared" si="179"/>
        <v>0</v>
      </c>
      <c r="AE824" s="46">
        <f t="shared" si="172"/>
        <v>8172</v>
      </c>
      <c r="AF824" s="46">
        <f t="shared" si="173"/>
        <v>8181</v>
      </c>
      <c r="AG824" s="33" t="e">
        <f>IFERROR(AVERAGEIFS(data_brute!M:M,data_brute!J:J,"&gt;="&amp;AE824,data_brute!J:J,"&lt;="&amp;AF824),NA())</f>
        <v>#N/A</v>
      </c>
      <c r="AH824" s="46" t="e">
        <f t="shared" si="174"/>
        <v>#N/A</v>
      </c>
      <c r="AJ824" s="46">
        <f t="shared" si="180"/>
        <v>8172</v>
      </c>
      <c r="AK824" s="46">
        <f t="shared" si="181"/>
        <v>8181</v>
      </c>
      <c r="AL824" s="33">
        <f ca="1">IFERROR(AVERAGEIFS(data_brute!M:M,data_brute!J:J,"&lt;="&amp;AK824),NA())</f>
        <v>25.353524229074896</v>
      </c>
      <c r="AM824" s="46">
        <f t="shared" ca="1" si="182"/>
        <v>8180</v>
      </c>
      <c r="AN824" s="46" t="b">
        <f t="shared" si="183"/>
        <v>0</v>
      </c>
      <c r="AO824" s="50" t="b">
        <f t="shared" si="184"/>
        <v>0</v>
      </c>
    </row>
    <row r="825" spans="21:41" x14ac:dyDescent="0.2">
      <c r="U825" s="46">
        <f t="shared" si="175"/>
        <v>8182</v>
      </c>
      <c r="V825" s="46">
        <f t="shared" si="176"/>
        <v>8191</v>
      </c>
      <c r="W825" s="33" t="e">
        <f>IFERROR(AVERAGEIFS(data_brute!M:M,data_brute!J:J,"&lt;="&amp;V825,data_brute!J:J,"&gt;="&amp;U825),NA())</f>
        <v>#N/A</v>
      </c>
      <c r="X825" s="46" t="e">
        <f t="shared" si="177"/>
        <v>#N/A</v>
      </c>
      <c r="Y825" s="2" t="b">
        <f t="shared" si="178"/>
        <v>0</v>
      </c>
      <c r="Z825" s="2" t="b">
        <f t="shared" si="179"/>
        <v>0</v>
      </c>
      <c r="AE825" s="46">
        <f t="shared" si="172"/>
        <v>8182</v>
      </c>
      <c r="AF825" s="46">
        <f t="shared" si="173"/>
        <v>8191</v>
      </c>
      <c r="AG825" s="33" t="e">
        <f>IFERROR(AVERAGEIFS(data_brute!M:M,data_brute!J:J,"&gt;="&amp;AE825,data_brute!J:J,"&lt;="&amp;AF825),NA())</f>
        <v>#N/A</v>
      </c>
      <c r="AH825" s="46" t="e">
        <f t="shared" si="174"/>
        <v>#N/A</v>
      </c>
      <c r="AJ825" s="46">
        <f t="shared" si="180"/>
        <v>8182</v>
      </c>
      <c r="AK825" s="46">
        <f t="shared" si="181"/>
        <v>8191</v>
      </c>
      <c r="AL825" s="33">
        <f ca="1">IFERROR(AVERAGEIFS(data_brute!M:M,data_brute!J:J,"&lt;="&amp;AK825),NA())</f>
        <v>25.353524229074896</v>
      </c>
      <c r="AM825" s="46">
        <f t="shared" ca="1" si="182"/>
        <v>8190</v>
      </c>
      <c r="AN825" s="46" t="b">
        <f t="shared" si="183"/>
        <v>0</v>
      </c>
      <c r="AO825" s="50" t="b">
        <f t="shared" si="184"/>
        <v>0</v>
      </c>
    </row>
    <row r="826" spans="21:41" x14ac:dyDescent="0.2">
      <c r="U826" s="46">
        <f t="shared" si="175"/>
        <v>8192</v>
      </c>
      <c r="V826" s="46">
        <f t="shared" si="176"/>
        <v>8201</v>
      </c>
      <c r="W826" s="33" t="e">
        <f>IFERROR(AVERAGEIFS(data_brute!M:M,data_brute!J:J,"&lt;="&amp;V826,data_brute!J:J,"&gt;="&amp;U826),NA())</f>
        <v>#N/A</v>
      </c>
      <c r="X826" s="46" t="e">
        <f t="shared" si="177"/>
        <v>#N/A</v>
      </c>
      <c r="Y826" s="2" t="b">
        <f t="shared" si="178"/>
        <v>0</v>
      </c>
      <c r="Z826" s="2" t="b">
        <f t="shared" si="179"/>
        <v>0</v>
      </c>
      <c r="AE826" s="46">
        <f t="shared" si="172"/>
        <v>8192</v>
      </c>
      <c r="AF826" s="46">
        <f t="shared" si="173"/>
        <v>8201</v>
      </c>
      <c r="AG826" s="33" t="e">
        <f>IFERROR(AVERAGEIFS(data_brute!M:M,data_brute!J:J,"&gt;="&amp;AE826,data_brute!J:J,"&lt;="&amp;AF826),NA())</f>
        <v>#N/A</v>
      </c>
      <c r="AH826" s="46" t="e">
        <f t="shared" si="174"/>
        <v>#N/A</v>
      </c>
      <c r="AJ826" s="46">
        <f t="shared" si="180"/>
        <v>8192</v>
      </c>
      <c r="AK826" s="46">
        <f t="shared" si="181"/>
        <v>8201</v>
      </c>
      <c r="AL826" s="33">
        <f ca="1">IFERROR(AVERAGEIFS(data_brute!M:M,data_brute!J:J,"&lt;="&amp;AK826),NA())</f>
        <v>25.353524229074896</v>
      </c>
      <c r="AM826" s="46">
        <f t="shared" ca="1" si="182"/>
        <v>8200</v>
      </c>
      <c r="AN826" s="46" t="b">
        <f t="shared" si="183"/>
        <v>0</v>
      </c>
      <c r="AO826" s="50" t="b">
        <f t="shared" si="184"/>
        <v>0</v>
      </c>
    </row>
    <row r="827" spans="21:41" x14ac:dyDescent="0.2">
      <c r="U827" s="46">
        <f t="shared" si="175"/>
        <v>8202</v>
      </c>
      <c r="V827" s="46">
        <f t="shared" si="176"/>
        <v>8211</v>
      </c>
      <c r="W827" s="33" t="e">
        <f>IFERROR(AVERAGEIFS(data_brute!M:M,data_brute!J:J,"&lt;="&amp;V827,data_brute!J:J,"&gt;="&amp;U827),NA())</f>
        <v>#N/A</v>
      </c>
      <c r="X827" s="46" t="e">
        <f t="shared" si="177"/>
        <v>#N/A</v>
      </c>
      <c r="Y827" s="2" t="b">
        <f t="shared" si="178"/>
        <v>0</v>
      </c>
      <c r="Z827" s="2" t="b">
        <f t="shared" si="179"/>
        <v>0</v>
      </c>
      <c r="AE827" s="46">
        <f t="shared" si="172"/>
        <v>8202</v>
      </c>
      <c r="AF827" s="46">
        <f t="shared" si="173"/>
        <v>8211</v>
      </c>
      <c r="AG827" s="33" t="e">
        <f>IFERROR(AVERAGEIFS(data_brute!M:M,data_brute!J:J,"&gt;="&amp;AE827,data_brute!J:J,"&lt;="&amp;AF827),NA())</f>
        <v>#N/A</v>
      </c>
      <c r="AH827" s="46" t="e">
        <f t="shared" si="174"/>
        <v>#N/A</v>
      </c>
      <c r="AJ827" s="46">
        <f t="shared" si="180"/>
        <v>8202</v>
      </c>
      <c r="AK827" s="46">
        <f t="shared" si="181"/>
        <v>8211</v>
      </c>
      <c r="AL827" s="33">
        <f ca="1">IFERROR(AVERAGEIFS(data_brute!M:M,data_brute!J:J,"&lt;="&amp;AK827),NA())</f>
        <v>25.353524229074896</v>
      </c>
      <c r="AM827" s="46">
        <f t="shared" ca="1" si="182"/>
        <v>8210</v>
      </c>
      <c r="AN827" s="46" t="b">
        <f t="shared" si="183"/>
        <v>0</v>
      </c>
      <c r="AO827" s="50" t="b">
        <f t="shared" si="184"/>
        <v>0</v>
      </c>
    </row>
    <row r="828" spans="21:41" x14ac:dyDescent="0.2">
      <c r="U828" s="46">
        <f t="shared" si="175"/>
        <v>8212</v>
      </c>
      <c r="V828" s="46">
        <f t="shared" si="176"/>
        <v>8221</v>
      </c>
      <c r="W828" s="33" t="e">
        <f>IFERROR(AVERAGEIFS(data_brute!M:M,data_brute!J:J,"&lt;="&amp;V828,data_brute!J:J,"&gt;="&amp;U828),NA())</f>
        <v>#N/A</v>
      </c>
      <c r="X828" s="46" t="e">
        <f t="shared" si="177"/>
        <v>#N/A</v>
      </c>
      <c r="Y828" s="2" t="b">
        <f t="shared" si="178"/>
        <v>0</v>
      </c>
      <c r="Z828" s="2" t="b">
        <f t="shared" si="179"/>
        <v>0</v>
      </c>
      <c r="AE828" s="46">
        <f t="shared" si="172"/>
        <v>8212</v>
      </c>
      <c r="AF828" s="46">
        <f t="shared" si="173"/>
        <v>8221</v>
      </c>
      <c r="AG828" s="33" t="e">
        <f>IFERROR(AVERAGEIFS(data_brute!M:M,data_brute!J:J,"&gt;="&amp;AE828,data_brute!J:J,"&lt;="&amp;AF828),NA())</f>
        <v>#N/A</v>
      </c>
      <c r="AH828" s="46" t="e">
        <f t="shared" si="174"/>
        <v>#N/A</v>
      </c>
      <c r="AJ828" s="46">
        <f t="shared" si="180"/>
        <v>8212</v>
      </c>
      <c r="AK828" s="46">
        <f t="shared" si="181"/>
        <v>8221</v>
      </c>
      <c r="AL828" s="33">
        <f ca="1">IFERROR(AVERAGEIFS(data_brute!M:M,data_brute!J:J,"&lt;="&amp;AK828),NA())</f>
        <v>25.353524229074896</v>
      </c>
      <c r="AM828" s="46">
        <f t="shared" ca="1" si="182"/>
        <v>8220</v>
      </c>
      <c r="AN828" s="46" t="b">
        <f t="shared" si="183"/>
        <v>0</v>
      </c>
      <c r="AO828" s="50" t="b">
        <f t="shared" si="184"/>
        <v>0</v>
      </c>
    </row>
    <row r="829" spans="21:41" x14ac:dyDescent="0.2">
      <c r="U829" s="46">
        <f t="shared" si="175"/>
        <v>8222</v>
      </c>
      <c r="V829" s="46">
        <f t="shared" si="176"/>
        <v>8231</v>
      </c>
      <c r="W829" s="33" t="e">
        <f>IFERROR(AVERAGEIFS(data_brute!M:M,data_brute!J:J,"&lt;="&amp;V829,data_brute!J:J,"&gt;="&amp;U829),NA())</f>
        <v>#N/A</v>
      </c>
      <c r="X829" s="46" t="e">
        <f t="shared" si="177"/>
        <v>#N/A</v>
      </c>
      <c r="Y829" s="2" t="b">
        <f t="shared" si="178"/>
        <v>0</v>
      </c>
      <c r="Z829" s="2" t="b">
        <f t="shared" si="179"/>
        <v>0</v>
      </c>
      <c r="AE829" s="46">
        <f t="shared" si="172"/>
        <v>8222</v>
      </c>
      <c r="AF829" s="46">
        <f t="shared" si="173"/>
        <v>8231</v>
      </c>
      <c r="AG829" s="33" t="e">
        <f>IFERROR(AVERAGEIFS(data_brute!M:M,data_brute!J:J,"&gt;="&amp;AE829,data_brute!J:J,"&lt;="&amp;AF829),NA())</f>
        <v>#N/A</v>
      </c>
      <c r="AH829" s="46" t="e">
        <f t="shared" si="174"/>
        <v>#N/A</v>
      </c>
      <c r="AJ829" s="46">
        <f t="shared" si="180"/>
        <v>8222</v>
      </c>
      <c r="AK829" s="46">
        <f t="shared" si="181"/>
        <v>8231</v>
      </c>
      <c r="AL829" s="33">
        <f ca="1">IFERROR(AVERAGEIFS(data_brute!M:M,data_brute!J:J,"&lt;="&amp;AK829),NA())</f>
        <v>25.353524229074896</v>
      </c>
      <c r="AM829" s="46">
        <f t="shared" ca="1" si="182"/>
        <v>8230</v>
      </c>
      <c r="AN829" s="46" t="b">
        <f t="shared" si="183"/>
        <v>0</v>
      </c>
      <c r="AO829" s="50" t="b">
        <f t="shared" si="184"/>
        <v>0</v>
      </c>
    </row>
    <row r="830" spans="21:41" x14ac:dyDescent="0.2">
      <c r="U830" s="46">
        <f t="shared" si="175"/>
        <v>8232</v>
      </c>
      <c r="V830" s="46">
        <f t="shared" si="176"/>
        <v>8241</v>
      </c>
      <c r="W830" s="33" t="e">
        <f>IFERROR(AVERAGEIFS(data_brute!M:M,data_brute!J:J,"&lt;="&amp;V830,data_brute!J:J,"&gt;="&amp;U830),NA())</f>
        <v>#N/A</v>
      </c>
      <c r="X830" s="46" t="e">
        <f t="shared" si="177"/>
        <v>#N/A</v>
      </c>
      <c r="Y830" s="2" t="b">
        <f t="shared" si="178"/>
        <v>0</v>
      </c>
      <c r="Z830" s="2" t="b">
        <f t="shared" si="179"/>
        <v>0</v>
      </c>
      <c r="AE830" s="46">
        <f t="shared" si="172"/>
        <v>8232</v>
      </c>
      <c r="AF830" s="46">
        <f t="shared" si="173"/>
        <v>8241</v>
      </c>
      <c r="AG830" s="33" t="e">
        <f>IFERROR(AVERAGEIFS(data_brute!M:M,data_brute!J:J,"&gt;="&amp;AE830,data_brute!J:J,"&lt;="&amp;AF830),NA())</f>
        <v>#N/A</v>
      </c>
      <c r="AH830" s="46" t="e">
        <f t="shared" si="174"/>
        <v>#N/A</v>
      </c>
      <c r="AJ830" s="46">
        <f t="shared" si="180"/>
        <v>8232</v>
      </c>
      <c r="AK830" s="46">
        <f t="shared" si="181"/>
        <v>8241</v>
      </c>
      <c r="AL830" s="33">
        <f ca="1">IFERROR(AVERAGEIFS(data_brute!M:M,data_brute!J:J,"&lt;="&amp;AK830),NA())</f>
        <v>25.353524229074896</v>
      </c>
      <c r="AM830" s="46">
        <f t="shared" ca="1" si="182"/>
        <v>8240</v>
      </c>
      <c r="AN830" s="46" t="b">
        <f t="shared" si="183"/>
        <v>0</v>
      </c>
      <c r="AO830" s="50" t="b">
        <f t="shared" si="184"/>
        <v>0</v>
      </c>
    </row>
    <row r="831" spans="21:41" x14ac:dyDescent="0.2">
      <c r="U831" s="46">
        <f t="shared" si="175"/>
        <v>8242</v>
      </c>
      <c r="V831" s="46">
        <f t="shared" si="176"/>
        <v>8251</v>
      </c>
      <c r="W831" s="33" t="e">
        <f>IFERROR(AVERAGEIFS(data_brute!M:M,data_brute!J:J,"&lt;="&amp;V831,data_brute!J:J,"&gt;="&amp;U831),NA())</f>
        <v>#N/A</v>
      </c>
      <c r="X831" s="46" t="e">
        <f t="shared" si="177"/>
        <v>#N/A</v>
      </c>
      <c r="Y831" s="2" t="b">
        <f t="shared" si="178"/>
        <v>0</v>
      </c>
      <c r="Z831" s="2" t="b">
        <f t="shared" si="179"/>
        <v>0</v>
      </c>
      <c r="AE831" s="46">
        <f t="shared" si="172"/>
        <v>8242</v>
      </c>
      <c r="AF831" s="46">
        <f t="shared" si="173"/>
        <v>8251</v>
      </c>
      <c r="AG831" s="33" t="e">
        <f>IFERROR(AVERAGEIFS(data_brute!M:M,data_brute!J:J,"&gt;="&amp;AE831,data_brute!J:J,"&lt;="&amp;AF831),NA())</f>
        <v>#N/A</v>
      </c>
      <c r="AH831" s="46" t="e">
        <f t="shared" si="174"/>
        <v>#N/A</v>
      </c>
      <c r="AJ831" s="46">
        <f t="shared" si="180"/>
        <v>8242</v>
      </c>
      <c r="AK831" s="46">
        <f t="shared" si="181"/>
        <v>8251</v>
      </c>
      <c r="AL831" s="33">
        <f ca="1">IFERROR(AVERAGEIFS(data_brute!M:M,data_brute!J:J,"&lt;="&amp;AK831),NA())</f>
        <v>25.353524229074896</v>
      </c>
      <c r="AM831" s="46">
        <f t="shared" ca="1" si="182"/>
        <v>8250</v>
      </c>
      <c r="AN831" s="46" t="b">
        <f t="shared" si="183"/>
        <v>0</v>
      </c>
      <c r="AO831" s="50" t="b">
        <f t="shared" si="184"/>
        <v>0</v>
      </c>
    </row>
    <row r="832" spans="21:41" x14ac:dyDescent="0.2">
      <c r="U832" s="46">
        <f t="shared" si="175"/>
        <v>8252</v>
      </c>
      <c r="V832" s="46">
        <f t="shared" si="176"/>
        <v>8261</v>
      </c>
      <c r="W832" s="33" t="e">
        <f>IFERROR(AVERAGEIFS(data_brute!M:M,data_brute!J:J,"&lt;="&amp;V832,data_brute!J:J,"&gt;="&amp;U832),NA())</f>
        <v>#N/A</v>
      </c>
      <c r="X832" s="46" t="e">
        <f t="shared" si="177"/>
        <v>#N/A</v>
      </c>
      <c r="Y832" s="2" t="b">
        <f t="shared" si="178"/>
        <v>0</v>
      </c>
      <c r="Z832" s="2" t="b">
        <f t="shared" si="179"/>
        <v>0</v>
      </c>
      <c r="AE832" s="46">
        <f t="shared" si="172"/>
        <v>8252</v>
      </c>
      <c r="AF832" s="46">
        <f t="shared" si="173"/>
        <v>8261</v>
      </c>
      <c r="AG832" s="33" t="e">
        <f>IFERROR(AVERAGEIFS(data_brute!M:M,data_brute!J:J,"&gt;="&amp;AE832,data_brute!J:J,"&lt;="&amp;AF832),NA())</f>
        <v>#N/A</v>
      </c>
      <c r="AH832" s="46" t="e">
        <f t="shared" si="174"/>
        <v>#N/A</v>
      </c>
      <c r="AJ832" s="46">
        <f t="shared" si="180"/>
        <v>8252</v>
      </c>
      <c r="AK832" s="46">
        <f t="shared" si="181"/>
        <v>8261</v>
      </c>
      <c r="AL832" s="33">
        <f ca="1">IFERROR(AVERAGEIFS(data_brute!M:M,data_brute!J:J,"&lt;="&amp;AK832),NA())</f>
        <v>25.353524229074896</v>
      </c>
      <c r="AM832" s="46">
        <f t="shared" ca="1" si="182"/>
        <v>8260</v>
      </c>
      <c r="AN832" s="46" t="b">
        <f t="shared" si="183"/>
        <v>0</v>
      </c>
      <c r="AO832" s="50" t="b">
        <f t="shared" si="184"/>
        <v>0</v>
      </c>
    </row>
    <row r="833" spans="21:41" x14ac:dyDescent="0.2">
      <c r="U833" s="46">
        <f t="shared" si="175"/>
        <v>8262</v>
      </c>
      <c r="V833" s="46">
        <f t="shared" si="176"/>
        <v>8271</v>
      </c>
      <c r="W833" s="33" t="e">
        <f>IFERROR(AVERAGEIFS(data_brute!M:M,data_brute!J:J,"&lt;="&amp;V833,data_brute!J:J,"&gt;="&amp;U833),NA())</f>
        <v>#N/A</v>
      </c>
      <c r="X833" s="46" t="e">
        <f t="shared" si="177"/>
        <v>#N/A</v>
      </c>
      <c r="Y833" s="2" t="b">
        <f t="shared" si="178"/>
        <v>0</v>
      </c>
      <c r="Z833" s="2" t="b">
        <f t="shared" si="179"/>
        <v>0</v>
      </c>
      <c r="AE833" s="46">
        <f t="shared" si="172"/>
        <v>8262</v>
      </c>
      <c r="AF833" s="46">
        <f t="shared" si="173"/>
        <v>8271</v>
      </c>
      <c r="AG833" s="33" t="e">
        <f>IFERROR(AVERAGEIFS(data_brute!M:M,data_brute!J:J,"&gt;="&amp;AE833,data_brute!J:J,"&lt;="&amp;AF833),NA())</f>
        <v>#N/A</v>
      </c>
      <c r="AH833" s="46" t="e">
        <f t="shared" si="174"/>
        <v>#N/A</v>
      </c>
      <c r="AJ833" s="46">
        <f t="shared" si="180"/>
        <v>8262</v>
      </c>
      <c r="AK833" s="46">
        <f t="shared" si="181"/>
        <v>8271</v>
      </c>
      <c r="AL833" s="33">
        <f ca="1">IFERROR(AVERAGEIFS(data_brute!M:M,data_brute!J:J,"&lt;="&amp;AK833),NA())</f>
        <v>25.353524229074896</v>
      </c>
      <c r="AM833" s="46">
        <f t="shared" ca="1" si="182"/>
        <v>8270</v>
      </c>
      <c r="AN833" s="46" t="b">
        <f t="shared" si="183"/>
        <v>0</v>
      </c>
      <c r="AO833" s="50" t="b">
        <f t="shared" si="184"/>
        <v>0</v>
      </c>
    </row>
    <row r="834" spans="21:41" x14ac:dyDescent="0.2">
      <c r="U834" s="46">
        <f t="shared" si="175"/>
        <v>8272</v>
      </c>
      <c r="V834" s="46">
        <f t="shared" si="176"/>
        <v>8281</v>
      </c>
      <c r="W834" s="33" t="e">
        <f>IFERROR(AVERAGEIFS(data_brute!M:M,data_brute!J:J,"&lt;="&amp;V834,data_brute!J:J,"&gt;="&amp;U834),NA())</f>
        <v>#N/A</v>
      </c>
      <c r="X834" s="46" t="e">
        <f t="shared" si="177"/>
        <v>#N/A</v>
      </c>
      <c r="Y834" s="2" t="b">
        <f t="shared" si="178"/>
        <v>0</v>
      </c>
      <c r="Z834" s="2" t="b">
        <f t="shared" si="179"/>
        <v>0</v>
      </c>
      <c r="AE834" s="46">
        <f t="shared" si="172"/>
        <v>8272</v>
      </c>
      <c r="AF834" s="46">
        <f t="shared" si="173"/>
        <v>8281</v>
      </c>
      <c r="AG834" s="33" t="e">
        <f>IFERROR(AVERAGEIFS(data_brute!M:M,data_brute!J:J,"&gt;="&amp;AE834,data_brute!J:J,"&lt;="&amp;AF834),NA())</f>
        <v>#N/A</v>
      </c>
      <c r="AH834" s="46" t="e">
        <f t="shared" si="174"/>
        <v>#N/A</v>
      </c>
      <c r="AJ834" s="46">
        <f t="shared" si="180"/>
        <v>8272</v>
      </c>
      <c r="AK834" s="46">
        <f t="shared" si="181"/>
        <v>8281</v>
      </c>
      <c r="AL834" s="33">
        <f ca="1">IFERROR(AVERAGEIFS(data_brute!M:M,data_brute!J:J,"&lt;="&amp;AK834),NA())</f>
        <v>25.353524229074896</v>
      </c>
      <c r="AM834" s="46">
        <f t="shared" ca="1" si="182"/>
        <v>8280</v>
      </c>
      <c r="AN834" s="46" t="b">
        <f t="shared" si="183"/>
        <v>0</v>
      </c>
      <c r="AO834" s="50" t="b">
        <f t="shared" si="184"/>
        <v>0</v>
      </c>
    </row>
    <row r="835" spans="21:41" x14ac:dyDescent="0.2">
      <c r="U835" s="46">
        <f t="shared" si="175"/>
        <v>8282</v>
      </c>
      <c r="V835" s="46">
        <f t="shared" si="176"/>
        <v>8291</v>
      </c>
      <c r="W835" s="33" t="e">
        <f>IFERROR(AVERAGEIFS(data_brute!M:M,data_brute!J:J,"&lt;="&amp;V835,data_brute!J:J,"&gt;="&amp;U835),NA())</f>
        <v>#N/A</v>
      </c>
      <c r="X835" s="46" t="e">
        <f t="shared" si="177"/>
        <v>#N/A</v>
      </c>
      <c r="Y835" s="2" t="b">
        <f t="shared" si="178"/>
        <v>0</v>
      </c>
      <c r="Z835" s="2" t="b">
        <f t="shared" si="179"/>
        <v>0</v>
      </c>
      <c r="AE835" s="46">
        <f t="shared" si="172"/>
        <v>8282</v>
      </c>
      <c r="AF835" s="46">
        <f t="shared" si="173"/>
        <v>8291</v>
      </c>
      <c r="AG835" s="33" t="e">
        <f>IFERROR(AVERAGEIFS(data_brute!M:M,data_brute!J:J,"&gt;="&amp;AE835,data_brute!J:J,"&lt;="&amp;AF835),NA())</f>
        <v>#N/A</v>
      </c>
      <c r="AH835" s="46" t="e">
        <f t="shared" si="174"/>
        <v>#N/A</v>
      </c>
      <c r="AJ835" s="46">
        <f t="shared" si="180"/>
        <v>8282</v>
      </c>
      <c r="AK835" s="46">
        <f t="shared" si="181"/>
        <v>8291</v>
      </c>
      <c r="AL835" s="33">
        <f ca="1">IFERROR(AVERAGEIFS(data_brute!M:M,data_brute!J:J,"&lt;="&amp;AK835),NA())</f>
        <v>25.353524229074896</v>
      </c>
      <c r="AM835" s="46">
        <f t="shared" ca="1" si="182"/>
        <v>8290</v>
      </c>
      <c r="AN835" s="46" t="b">
        <f t="shared" si="183"/>
        <v>0</v>
      </c>
      <c r="AO835" s="50" t="b">
        <f t="shared" si="184"/>
        <v>0</v>
      </c>
    </row>
    <row r="836" spans="21:41" x14ac:dyDescent="0.2">
      <c r="U836" s="46">
        <f t="shared" si="175"/>
        <v>8292</v>
      </c>
      <c r="V836" s="46">
        <f t="shared" si="176"/>
        <v>8301</v>
      </c>
      <c r="W836" s="33" t="e">
        <f>IFERROR(AVERAGEIFS(data_brute!M:M,data_brute!J:J,"&lt;="&amp;V836,data_brute!J:J,"&gt;="&amp;U836),NA())</f>
        <v>#N/A</v>
      </c>
      <c r="X836" s="46" t="e">
        <f t="shared" si="177"/>
        <v>#N/A</v>
      </c>
      <c r="Y836" s="2" t="b">
        <f t="shared" si="178"/>
        <v>0</v>
      </c>
      <c r="Z836" s="2" t="b">
        <f t="shared" si="179"/>
        <v>0</v>
      </c>
      <c r="AE836" s="46">
        <f t="shared" si="172"/>
        <v>8292</v>
      </c>
      <c r="AF836" s="46">
        <f t="shared" si="173"/>
        <v>8301</v>
      </c>
      <c r="AG836" s="33" t="e">
        <f>IFERROR(AVERAGEIFS(data_brute!M:M,data_brute!J:J,"&gt;="&amp;AE836,data_brute!J:J,"&lt;="&amp;AF836),NA())</f>
        <v>#N/A</v>
      </c>
      <c r="AH836" s="46" t="e">
        <f t="shared" si="174"/>
        <v>#N/A</v>
      </c>
      <c r="AJ836" s="46">
        <f t="shared" si="180"/>
        <v>8292</v>
      </c>
      <c r="AK836" s="46">
        <f t="shared" si="181"/>
        <v>8301</v>
      </c>
      <c r="AL836" s="33">
        <f ca="1">IFERROR(AVERAGEIFS(data_brute!M:M,data_brute!J:J,"&lt;="&amp;AK836),NA())</f>
        <v>25.353524229074896</v>
      </c>
      <c r="AM836" s="46">
        <f t="shared" ca="1" si="182"/>
        <v>8300</v>
      </c>
      <c r="AN836" s="46" t="b">
        <f t="shared" si="183"/>
        <v>0</v>
      </c>
      <c r="AO836" s="50" t="b">
        <f t="shared" si="184"/>
        <v>0</v>
      </c>
    </row>
    <row r="837" spans="21:41" x14ac:dyDescent="0.2">
      <c r="U837" s="46">
        <f t="shared" si="175"/>
        <v>8302</v>
      </c>
      <c r="V837" s="46">
        <f t="shared" si="176"/>
        <v>8311</v>
      </c>
      <c r="W837" s="33" t="e">
        <f>IFERROR(AVERAGEIFS(data_brute!M:M,data_brute!J:J,"&lt;="&amp;V837,data_brute!J:J,"&gt;="&amp;U837),NA())</f>
        <v>#N/A</v>
      </c>
      <c r="X837" s="46" t="e">
        <f t="shared" si="177"/>
        <v>#N/A</v>
      </c>
      <c r="Y837" s="2" t="b">
        <f t="shared" si="178"/>
        <v>0</v>
      </c>
      <c r="Z837" s="2" t="b">
        <f t="shared" si="179"/>
        <v>0</v>
      </c>
      <c r="AE837" s="46">
        <f t="shared" si="172"/>
        <v>8302</v>
      </c>
      <c r="AF837" s="46">
        <f t="shared" si="173"/>
        <v>8311</v>
      </c>
      <c r="AG837" s="33" t="e">
        <f>IFERROR(AVERAGEIFS(data_brute!M:M,data_brute!J:J,"&gt;="&amp;AE837,data_brute!J:J,"&lt;="&amp;AF837),NA())</f>
        <v>#N/A</v>
      </c>
      <c r="AH837" s="46" t="e">
        <f t="shared" si="174"/>
        <v>#N/A</v>
      </c>
      <c r="AJ837" s="46">
        <f t="shared" si="180"/>
        <v>8302</v>
      </c>
      <c r="AK837" s="46">
        <f t="shared" si="181"/>
        <v>8311</v>
      </c>
      <c r="AL837" s="33">
        <f ca="1">IFERROR(AVERAGEIFS(data_brute!M:M,data_brute!J:J,"&lt;="&amp;AK837),NA())</f>
        <v>25.353524229074896</v>
      </c>
      <c r="AM837" s="46">
        <f t="shared" ca="1" si="182"/>
        <v>8310</v>
      </c>
      <c r="AN837" s="46" t="b">
        <f t="shared" si="183"/>
        <v>0</v>
      </c>
      <c r="AO837" s="50" t="b">
        <f t="shared" si="184"/>
        <v>0</v>
      </c>
    </row>
    <row r="838" spans="21:41" x14ac:dyDescent="0.2">
      <c r="U838" s="46">
        <f t="shared" si="175"/>
        <v>8312</v>
      </c>
      <c r="V838" s="46">
        <f t="shared" si="176"/>
        <v>8321</v>
      </c>
      <c r="W838" s="33" t="e">
        <f>IFERROR(AVERAGEIFS(data_brute!M:M,data_brute!J:J,"&lt;="&amp;V838,data_brute!J:J,"&gt;="&amp;U838),NA())</f>
        <v>#N/A</v>
      </c>
      <c r="X838" s="46" t="e">
        <f t="shared" si="177"/>
        <v>#N/A</v>
      </c>
      <c r="Y838" s="2" t="b">
        <f t="shared" si="178"/>
        <v>0</v>
      </c>
      <c r="Z838" s="2" t="b">
        <f t="shared" si="179"/>
        <v>0</v>
      </c>
      <c r="AE838" s="46">
        <f t="shared" si="172"/>
        <v>8312</v>
      </c>
      <c r="AF838" s="46">
        <f t="shared" si="173"/>
        <v>8321</v>
      </c>
      <c r="AG838" s="33" t="e">
        <f>IFERROR(AVERAGEIFS(data_brute!M:M,data_brute!J:J,"&gt;="&amp;AE838,data_brute!J:J,"&lt;="&amp;AF838),NA())</f>
        <v>#N/A</v>
      </c>
      <c r="AH838" s="46" t="e">
        <f t="shared" si="174"/>
        <v>#N/A</v>
      </c>
      <c r="AJ838" s="46">
        <f t="shared" si="180"/>
        <v>8312</v>
      </c>
      <c r="AK838" s="46">
        <f t="shared" si="181"/>
        <v>8321</v>
      </c>
      <c r="AL838" s="33">
        <f ca="1">IFERROR(AVERAGEIFS(data_brute!M:M,data_brute!J:J,"&lt;="&amp;AK838),NA())</f>
        <v>25.353524229074896</v>
      </c>
      <c r="AM838" s="46">
        <f t="shared" ca="1" si="182"/>
        <v>8320</v>
      </c>
      <c r="AN838" s="46" t="b">
        <f t="shared" si="183"/>
        <v>0</v>
      </c>
      <c r="AO838" s="50" t="b">
        <f t="shared" si="184"/>
        <v>0</v>
      </c>
    </row>
    <row r="839" spans="21:41" x14ac:dyDescent="0.2">
      <c r="U839" s="46">
        <f t="shared" si="175"/>
        <v>8322</v>
      </c>
      <c r="V839" s="46">
        <f t="shared" si="176"/>
        <v>8331</v>
      </c>
      <c r="W839" s="33" t="e">
        <f>IFERROR(AVERAGEIFS(data_brute!M:M,data_brute!J:J,"&lt;="&amp;V839,data_brute!J:J,"&gt;="&amp;U839),NA())</f>
        <v>#N/A</v>
      </c>
      <c r="X839" s="46" t="e">
        <f t="shared" si="177"/>
        <v>#N/A</v>
      </c>
      <c r="Y839" s="2" t="b">
        <f t="shared" si="178"/>
        <v>0</v>
      </c>
      <c r="Z839" s="2" t="b">
        <f t="shared" si="179"/>
        <v>0</v>
      </c>
      <c r="AE839" s="46">
        <f t="shared" si="172"/>
        <v>8322</v>
      </c>
      <c r="AF839" s="46">
        <f t="shared" si="173"/>
        <v>8331</v>
      </c>
      <c r="AG839" s="33" t="e">
        <f>IFERROR(AVERAGEIFS(data_brute!M:M,data_brute!J:J,"&gt;="&amp;AE839,data_brute!J:J,"&lt;="&amp;AF839),NA())</f>
        <v>#N/A</v>
      </c>
      <c r="AH839" s="46" t="e">
        <f t="shared" si="174"/>
        <v>#N/A</v>
      </c>
      <c r="AJ839" s="46">
        <f t="shared" si="180"/>
        <v>8322</v>
      </c>
      <c r="AK839" s="46">
        <f t="shared" si="181"/>
        <v>8331</v>
      </c>
      <c r="AL839" s="33">
        <f ca="1">IFERROR(AVERAGEIFS(data_brute!M:M,data_brute!J:J,"&lt;="&amp;AK839),NA())</f>
        <v>25.353524229074896</v>
      </c>
      <c r="AM839" s="46">
        <f t="shared" ca="1" si="182"/>
        <v>8330</v>
      </c>
      <c r="AN839" s="46" t="b">
        <f t="shared" si="183"/>
        <v>0</v>
      </c>
      <c r="AO839" s="50" t="b">
        <f t="shared" si="184"/>
        <v>0</v>
      </c>
    </row>
    <row r="840" spans="21:41" x14ac:dyDescent="0.2">
      <c r="U840" s="46">
        <f t="shared" si="175"/>
        <v>8332</v>
      </c>
      <c r="V840" s="46">
        <f t="shared" si="176"/>
        <v>8341</v>
      </c>
      <c r="W840" s="33" t="e">
        <f>IFERROR(AVERAGEIFS(data_brute!M:M,data_brute!J:J,"&lt;="&amp;V840,data_brute!J:J,"&gt;="&amp;U840),NA())</f>
        <v>#N/A</v>
      </c>
      <c r="X840" s="46" t="e">
        <f t="shared" si="177"/>
        <v>#N/A</v>
      </c>
      <c r="Y840" s="2" t="b">
        <f t="shared" si="178"/>
        <v>0</v>
      </c>
      <c r="Z840" s="2" t="b">
        <f t="shared" si="179"/>
        <v>0</v>
      </c>
      <c r="AE840" s="46">
        <f t="shared" si="172"/>
        <v>8332</v>
      </c>
      <c r="AF840" s="46">
        <f t="shared" si="173"/>
        <v>8341</v>
      </c>
      <c r="AG840" s="33" t="e">
        <f>IFERROR(AVERAGEIFS(data_brute!M:M,data_brute!J:J,"&gt;="&amp;AE840,data_brute!J:J,"&lt;="&amp;AF840),NA())</f>
        <v>#N/A</v>
      </c>
      <c r="AH840" s="46" t="e">
        <f t="shared" si="174"/>
        <v>#N/A</v>
      </c>
      <c r="AJ840" s="46">
        <f t="shared" si="180"/>
        <v>8332</v>
      </c>
      <c r="AK840" s="46">
        <f t="shared" si="181"/>
        <v>8341</v>
      </c>
      <c r="AL840" s="33">
        <f ca="1">IFERROR(AVERAGEIFS(data_brute!M:M,data_brute!J:J,"&lt;="&amp;AK840),NA())</f>
        <v>25.353524229074896</v>
      </c>
      <c r="AM840" s="46">
        <f t="shared" ca="1" si="182"/>
        <v>8340</v>
      </c>
      <c r="AN840" s="46" t="b">
        <f t="shared" si="183"/>
        <v>0</v>
      </c>
      <c r="AO840" s="50" t="b">
        <f t="shared" si="184"/>
        <v>0</v>
      </c>
    </row>
    <row r="841" spans="21:41" x14ac:dyDescent="0.2">
      <c r="U841" s="46">
        <f t="shared" si="175"/>
        <v>8342</v>
      </c>
      <c r="V841" s="46">
        <f t="shared" si="176"/>
        <v>8351</v>
      </c>
      <c r="W841" s="33" t="e">
        <f>IFERROR(AVERAGEIFS(data_brute!M:M,data_brute!J:J,"&lt;="&amp;V841,data_brute!J:J,"&gt;="&amp;U841),NA())</f>
        <v>#N/A</v>
      </c>
      <c r="X841" s="46" t="e">
        <f t="shared" si="177"/>
        <v>#N/A</v>
      </c>
      <c r="Y841" s="2" t="b">
        <f t="shared" si="178"/>
        <v>0</v>
      </c>
      <c r="Z841" s="2" t="b">
        <f t="shared" si="179"/>
        <v>0</v>
      </c>
      <c r="AE841" s="46">
        <f t="shared" si="172"/>
        <v>8342</v>
      </c>
      <c r="AF841" s="46">
        <f t="shared" si="173"/>
        <v>8351</v>
      </c>
      <c r="AG841" s="33" t="e">
        <f>IFERROR(AVERAGEIFS(data_brute!M:M,data_brute!J:J,"&gt;="&amp;AE841,data_brute!J:J,"&lt;="&amp;AF841),NA())</f>
        <v>#N/A</v>
      </c>
      <c r="AH841" s="46" t="e">
        <f t="shared" si="174"/>
        <v>#N/A</v>
      </c>
      <c r="AJ841" s="46">
        <f t="shared" si="180"/>
        <v>8342</v>
      </c>
      <c r="AK841" s="46">
        <f t="shared" si="181"/>
        <v>8351</v>
      </c>
      <c r="AL841" s="33">
        <f ca="1">IFERROR(AVERAGEIFS(data_brute!M:M,data_brute!J:J,"&lt;="&amp;AK841),NA())</f>
        <v>25.353524229074896</v>
      </c>
      <c r="AM841" s="46">
        <f t="shared" ca="1" si="182"/>
        <v>8350</v>
      </c>
      <c r="AN841" s="46" t="b">
        <f t="shared" si="183"/>
        <v>0</v>
      </c>
      <c r="AO841" s="50" t="b">
        <f t="shared" si="184"/>
        <v>0</v>
      </c>
    </row>
    <row r="842" spans="21:41" x14ac:dyDescent="0.2">
      <c r="U842" s="46">
        <f t="shared" si="175"/>
        <v>8352</v>
      </c>
      <c r="V842" s="46">
        <f t="shared" si="176"/>
        <v>8361</v>
      </c>
      <c r="W842" s="33" t="e">
        <f>IFERROR(AVERAGEIFS(data_brute!M:M,data_brute!J:J,"&lt;="&amp;V842,data_brute!J:J,"&gt;="&amp;U842),NA())</f>
        <v>#N/A</v>
      </c>
      <c r="X842" s="46" t="e">
        <f t="shared" si="177"/>
        <v>#N/A</v>
      </c>
      <c r="Y842" s="2" t="b">
        <f t="shared" si="178"/>
        <v>0</v>
      </c>
      <c r="Z842" s="2" t="b">
        <f t="shared" si="179"/>
        <v>0</v>
      </c>
      <c r="AE842" s="46">
        <f t="shared" si="172"/>
        <v>8352</v>
      </c>
      <c r="AF842" s="46">
        <f t="shared" si="173"/>
        <v>8361</v>
      </c>
      <c r="AG842" s="33" t="e">
        <f>IFERROR(AVERAGEIFS(data_brute!M:M,data_brute!J:J,"&gt;="&amp;AE842,data_brute!J:J,"&lt;="&amp;AF842),NA())</f>
        <v>#N/A</v>
      </c>
      <c r="AH842" s="46" t="e">
        <f t="shared" si="174"/>
        <v>#N/A</v>
      </c>
      <c r="AJ842" s="46">
        <f t="shared" si="180"/>
        <v>8352</v>
      </c>
      <c r="AK842" s="46">
        <f t="shared" si="181"/>
        <v>8361</v>
      </c>
      <c r="AL842" s="33">
        <f ca="1">IFERROR(AVERAGEIFS(data_brute!M:M,data_brute!J:J,"&lt;="&amp;AK842),NA())</f>
        <v>25.353524229074896</v>
      </c>
      <c r="AM842" s="46">
        <f t="shared" ca="1" si="182"/>
        <v>8360</v>
      </c>
      <c r="AN842" s="46" t="b">
        <f t="shared" si="183"/>
        <v>0</v>
      </c>
      <c r="AO842" s="50" t="b">
        <f t="shared" si="184"/>
        <v>0</v>
      </c>
    </row>
    <row r="843" spans="21:41" x14ac:dyDescent="0.2">
      <c r="U843" s="46">
        <f t="shared" si="175"/>
        <v>8362</v>
      </c>
      <c r="V843" s="46">
        <f t="shared" si="176"/>
        <v>8371</v>
      </c>
      <c r="W843" s="33" t="e">
        <f>IFERROR(AVERAGEIFS(data_brute!M:M,data_brute!J:J,"&lt;="&amp;V843,data_brute!J:J,"&gt;="&amp;U843),NA())</f>
        <v>#N/A</v>
      </c>
      <c r="X843" s="46" t="e">
        <f t="shared" si="177"/>
        <v>#N/A</v>
      </c>
      <c r="Y843" s="2" t="b">
        <f t="shared" si="178"/>
        <v>0</v>
      </c>
      <c r="Z843" s="2" t="b">
        <f t="shared" si="179"/>
        <v>0</v>
      </c>
      <c r="AE843" s="46">
        <f t="shared" si="172"/>
        <v>8362</v>
      </c>
      <c r="AF843" s="46">
        <f t="shared" si="173"/>
        <v>8371</v>
      </c>
      <c r="AG843" s="33" t="e">
        <f>IFERROR(AVERAGEIFS(data_brute!M:M,data_brute!J:J,"&gt;="&amp;AE843,data_brute!J:J,"&lt;="&amp;AF843),NA())</f>
        <v>#N/A</v>
      </c>
      <c r="AH843" s="46" t="e">
        <f t="shared" si="174"/>
        <v>#N/A</v>
      </c>
      <c r="AJ843" s="46">
        <f t="shared" si="180"/>
        <v>8362</v>
      </c>
      <c r="AK843" s="46">
        <f t="shared" si="181"/>
        <v>8371</v>
      </c>
      <c r="AL843" s="33">
        <f ca="1">IFERROR(AVERAGEIFS(data_brute!M:M,data_brute!J:J,"&lt;="&amp;AK843),NA())</f>
        <v>25.353524229074896</v>
      </c>
      <c r="AM843" s="46">
        <f t="shared" ca="1" si="182"/>
        <v>8370</v>
      </c>
      <c r="AN843" s="46" t="b">
        <f t="shared" si="183"/>
        <v>0</v>
      </c>
      <c r="AO843" s="50" t="b">
        <f t="shared" si="184"/>
        <v>0</v>
      </c>
    </row>
    <row r="844" spans="21:41" x14ac:dyDescent="0.2">
      <c r="U844" s="46">
        <f t="shared" si="175"/>
        <v>8372</v>
      </c>
      <c r="V844" s="46">
        <f t="shared" si="176"/>
        <v>8381</v>
      </c>
      <c r="W844" s="33" t="e">
        <f>IFERROR(AVERAGEIFS(data_brute!M:M,data_brute!J:J,"&lt;="&amp;V844,data_brute!J:J,"&gt;="&amp;U844),NA())</f>
        <v>#N/A</v>
      </c>
      <c r="X844" s="46" t="e">
        <f t="shared" si="177"/>
        <v>#N/A</v>
      </c>
      <c r="Y844" s="2" t="b">
        <f t="shared" si="178"/>
        <v>0</v>
      </c>
      <c r="Z844" s="2" t="b">
        <f t="shared" si="179"/>
        <v>0</v>
      </c>
      <c r="AE844" s="46">
        <f t="shared" si="172"/>
        <v>8372</v>
      </c>
      <c r="AF844" s="46">
        <f t="shared" si="173"/>
        <v>8381</v>
      </c>
      <c r="AG844" s="33" t="e">
        <f>IFERROR(AVERAGEIFS(data_brute!M:M,data_brute!J:J,"&gt;="&amp;AE844,data_brute!J:J,"&lt;="&amp;AF844),NA())</f>
        <v>#N/A</v>
      </c>
      <c r="AH844" s="46" t="e">
        <f t="shared" si="174"/>
        <v>#N/A</v>
      </c>
      <c r="AJ844" s="46">
        <f t="shared" si="180"/>
        <v>8372</v>
      </c>
      <c r="AK844" s="46">
        <f t="shared" si="181"/>
        <v>8381</v>
      </c>
      <c r="AL844" s="33">
        <f ca="1">IFERROR(AVERAGEIFS(data_brute!M:M,data_brute!J:J,"&lt;="&amp;AK844),NA())</f>
        <v>25.353524229074896</v>
      </c>
      <c r="AM844" s="46">
        <f t="shared" ca="1" si="182"/>
        <v>8380</v>
      </c>
      <c r="AN844" s="46" t="b">
        <f t="shared" si="183"/>
        <v>0</v>
      </c>
      <c r="AO844" s="50" t="b">
        <f t="shared" si="184"/>
        <v>0</v>
      </c>
    </row>
    <row r="845" spans="21:41" x14ac:dyDescent="0.2">
      <c r="U845" s="46">
        <f t="shared" si="175"/>
        <v>8382</v>
      </c>
      <c r="V845" s="46">
        <f t="shared" si="176"/>
        <v>8391</v>
      </c>
      <c r="W845" s="33" t="e">
        <f>IFERROR(AVERAGEIFS(data_brute!M:M,data_brute!J:J,"&lt;="&amp;V845,data_brute!J:J,"&gt;="&amp;U845),NA())</f>
        <v>#N/A</v>
      </c>
      <c r="X845" s="46" t="e">
        <f t="shared" si="177"/>
        <v>#N/A</v>
      </c>
      <c r="Y845" s="2" t="b">
        <f t="shared" si="178"/>
        <v>0</v>
      </c>
      <c r="Z845" s="2" t="b">
        <f t="shared" si="179"/>
        <v>0</v>
      </c>
      <c r="AE845" s="46">
        <f t="shared" si="172"/>
        <v>8382</v>
      </c>
      <c r="AF845" s="46">
        <f t="shared" si="173"/>
        <v>8391</v>
      </c>
      <c r="AG845" s="33" t="e">
        <f>IFERROR(AVERAGEIFS(data_brute!M:M,data_brute!J:J,"&gt;="&amp;AE845,data_brute!J:J,"&lt;="&amp;AF845),NA())</f>
        <v>#N/A</v>
      </c>
      <c r="AH845" s="46" t="e">
        <f t="shared" si="174"/>
        <v>#N/A</v>
      </c>
      <c r="AJ845" s="46">
        <f t="shared" si="180"/>
        <v>8382</v>
      </c>
      <c r="AK845" s="46">
        <f t="shared" si="181"/>
        <v>8391</v>
      </c>
      <c r="AL845" s="33">
        <f ca="1">IFERROR(AVERAGEIFS(data_brute!M:M,data_brute!J:J,"&lt;="&amp;AK845),NA())</f>
        <v>25.353524229074896</v>
      </c>
      <c r="AM845" s="46">
        <f t="shared" ca="1" si="182"/>
        <v>8390</v>
      </c>
      <c r="AN845" s="46" t="b">
        <f t="shared" si="183"/>
        <v>0</v>
      </c>
      <c r="AO845" s="50" t="b">
        <f t="shared" si="184"/>
        <v>0</v>
      </c>
    </row>
    <row r="846" spans="21:41" x14ac:dyDescent="0.2">
      <c r="U846" s="46">
        <f t="shared" si="175"/>
        <v>8392</v>
      </c>
      <c r="V846" s="46">
        <f t="shared" si="176"/>
        <v>8401</v>
      </c>
      <c r="W846" s="33" t="e">
        <f>IFERROR(AVERAGEIFS(data_brute!M:M,data_brute!J:J,"&lt;="&amp;V846,data_brute!J:J,"&gt;="&amp;U846),NA())</f>
        <v>#N/A</v>
      </c>
      <c r="X846" s="46" t="e">
        <f t="shared" si="177"/>
        <v>#N/A</v>
      </c>
      <c r="Y846" s="2" t="b">
        <f t="shared" si="178"/>
        <v>0</v>
      </c>
      <c r="Z846" s="2" t="b">
        <f t="shared" si="179"/>
        <v>0</v>
      </c>
      <c r="AE846" s="46">
        <f t="shared" si="172"/>
        <v>8392</v>
      </c>
      <c r="AF846" s="46">
        <f t="shared" si="173"/>
        <v>8401</v>
      </c>
      <c r="AG846" s="33" t="e">
        <f>IFERROR(AVERAGEIFS(data_brute!M:M,data_brute!J:J,"&gt;="&amp;AE846,data_brute!J:J,"&lt;="&amp;AF846),NA())</f>
        <v>#N/A</v>
      </c>
      <c r="AH846" s="46" t="e">
        <f t="shared" si="174"/>
        <v>#N/A</v>
      </c>
      <c r="AJ846" s="46">
        <f t="shared" si="180"/>
        <v>8392</v>
      </c>
      <c r="AK846" s="46">
        <f t="shared" si="181"/>
        <v>8401</v>
      </c>
      <c r="AL846" s="33">
        <f ca="1">IFERROR(AVERAGEIFS(data_brute!M:M,data_brute!J:J,"&lt;="&amp;AK846),NA())</f>
        <v>25.353524229074896</v>
      </c>
      <c r="AM846" s="46">
        <f t="shared" ca="1" si="182"/>
        <v>8400</v>
      </c>
      <c r="AN846" s="46" t="b">
        <f t="shared" si="183"/>
        <v>0</v>
      </c>
      <c r="AO846" s="50" t="b">
        <f t="shared" si="184"/>
        <v>0</v>
      </c>
    </row>
    <row r="847" spans="21:41" x14ac:dyDescent="0.2">
      <c r="U847" s="46">
        <f t="shared" si="175"/>
        <v>8402</v>
      </c>
      <c r="V847" s="46">
        <f t="shared" si="176"/>
        <v>8411</v>
      </c>
      <c r="W847" s="33" t="e">
        <f>IFERROR(AVERAGEIFS(data_brute!M:M,data_brute!J:J,"&lt;="&amp;V847,data_brute!J:J,"&gt;="&amp;U847),NA())</f>
        <v>#N/A</v>
      </c>
      <c r="X847" s="46" t="e">
        <f t="shared" si="177"/>
        <v>#N/A</v>
      </c>
      <c r="Y847" s="2" t="b">
        <f t="shared" si="178"/>
        <v>0</v>
      </c>
      <c r="Z847" s="2" t="b">
        <f t="shared" si="179"/>
        <v>0</v>
      </c>
      <c r="AE847" s="46">
        <f t="shared" si="172"/>
        <v>8402</v>
      </c>
      <c r="AF847" s="46">
        <f t="shared" si="173"/>
        <v>8411</v>
      </c>
      <c r="AG847" s="33" t="e">
        <f>IFERROR(AVERAGEIFS(data_brute!M:M,data_brute!J:J,"&gt;="&amp;AE847,data_brute!J:J,"&lt;="&amp;AF847),NA())</f>
        <v>#N/A</v>
      </c>
      <c r="AH847" s="46" t="e">
        <f t="shared" si="174"/>
        <v>#N/A</v>
      </c>
      <c r="AJ847" s="46">
        <f t="shared" si="180"/>
        <v>8402</v>
      </c>
      <c r="AK847" s="46">
        <f t="shared" si="181"/>
        <v>8411</v>
      </c>
      <c r="AL847" s="33">
        <f ca="1">IFERROR(AVERAGEIFS(data_brute!M:M,data_brute!J:J,"&lt;="&amp;AK847),NA())</f>
        <v>25.353524229074896</v>
      </c>
      <c r="AM847" s="46">
        <f t="shared" ca="1" si="182"/>
        <v>8410</v>
      </c>
      <c r="AN847" s="46" t="b">
        <f t="shared" si="183"/>
        <v>0</v>
      </c>
      <c r="AO847" s="50" t="b">
        <f t="shared" si="184"/>
        <v>0</v>
      </c>
    </row>
    <row r="848" spans="21:41" x14ac:dyDescent="0.2">
      <c r="U848" s="46">
        <f t="shared" si="175"/>
        <v>8412</v>
      </c>
      <c r="V848" s="46">
        <f t="shared" si="176"/>
        <v>8421</v>
      </c>
      <c r="W848" s="33" t="e">
        <f>IFERROR(AVERAGEIFS(data_brute!M:M,data_brute!J:J,"&lt;="&amp;V848,data_brute!J:J,"&gt;="&amp;U848),NA())</f>
        <v>#N/A</v>
      </c>
      <c r="X848" s="46" t="e">
        <f t="shared" si="177"/>
        <v>#N/A</v>
      </c>
      <c r="Y848" s="2" t="b">
        <f t="shared" si="178"/>
        <v>0</v>
      </c>
      <c r="Z848" s="2" t="b">
        <f t="shared" si="179"/>
        <v>0</v>
      </c>
      <c r="AE848" s="46">
        <f t="shared" si="172"/>
        <v>8412</v>
      </c>
      <c r="AF848" s="46">
        <f t="shared" si="173"/>
        <v>8421</v>
      </c>
      <c r="AG848" s="33" t="e">
        <f>IFERROR(AVERAGEIFS(data_brute!M:M,data_brute!J:J,"&gt;="&amp;AE848,data_brute!J:J,"&lt;="&amp;AF848),NA())</f>
        <v>#N/A</v>
      </c>
      <c r="AH848" s="46" t="e">
        <f t="shared" si="174"/>
        <v>#N/A</v>
      </c>
      <c r="AJ848" s="46">
        <f t="shared" si="180"/>
        <v>8412</v>
      </c>
      <c r="AK848" s="46">
        <f t="shared" si="181"/>
        <v>8421</v>
      </c>
      <c r="AL848" s="33">
        <f ca="1">IFERROR(AVERAGEIFS(data_brute!M:M,data_brute!J:J,"&lt;="&amp;AK848),NA())</f>
        <v>25.353524229074896</v>
      </c>
      <c r="AM848" s="46">
        <f t="shared" ca="1" si="182"/>
        <v>8420</v>
      </c>
      <c r="AN848" s="46" t="b">
        <f t="shared" si="183"/>
        <v>0</v>
      </c>
      <c r="AO848" s="50" t="b">
        <f t="shared" si="184"/>
        <v>0</v>
      </c>
    </row>
    <row r="849" spans="21:41" x14ac:dyDescent="0.2">
      <c r="U849" s="46">
        <f t="shared" si="175"/>
        <v>8422</v>
      </c>
      <c r="V849" s="46">
        <f t="shared" si="176"/>
        <v>8431</v>
      </c>
      <c r="W849" s="33" t="e">
        <f>IFERROR(AVERAGEIFS(data_brute!M:M,data_brute!J:J,"&lt;="&amp;V849,data_brute!J:J,"&gt;="&amp;U849),NA())</f>
        <v>#N/A</v>
      </c>
      <c r="X849" s="46" t="e">
        <f t="shared" si="177"/>
        <v>#N/A</v>
      </c>
      <c r="Y849" s="2" t="b">
        <f t="shared" si="178"/>
        <v>0</v>
      </c>
      <c r="Z849" s="2" t="b">
        <f t="shared" si="179"/>
        <v>0</v>
      </c>
      <c r="AE849" s="46">
        <f t="shared" si="172"/>
        <v>8422</v>
      </c>
      <c r="AF849" s="46">
        <f t="shared" si="173"/>
        <v>8431</v>
      </c>
      <c r="AG849" s="33" t="e">
        <f>IFERROR(AVERAGEIFS(data_brute!M:M,data_brute!J:J,"&gt;="&amp;AE849,data_brute!J:J,"&lt;="&amp;AF849),NA())</f>
        <v>#N/A</v>
      </c>
      <c r="AH849" s="46" t="e">
        <f t="shared" si="174"/>
        <v>#N/A</v>
      </c>
      <c r="AJ849" s="46">
        <f t="shared" si="180"/>
        <v>8422</v>
      </c>
      <c r="AK849" s="46">
        <f t="shared" si="181"/>
        <v>8431</v>
      </c>
      <c r="AL849" s="33">
        <f ca="1">IFERROR(AVERAGEIFS(data_brute!M:M,data_brute!J:J,"&lt;="&amp;AK849),NA())</f>
        <v>25.353524229074896</v>
      </c>
      <c r="AM849" s="46">
        <f t="shared" ca="1" si="182"/>
        <v>8430</v>
      </c>
      <c r="AN849" s="46" t="b">
        <f t="shared" si="183"/>
        <v>0</v>
      </c>
      <c r="AO849" s="50" t="b">
        <f t="shared" si="184"/>
        <v>0</v>
      </c>
    </row>
    <row r="850" spans="21:41" x14ac:dyDescent="0.2">
      <c r="U850" s="46">
        <f t="shared" si="175"/>
        <v>8432</v>
      </c>
      <c r="V850" s="46">
        <f t="shared" si="176"/>
        <v>8441</v>
      </c>
      <c r="W850" s="33" t="e">
        <f>IFERROR(AVERAGEIFS(data_brute!M:M,data_brute!J:J,"&lt;="&amp;V850,data_brute!J:J,"&gt;="&amp;U850),NA())</f>
        <v>#N/A</v>
      </c>
      <c r="X850" s="46" t="e">
        <f t="shared" si="177"/>
        <v>#N/A</v>
      </c>
      <c r="Y850" s="2" t="b">
        <f t="shared" si="178"/>
        <v>0</v>
      </c>
      <c r="Z850" s="2" t="b">
        <f t="shared" si="179"/>
        <v>0</v>
      </c>
      <c r="AE850" s="46">
        <f t="shared" si="172"/>
        <v>8432</v>
      </c>
      <c r="AF850" s="46">
        <f t="shared" si="173"/>
        <v>8441</v>
      </c>
      <c r="AG850" s="33" t="e">
        <f>IFERROR(AVERAGEIFS(data_brute!M:M,data_brute!J:J,"&gt;="&amp;AE850,data_brute!J:J,"&lt;="&amp;AF850),NA())</f>
        <v>#N/A</v>
      </c>
      <c r="AH850" s="46" t="e">
        <f t="shared" si="174"/>
        <v>#N/A</v>
      </c>
      <c r="AJ850" s="46">
        <f t="shared" si="180"/>
        <v>8432</v>
      </c>
      <c r="AK850" s="46">
        <f t="shared" si="181"/>
        <v>8441</v>
      </c>
      <c r="AL850" s="33">
        <f ca="1">IFERROR(AVERAGEIFS(data_brute!M:M,data_brute!J:J,"&lt;="&amp;AK850),NA())</f>
        <v>25.353524229074896</v>
      </c>
      <c r="AM850" s="46">
        <f t="shared" ca="1" si="182"/>
        <v>8440</v>
      </c>
      <c r="AN850" s="46" t="b">
        <f t="shared" si="183"/>
        <v>0</v>
      </c>
      <c r="AO850" s="50" t="b">
        <f t="shared" si="184"/>
        <v>0</v>
      </c>
    </row>
    <row r="851" spans="21:41" x14ac:dyDescent="0.2">
      <c r="U851" s="46">
        <f t="shared" si="175"/>
        <v>8442</v>
      </c>
      <c r="V851" s="46">
        <f t="shared" si="176"/>
        <v>8451</v>
      </c>
      <c r="W851" s="33" t="e">
        <f>IFERROR(AVERAGEIFS(data_brute!M:M,data_brute!J:J,"&lt;="&amp;V851,data_brute!J:J,"&gt;="&amp;U851),NA())</f>
        <v>#N/A</v>
      </c>
      <c r="X851" s="46" t="e">
        <f t="shared" si="177"/>
        <v>#N/A</v>
      </c>
      <c r="Y851" s="2" t="b">
        <f t="shared" si="178"/>
        <v>0</v>
      </c>
      <c r="Z851" s="2" t="b">
        <f t="shared" si="179"/>
        <v>0</v>
      </c>
      <c r="AE851" s="46">
        <f t="shared" si="172"/>
        <v>8442</v>
      </c>
      <c r="AF851" s="46">
        <f t="shared" si="173"/>
        <v>8451</v>
      </c>
      <c r="AG851" s="33" t="e">
        <f>IFERROR(AVERAGEIFS(data_brute!M:M,data_brute!J:J,"&gt;="&amp;AE851,data_brute!J:J,"&lt;="&amp;AF851),NA())</f>
        <v>#N/A</v>
      </c>
      <c r="AH851" s="46" t="e">
        <f t="shared" si="174"/>
        <v>#N/A</v>
      </c>
      <c r="AJ851" s="46">
        <f t="shared" si="180"/>
        <v>8442</v>
      </c>
      <c r="AK851" s="46">
        <f t="shared" si="181"/>
        <v>8451</v>
      </c>
      <c r="AL851" s="33">
        <f ca="1">IFERROR(AVERAGEIFS(data_brute!M:M,data_brute!J:J,"&lt;="&amp;AK851),NA())</f>
        <v>25.353524229074896</v>
      </c>
      <c r="AM851" s="46">
        <f t="shared" ca="1" si="182"/>
        <v>8450</v>
      </c>
      <c r="AN851" s="46" t="b">
        <f t="shared" si="183"/>
        <v>0</v>
      </c>
      <c r="AO851" s="50" t="b">
        <f t="shared" si="184"/>
        <v>0</v>
      </c>
    </row>
    <row r="852" spans="21:41" x14ac:dyDescent="0.2">
      <c r="U852" s="46">
        <f t="shared" si="175"/>
        <v>8452</v>
      </c>
      <c r="V852" s="46">
        <f t="shared" si="176"/>
        <v>8461</v>
      </c>
      <c r="W852" s="33" t="e">
        <f>IFERROR(AVERAGEIFS(data_brute!M:M,data_brute!J:J,"&lt;="&amp;V852,data_brute!J:J,"&gt;="&amp;U852),NA())</f>
        <v>#N/A</v>
      </c>
      <c r="X852" s="46" t="e">
        <f t="shared" si="177"/>
        <v>#N/A</v>
      </c>
      <c r="Y852" s="2" t="b">
        <f t="shared" si="178"/>
        <v>0</v>
      </c>
      <c r="Z852" s="2" t="b">
        <f t="shared" si="179"/>
        <v>0</v>
      </c>
      <c r="AE852" s="46">
        <f t="shared" si="172"/>
        <v>8452</v>
      </c>
      <c r="AF852" s="46">
        <f t="shared" si="173"/>
        <v>8461</v>
      </c>
      <c r="AG852" s="33" t="e">
        <f>IFERROR(AVERAGEIFS(data_brute!M:M,data_brute!J:J,"&gt;="&amp;AE852,data_brute!J:J,"&lt;="&amp;AF852),NA())</f>
        <v>#N/A</v>
      </c>
      <c r="AH852" s="46" t="e">
        <f t="shared" si="174"/>
        <v>#N/A</v>
      </c>
      <c r="AJ852" s="46">
        <f t="shared" si="180"/>
        <v>8452</v>
      </c>
      <c r="AK852" s="46">
        <f t="shared" si="181"/>
        <v>8461</v>
      </c>
      <c r="AL852" s="33">
        <f ca="1">IFERROR(AVERAGEIFS(data_brute!M:M,data_brute!J:J,"&lt;="&amp;AK852),NA())</f>
        <v>25.353524229074896</v>
      </c>
      <c r="AM852" s="46">
        <f t="shared" ca="1" si="182"/>
        <v>8460</v>
      </c>
      <c r="AN852" s="46" t="b">
        <f t="shared" si="183"/>
        <v>0</v>
      </c>
      <c r="AO852" s="50" t="b">
        <f t="shared" si="184"/>
        <v>0</v>
      </c>
    </row>
    <row r="853" spans="21:41" x14ac:dyDescent="0.2">
      <c r="U853" s="46">
        <f t="shared" si="175"/>
        <v>8462</v>
      </c>
      <c r="V853" s="46">
        <f t="shared" si="176"/>
        <v>8471</v>
      </c>
      <c r="W853" s="33" t="e">
        <f>IFERROR(AVERAGEIFS(data_brute!M:M,data_brute!J:J,"&lt;="&amp;V853,data_brute!J:J,"&gt;="&amp;U853),NA())</f>
        <v>#N/A</v>
      </c>
      <c r="X853" s="46" t="e">
        <f t="shared" si="177"/>
        <v>#N/A</v>
      </c>
      <c r="Y853" s="2" t="b">
        <f t="shared" si="178"/>
        <v>0</v>
      </c>
      <c r="Z853" s="2" t="b">
        <f t="shared" si="179"/>
        <v>0</v>
      </c>
      <c r="AE853" s="46">
        <f t="shared" si="172"/>
        <v>8462</v>
      </c>
      <c r="AF853" s="46">
        <f t="shared" si="173"/>
        <v>8471</v>
      </c>
      <c r="AG853" s="33" t="e">
        <f>IFERROR(AVERAGEIFS(data_brute!M:M,data_brute!J:J,"&gt;="&amp;AE853,data_brute!J:J,"&lt;="&amp;AF853),NA())</f>
        <v>#N/A</v>
      </c>
      <c r="AH853" s="46" t="e">
        <f t="shared" si="174"/>
        <v>#N/A</v>
      </c>
      <c r="AJ853" s="46">
        <f t="shared" si="180"/>
        <v>8462</v>
      </c>
      <c r="AK853" s="46">
        <f t="shared" si="181"/>
        <v>8471</v>
      </c>
      <c r="AL853" s="33">
        <f ca="1">IFERROR(AVERAGEIFS(data_brute!M:M,data_brute!J:J,"&lt;="&amp;AK853),NA())</f>
        <v>25.353524229074896</v>
      </c>
      <c r="AM853" s="46">
        <f t="shared" ca="1" si="182"/>
        <v>8470</v>
      </c>
      <c r="AN853" s="46" t="b">
        <f t="shared" si="183"/>
        <v>0</v>
      </c>
      <c r="AO853" s="50" t="b">
        <f t="shared" si="184"/>
        <v>0</v>
      </c>
    </row>
    <row r="854" spans="21:41" x14ac:dyDescent="0.2">
      <c r="U854" s="46">
        <f t="shared" si="175"/>
        <v>8472</v>
      </c>
      <c r="V854" s="46">
        <f t="shared" si="176"/>
        <v>8481</v>
      </c>
      <c r="W854" s="33" t="e">
        <f>IFERROR(AVERAGEIFS(data_brute!M:M,data_brute!J:J,"&lt;="&amp;V854,data_brute!J:J,"&gt;="&amp;U854),NA())</f>
        <v>#N/A</v>
      </c>
      <c r="X854" s="46" t="e">
        <f t="shared" si="177"/>
        <v>#N/A</v>
      </c>
      <c r="Y854" s="2" t="b">
        <f t="shared" si="178"/>
        <v>0</v>
      </c>
      <c r="Z854" s="2" t="b">
        <f t="shared" si="179"/>
        <v>0</v>
      </c>
      <c r="AE854" s="46">
        <f t="shared" si="172"/>
        <v>8472</v>
      </c>
      <c r="AF854" s="46">
        <f t="shared" si="173"/>
        <v>8481</v>
      </c>
      <c r="AG854" s="33" t="e">
        <f>IFERROR(AVERAGEIFS(data_brute!M:M,data_brute!J:J,"&gt;="&amp;AE854,data_brute!J:J,"&lt;="&amp;AF854),NA())</f>
        <v>#N/A</v>
      </c>
      <c r="AH854" s="46" t="e">
        <f t="shared" si="174"/>
        <v>#N/A</v>
      </c>
      <c r="AJ854" s="46">
        <f t="shared" si="180"/>
        <v>8472</v>
      </c>
      <c r="AK854" s="46">
        <f t="shared" si="181"/>
        <v>8481</v>
      </c>
      <c r="AL854" s="33">
        <f ca="1">IFERROR(AVERAGEIFS(data_brute!M:M,data_brute!J:J,"&lt;="&amp;AK854),NA())</f>
        <v>25.353524229074896</v>
      </c>
      <c r="AM854" s="46">
        <f t="shared" ca="1" si="182"/>
        <v>8480</v>
      </c>
      <c r="AN854" s="46" t="b">
        <f t="shared" si="183"/>
        <v>0</v>
      </c>
      <c r="AO854" s="50" t="b">
        <f t="shared" si="184"/>
        <v>0</v>
      </c>
    </row>
    <row r="855" spans="21:41" x14ac:dyDescent="0.2">
      <c r="U855" s="46">
        <f t="shared" si="175"/>
        <v>8482</v>
      </c>
      <c r="V855" s="46">
        <f t="shared" si="176"/>
        <v>8491</v>
      </c>
      <c r="W855" s="33" t="e">
        <f>IFERROR(AVERAGEIFS(data_brute!M:M,data_brute!J:J,"&lt;="&amp;V855,data_brute!J:J,"&gt;="&amp;U855),NA())</f>
        <v>#N/A</v>
      </c>
      <c r="X855" s="46" t="e">
        <f t="shared" si="177"/>
        <v>#N/A</v>
      </c>
      <c r="Y855" s="2" t="b">
        <f t="shared" si="178"/>
        <v>0</v>
      </c>
      <c r="Z855" s="2" t="b">
        <f t="shared" si="179"/>
        <v>0</v>
      </c>
      <c r="AE855" s="46">
        <f t="shared" si="172"/>
        <v>8482</v>
      </c>
      <c r="AF855" s="46">
        <f t="shared" si="173"/>
        <v>8491</v>
      </c>
      <c r="AG855" s="33" t="e">
        <f>IFERROR(AVERAGEIFS(data_brute!M:M,data_brute!J:J,"&gt;="&amp;AE855,data_brute!J:J,"&lt;="&amp;AF855),NA())</f>
        <v>#N/A</v>
      </c>
      <c r="AH855" s="46" t="e">
        <f t="shared" si="174"/>
        <v>#N/A</v>
      </c>
      <c r="AJ855" s="46">
        <f t="shared" si="180"/>
        <v>8482</v>
      </c>
      <c r="AK855" s="46">
        <f t="shared" si="181"/>
        <v>8491</v>
      </c>
      <c r="AL855" s="33">
        <f ca="1">IFERROR(AVERAGEIFS(data_brute!M:M,data_brute!J:J,"&lt;="&amp;AK855),NA())</f>
        <v>25.353524229074896</v>
      </c>
      <c r="AM855" s="46">
        <f t="shared" ca="1" si="182"/>
        <v>8490</v>
      </c>
      <c r="AN855" s="46" t="b">
        <f t="shared" si="183"/>
        <v>0</v>
      </c>
      <c r="AO855" s="50" t="b">
        <f t="shared" si="184"/>
        <v>0</v>
      </c>
    </row>
    <row r="856" spans="21:41" x14ac:dyDescent="0.2">
      <c r="U856" s="46">
        <f t="shared" si="175"/>
        <v>8492</v>
      </c>
      <c r="V856" s="46">
        <f t="shared" si="176"/>
        <v>8501</v>
      </c>
      <c r="W856" s="33" t="e">
        <f>IFERROR(AVERAGEIFS(data_brute!M:M,data_brute!J:J,"&lt;="&amp;V856,data_brute!J:J,"&gt;="&amp;U856),NA())</f>
        <v>#N/A</v>
      </c>
      <c r="X856" s="46" t="e">
        <f t="shared" si="177"/>
        <v>#N/A</v>
      </c>
      <c r="Y856" s="2" t="b">
        <f t="shared" si="178"/>
        <v>0</v>
      </c>
      <c r="Z856" s="2" t="b">
        <f t="shared" si="179"/>
        <v>0</v>
      </c>
      <c r="AE856" s="46">
        <f t="shared" ref="AE856:AE919" si="185">AF855+1</f>
        <v>8492</v>
      </c>
      <c r="AF856" s="46">
        <f t="shared" ref="AF856:AF919" si="186">AE856+$AG$2-1</f>
        <v>8501</v>
      </c>
      <c r="AG856" s="33" t="e">
        <f>IFERROR(AVERAGEIFS(data_brute!M:M,data_brute!J:J,"&gt;="&amp;AE856,data_brute!J:J,"&lt;="&amp;AF856),NA())</f>
        <v>#N/A</v>
      </c>
      <c r="AH856" s="46" t="e">
        <f t="shared" ref="AH856:AH919" si="187">IF(AG856&lt;&gt;"",$AG$2*(ROW()-ROW($AH$6)),NA())</f>
        <v>#N/A</v>
      </c>
      <c r="AJ856" s="46">
        <f t="shared" si="180"/>
        <v>8492</v>
      </c>
      <c r="AK856" s="46">
        <f t="shared" si="181"/>
        <v>8501</v>
      </c>
      <c r="AL856" s="33">
        <f ca="1">IFERROR(AVERAGEIFS(data_brute!M:M,data_brute!J:J,"&lt;="&amp;AK856),NA())</f>
        <v>25.353524229074896</v>
      </c>
      <c r="AM856" s="46">
        <f t="shared" ca="1" si="182"/>
        <v>8500</v>
      </c>
      <c r="AN856" s="46" t="b">
        <f t="shared" si="183"/>
        <v>0</v>
      </c>
      <c r="AO856" s="50" t="b">
        <f t="shared" si="184"/>
        <v>0</v>
      </c>
    </row>
    <row r="857" spans="21:41" x14ac:dyDescent="0.2">
      <c r="U857" s="46">
        <f t="shared" si="175"/>
        <v>8502</v>
      </c>
      <c r="V857" s="46">
        <f t="shared" si="176"/>
        <v>8511</v>
      </c>
      <c r="W857" s="33" t="e">
        <f>IFERROR(AVERAGEIFS(data_brute!M:M,data_brute!J:J,"&lt;="&amp;V857,data_brute!J:J,"&gt;="&amp;U857),NA())</f>
        <v>#N/A</v>
      </c>
      <c r="X857" s="46" t="e">
        <f t="shared" si="177"/>
        <v>#N/A</v>
      </c>
      <c r="Y857" s="2" t="b">
        <f t="shared" si="178"/>
        <v>0</v>
      </c>
      <c r="Z857" s="2" t="b">
        <f t="shared" si="179"/>
        <v>0</v>
      </c>
      <c r="AE857" s="46">
        <f t="shared" si="185"/>
        <v>8502</v>
      </c>
      <c r="AF857" s="46">
        <f t="shared" si="186"/>
        <v>8511</v>
      </c>
      <c r="AG857" s="33" t="e">
        <f>IFERROR(AVERAGEIFS(data_brute!M:M,data_brute!J:J,"&gt;="&amp;AE857,data_brute!J:J,"&lt;="&amp;AF857),NA())</f>
        <v>#N/A</v>
      </c>
      <c r="AH857" s="46" t="e">
        <f t="shared" si="187"/>
        <v>#N/A</v>
      </c>
      <c r="AJ857" s="46">
        <f t="shared" si="180"/>
        <v>8502</v>
      </c>
      <c r="AK857" s="46">
        <f t="shared" si="181"/>
        <v>8511</v>
      </c>
      <c r="AL857" s="33">
        <f ca="1">IFERROR(AVERAGEIFS(data_brute!M:M,data_brute!J:J,"&lt;="&amp;AK857),NA())</f>
        <v>25.353524229074896</v>
      </c>
      <c r="AM857" s="46">
        <f t="shared" ca="1" si="182"/>
        <v>8510</v>
      </c>
      <c r="AN857" s="46" t="b">
        <f t="shared" si="183"/>
        <v>0</v>
      </c>
      <c r="AO857" s="50" t="b">
        <f t="shared" si="184"/>
        <v>0</v>
      </c>
    </row>
    <row r="858" spans="21:41" x14ac:dyDescent="0.2">
      <c r="U858" s="46">
        <f t="shared" si="175"/>
        <v>8512</v>
      </c>
      <c r="V858" s="46">
        <f t="shared" si="176"/>
        <v>8521</v>
      </c>
      <c r="W858" s="33" t="e">
        <f>IFERROR(AVERAGEIFS(data_brute!M:M,data_brute!J:J,"&lt;="&amp;V858,data_brute!J:J,"&gt;="&amp;U858),NA())</f>
        <v>#N/A</v>
      </c>
      <c r="X858" s="46" t="e">
        <f t="shared" si="177"/>
        <v>#N/A</v>
      </c>
      <c r="Y858" s="2" t="b">
        <f t="shared" si="178"/>
        <v>0</v>
      </c>
      <c r="Z858" s="2" t="b">
        <f t="shared" si="179"/>
        <v>0</v>
      </c>
      <c r="AE858" s="46">
        <f t="shared" si="185"/>
        <v>8512</v>
      </c>
      <c r="AF858" s="46">
        <f t="shared" si="186"/>
        <v>8521</v>
      </c>
      <c r="AG858" s="33" t="e">
        <f>IFERROR(AVERAGEIFS(data_brute!M:M,data_brute!J:J,"&gt;="&amp;AE858,data_brute!J:J,"&lt;="&amp;AF858),NA())</f>
        <v>#N/A</v>
      </c>
      <c r="AH858" s="46" t="e">
        <f t="shared" si="187"/>
        <v>#N/A</v>
      </c>
      <c r="AJ858" s="46">
        <f t="shared" si="180"/>
        <v>8512</v>
      </c>
      <c r="AK858" s="46">
        <f t="shared" si="181"/>
        <v>8521</v>
      </c>
      <c r="AL858" s="33">
        <f ca="1">IFERROR(AVERAGEIFS(data_brute!M:M,data_brute!J:J,"&lt;="&amp;AK858),NA())</f>
        <v>25.353524229074896</v>
      </c>
      <c r="AM858" s="46">
        <f t="shared" ca="1" si="182"/>
        <v>8520</v>
      </c>
      <c r="AN858" s="46" t="b">
        <f t="shared" si="183"/>
        <v>0</v>
      </c>
      <c r="AO858" s="50" t="b">
        <f t="shared" si="184"/>
        <v>0</v>
      </c>
    </row>
    <row r="859" spans="21:41" x14ac:dyDescent="0.2">
      <c r="U859" s="46">
        <f t="shared" si="175"/>
        <v>8522</v>
      </c>
      <c r="V859" s="46">
        <f t="shared" si="176"/>
        <v>8531</v>
      </c>
      <c r="W859" s="33" t="e">
        <f>IFERROR(AVERAGEIFS(data_brute!M:M,data_brute!J:J,"&lt;="&amp;V859,data_brute!J:J,"&gt;="&amp;U859),NA())</f>
        <v>#N/A</v>
      </c>
      <c r="X859" s="46" t="e">
        <f t="shared" si="177"/>
        <v>#N/A</v>
      </c>
      <c r="Y859" s="2" t="b">
        <f t="shared" si="178"/>
        <v>0</v>
      </c>
      <c r="Z859" s="2" t="b">
        <f t="shared" si="179"/>
        <v>0</v>
      </c>
      <c r="AE859" s="46">
        <f t="shared" si="185"/>
        <v>8522</v>
      </c>
      <c r="AF859" s="46">
        <f t="shared" si="186"/>
        <v>8531</v>
      </c>
      <c r="AG859" s="33" t="e">
        <f>IFERROR(AVERAGEIFS(data_brute!M:M,data_brute!J:J,"&gt;="&amp;AE859,data_brute!J:J,"&lt;="&amp;AF859),NA())</f>
        <v>#N/A</v>
      </c>
      <c r="AH859" s="46" t="e">
        <f t="shared" si="187"/>
        <v>#N/A</v>
      </c>
      <c r="AJ859" s="46">
        <f t="shared" si="180"/>
        <v>8522</v>
      </c>
      <c r="AK859" s="46">
        <f t="shared" si="181"/>
        <v>8531</v>
      </c>
      <c r="AL859" s="33">
        <f ca="1">IFERROR(AVERAGEIFS(data_brute!M:M,data_brute!J:J,"&lt;="&amp;AK859),NA())</f>
        <v>25.353524229074896</v>
      </c>
      <c r="AM859" s="46">
        <f t="shared" ca="1" si="182"/>
        <v>8530</v>
      </c>
      <c r="AN859" s="46" t="b">
        <f t="shared" si="183"/>
        <v>0</v>
      </c>
      <c r="AO859" s="50" t="b">
        <f t="shared" si="184"/>
        <v>0</v>
      </c>
    </row>
    <row r="860" spans="21:41" x14ac:dyDescent="0.2">
      <c r="U860" s="46">
        <f t="shared" si="175"/>
        <v>8532</v>
      </c>
      <c r="V860" s="46">
        <f t="shared" si="176"/>
        <v>8541</v>
      </c>
      <c r="W860" s="33" t="e">
        <f>IFERROR(AVERAGEIFS(data_brute!M:M,data_brute!J:J,"&lt;="&amp;V860,data_brute!J:J,"&gt;="&amp;U860),NA())</f>
        <v>#N/A</v>
      </c>
      <c r="X860" s="46" t="e">
        <f t="shared" si="177"/>
        <v>#N/A</v>
      </c>
      <c r="Y860" s="2" t="b">
        <f t="shared" si="178"/>
        <v>0</v>
      </c>
      <c r="Z860" s="2" t="b">
        <f t="shared" si="179"/>
        <v>0</v>
      </c>
      <c r="AE860" s="46">
        <f t="shared" si="185"/>
        <v>8532</v>
      </c>
      <c r="AF860" s="46">
        <f t="shared" si="186"/>
        <v>8541</v>
      </c>
      <c r="AG860" s="33" t="e">
        <f>IFERROR(AVERAGEIFS(data_brute!M:M,data_brute!J:J,"&gt;="&amp;AE860,data_brute!J:J,"&lt;="&amp;AF860),NA())</f>
        <v>#N/A</v>
      </c>
      <c r="AH860" s="46" t="e">
        <f t="shared" si="187"/>
        <v>#N/A</v>
      </c>
      <c r="AJ860" s="46">
        <f t="shared" si="180"/>
        <v>8532</v>
      </c>
      <c r="AK860" s="46">
        <f t="shared" si="181"/>
        <v>8541</v>
      </c>
      <c r="AL860" s="33">
        <f ca="1">IFERROR(AVERAGEIFS(data_brute!M:M,data_brute!J:J,"&lt;="&amp;AK860),NA())</f>
        <v>25.353524229074896</v>
      </c>
      <c r="AM860" s="46">
        <f t="shared" ca="1" si="182"/>
        <v>8540</v>
      </c>
      <c r="AN860" s="46" t="b">
        <f t="shared" si="183"/>
        <v>0</v>
      </c>
      <c r="AO860" s="50" t="b">
        <f t="shared" si="184"/>
        <v>0</v>
      </c>
    </row>
    <row r="861" spans="21:41" x14ac:dyDescent="0.2">
      <c r="U861" s="46">
        <f t="shared" si="175"/>
        <v>8542</v>
      </c>
      <c r="V861" s="46">
        <f t="shared" si="176"/>
        <v>8551</v>
      </c>
      <c r="W861" s="33" t="e">
        <f>IFERROR(AVERAGEIFS(data_brute!M:M,data_brute!J:J,"&lt;="&amp;V861,data_brute!J:J,"&gt;="&amp;U861),NA())</f>
        <v>#N/A</v>
      </c>
      <c r="X861" s="46" t="e">
        <f t="shared" si="177"/>
        <v>#N/A</v>
      </c>
      <c r="Y861" s="2" t="b">
        <f t="shared" si="178"/>
        <v>0</v>
      </c>
      <c r="Z861" s="2" t="b">
        <f t="shared" si="179"/>
        <v>0</v>
      </c>
      <c r="AE861" s="46">
        <f t="shared" si="185"/>
        <v>8542</v>
      </c>
      <c r="AF861" s="46">
        <f t="shared" si="186"/>
        <v>8551</v>
      </c>
      <c r="AG861" s="33" t="e">
        <f>IFERROR(AVERAGEIFS(data_brute!M:M,data_brute!J:J,"&gt;="&amp;AE861,data_brute!J:J,"&lt;="&amp;AF861),NA())</f>
        <v>#N/A</v>
      </c>
      <c r="AH861" s="46" t="e">
        <f t="shared" si="187"/>
        <v>#N/A</v>
      </c>
      <c r="AJ861" s="46">
        <f t="shared" si="180"/>
        <v>8542</v>
      </c>
      <c r="AK861" s="46">
        <f t="shared" si="181"/>
        <v>8551</v>
      </c>
      <c r="AL861" s="33">
        <f ca="1">IFERROR(AVERAGEIFS(data_brute!M:M,data_brute!J:J,"&lt;="&amp;AK861),NA())</f>
        <v>25.353524229074896</v>
      </c>
      <c r="AM861" s="46">
        <f t="shared" ca="1" si="182"/>
        <v>8550</v>
      </c>
      <c r="AN861" s="46" t="b">
        <f t="shared" si="183"/>
        <v>0</v>
      </c>
      <c r="AO861" s="50" t="b">
        <f t="shared" si="184"/>
        <v>0</v>
      </c>
    </row>
    <row r="862" spans="21:41" x14ac:dyDescent="0.2">
      <c r="U862" s="46">
        <f t="shared" si="175"/>
        <v>8552</v>
      </c>
      <c r="V862" s="46">
        <f t="shared" si="176"/>
        <v>8561</v>
      </c>
      <c r="W862" s="33" t="e">
        <f>IFERROR(AVERAGEIFS(data_brute!M:M,data_brute!J:J,"&lt;="&amp;V862,data_brute!J:J,"&gt;="&amp;U862),NA())</f>
        <v>#N/A</v>
      </c>
      <c r="X862" s="46" t="e">
        <f t="shared" si="177"/>
        <v>#N/A</v>
      </c>
      <c r="Y862" s="2" t="b">
        <f t="shared" si="178"/>
        <v>0</v>
      </c>
      <c r="Z862" s="2" t="b">
        <f t="shared" si="179"/>
        <v>0</v>
      </c>
      <c r="AE862" s="46">
        <f t="shared" si="185"/>
        <v>8552</v>
      </c>
      <c r="AF862" s="46">
        <f t="shared" si="186"/>
        <v>8561</v>
      </c>
      <c r="AG862" s="33" t="e">
        <f>IFERROR(AVERAGEIFS(data_brute!M:M,data_brute!J:J,"&gt;="&amp;AE862,data_brute!J:J,"&lt;="&amp;AF862),NA())</f>
        <v>#N/A</v>
      </c>
      <c r="AH862" s="46" t="e">
        <f t="shared" si="187"/>
        <v>#N/A</v>
      </c>
      <c r="AJ862" s="46">
        <f t="shared" si="180"/>
        <v>8552</v>
      </c>
      <c r="AK862" s="46">
        <f t="shared" si="181"/>
        <v>8561</v>
      </c>
      <c r="AL862" s="33">
        <f ca="1">IFERROR(AVERAGEIFS(data_brute!M:M,data_brute!J:J,"&lt;="&amp;AK862),NA())</f>
        <v>25.353524229074896</v>
      </c>
      <c r="AM862" s="46">
        <f t="shared" ca="1" si="182"/>
        <v>8560</v>
      </c>
      <c r="AN862" s="46" t="b">
        <f t="shared" si="183"/>
        <v>0</v>
      </c>
      <c r="AO862" s="50" t="b">
        <f t="shared" si="184"/>
        <v>0</v>
      </c>
    </row>
    <row r="863" spans="21:41" x14ac:dyDescent="0.2">
      <c r="U863" s="46">
        <f t="shared" si="175"/>
        <v>8562</v>
      </c>
      <c r="V863" s="46">
        <f t="shared" si="176"/>
        <v>8571</v>
      </c>
      <c r="W863" s="33" t="e">
        <f>IFERROR(AVERAGEIFS(data_brute!M:M,data_brute!J:J,"&lt;="&amp;V863,data_brute!J:J,"&gt;="&amp;U863),NA())</f>
        <v>#N/A</v>
      </c>
      <c r="X863" s="46" t="e">
        <f t="shared" si="177"/>
        <v>#N/A</v>
      </c>
      <c r="Y863" s="2" t="b">
        <f t="shared" si="178"/>
        <v>0</v>
      </c>
      <c r="Z863" s="2" t="b">
        <f t="shared" si="179"/>
        <v>0</v>
      </c>
      <c r="AE863" s="46">
        <f t="shared" si="185"/>
        <v>8562</v>
      </c>
      <c r="AF863" s="46">
        <f t="shared" si="186"/>
        <v>8571</v>
      </c>
      <c r="AG863" s="33" t="e">
        <f>IFERROR(AVERAGEIFS(data_brute!M:M,data_brute!J:J,"&gt;="&amp;AE863,data_brute!J:J,"&lt;="&amp;AF863),NA())</f>
        <v>#N/A</v>
      </c>
      <c r="AH863" s="46" t="e">
        <f t="shared" si="187"/>
        <v>#N/A</v>
      </c>
      <c r="AJ863" s="46">
        <f t="shared" si="180"/>
        <v>8562</v>
      </c>
      <c r="AK863" s="46">
        <f t="shared" si="181"/>
        <v>8571</v>
      </c>
      <c r="AL863" s="33">
        <f ca="1">IFERROR(AVERAGEIFS(data_brute!M:M,data_brute!J:J,"&lt;="&amp;AK863),NA())</f>
        <v>25.353524229074896</v>
      </c>
      <c r="AM863" s="46">
        <f t="shared" ca="1" si="182"/>
        <v>8570</v>
      </c>
      <c r="AN863" s="46" t="b">
        <f t="shared" si="183"/>
        <v>0</v>
      </c>
      <c r="AO863" s="50" t="b">
        <f t="shared" si="184"/>
        <v>0</v>
      </c>
    </row>
    <row r="864" spans="21:41" x14ac:dyDescent="0.2">
      <c r="U864" s="46">
        <f t="shared" si="175"/>
        <v>8572</v>
      </c>
      <c r="V864" s="46">
        <f t="shared" si="176"/>
        <v>8581</v>
      </c>
      <c r="W864" s="33" t="e">
        <f>IFERROR(AVERAGEIFS(data_brute!M:M,data_brute!J:J,"&lt;="&amp;V864,data_brute!J:J,"&gt;="&amp;U864),NA())</f>
        <v>#N/A</v>
      </c>
      <c r="X864" s="46" t="e">
        <f t="shared" si="177"/>
        <v>#N/A</v>
      </c>
      <c r="Y864" s="2" t="b">
        <f t="shared" si="178"/>
        <v>0</v>
      </c>
      <c r="Z864" s="2" t="b">
        <f t="shared" si="179"/>
        <v>0</v>
      </c>
      <c r="AE864" s="46">
        <f t="shared" si="185"/>
        <v>8572</v>
      </c>
      <c r="AF864" s="46">
        <f t="shared" si="186"/>
        <v>8581</v>
      </c>
      <c r="AG864" s="33" t="e">
        <f>IFERROR(AVERAGEIFS(data_brute!M:M,data_brute!J:J,"&gt;="&amp;AE864,data_brute!J:J,"&lt;="&amp;AF864),NA())</f>
        <v>#N/A</v>
      </c>
      <c r="AH864" s="46" t="e">
        <f t="shared" si="187"/>
        <v>#N/A</v>
      </c>
      <c r="AJ864" s="46">
        <f t="shared" si="180"/>
        <v>8572</v>
      </c>
      <c r="AK864" s="46">
        <f t="shared" si="181"/>
        <v>8581</v>
      </c>
      <c r="AL864" s="33">
        <f ca="1">IFERROR(AVERAGEIFS(data_brute!M:M,data_brute!J:J,"&lt;="&amp;AK864),NA())</f>
        <v>25.353524229074896</v>
      </c>
      <c r="AM864" s="46">
        <f t="shared" ca="1" si="182"/>
        <v>8580</v>
      </c>
      <c r="AN864" s="46" t="b">
        <f t="shared" si="183"/>
        <v>0</v>
      </c>
      <c r="AO864" s="50" t="b">
        <f t="shared" si="184"/>
        <v>0</v>
      </c>
    </row>
    <row r="865" spans="21:41" x14ac:dyDescent="0.2">
      <c r="U865" s="46">
        <f t="shared" si="175"/>
        <v>8582</v>
      </c>
      <c r="V865" s="46">
        <f t="shared" si="176"/>
        <v>8591</v>
      </c>
      <c r="W865" s="33" t="e">
        <f>IFERROR(AVERAGEIFS(data_brute!M:M,data_brute!J:J,"&lt;="&amp;V865,data_brute!J:J,"&gt;="&amp;U865),NA())</f>
        <v>#N/A</v>
      </c>
      <c r="X865" s="46" t="e">
        <f t="shared" si="177"/>
        <v>#N/A</v>
      </c>
      <c r="Y865" s="2" t="b">
        <f t="shared" si="178"/>
        <v>0</v>
      </c>
      <c r="Z865" s="2" t="b">
        <f t="shared" si="179"/>
        <v>0</v>
      </c>
      <c r="AE865" s="46">
        <f t="shared" si="185"/>
        <v>8582</v>
      </c>
      <c r="AF865" s="46">
        <f t="shared" si="186"/>
        <v>8591</v>
      </c>
      <c r="AG865" s="33" t="e">
        <f>IFERROR(AVERAGEIFS(data_brute!M:M,data_brute!J:J,"&gt;="&amp;AE865,data_brute!J:J,"&lt;="&amp;AF865),NA())</f>
        <v>#N/A</v>
      </c>
      <c r="AH865" s="46" t="e">
        <f t="shared" si="187"/>
        <v>#N/A</v>
      </c>
      <c r="AJ865" s="46">
        <f t="shared" si="180"/>
        <v>8582</v>
      </c>
      <c r="AK865" s="46">
        <f t="shared" si="181"/>
        <v>8591</v>
      </c>
      <c r="AL865" s="33">
        <f ca="1">IFERROR(AVERAGEIFS(data_brute!M:M,data_brute!J:J,"&lt;="&amp;AK865),NA())</f>
        <v>25.353524229074896</v>
      </c>
      <c r="AM865" s="46">
        <f t="shared" ca="1" si="182"/>
        <v>8590</v>
      </c>
      <c r="AN865" s="46" t="b">
        <f t="shared" si="183"/>
        <v>0</v>
      </c>
      <c r="AO865" s="50" t="b">
        <f t="shared" si="184"/>
        <v>0</v>
      </c>
    </row>
    <row r="866" spans="21:41" x14ac:dyDescent="0.2">
      <c r="U866" s="46">
        <f t="shared" si="175"/>
        <v>8592</v>
      </c>
      <c r="V866" s="46">
        <f t="shared" si="176"/>
        <v>8601</v>
      </c>
      <c r="W866" s="33" t="e">
        <f>IFERROR(AVERAGEIFS(data_brute!M:M,data_brute!J:J,"&lt;="&amp;V866,data_brute!J:J,"&gt;="&amp;U866),NA())</f>
        <v>#N/A</v>
      </c>
      <c r="X866" s="46" t="e">
        <f t="shared" si="177"/>
        <v>#N/A</v>
      </c>
      <c r="Y866" s="2" t="b">
        <f t="shared" si="178"/>
        <v>0</v>
      </c>
      <c r="Z866" s="2" t="b">
        <f t="shared" si="179"/>
        <v>0</v>
      </c>
      <c r="AE866" s="46">
        <f t="shared" si="185"/>
        <v>8592</v>
      </c>
      <c r="AF866" s="46">
        <f t="shared" si="186"/>
        <v>8601</v>
      </c>
      <c r="AG866" s="33" t="e">
        <f>IFERROR(AVERAGEIFS(data_brute!M:M,data_brute!J:J,"&gt;="&amp;AE866,data_brute!J:J,"&lt;="&amp;AF866),NA())</f>
        <v>#N/A</v>
      </c>
      <c r="AH866" s="46" t="e">
        <f t="shared" si="187"/>
        <v>#N/A</v>
      </c>
      <c r="AJ866" s="46">
        <f t="shared" si="180"/>
        <v>8592</v>
      </c>
      <c r="AK866" s="46">
        <f t="shared" si="181"/>
        <v>8601</v>
      </c>
      <c r="AL866" s="33">
        <f ca="1">IFERROR(AVERAGEIFS(data_brute!M:M,data_brute!J:J,"&lt;="&amp;AK866),NA())</f>
        <v>25.353524229074896</v>
      </c>
      <c r="AM866" s="46">
        <f t="shared" ca="1" si="182"/>
        <v>8600</v>
      </c>
      <c r="AN866" s="46" t="b">
        <f t="shared" si="183"/>
        <v>0</v>
      </c>
      <c r="AO866" s="50" t="b">
        <f t="shared" si="184"/>
        <v>0</v>
      </c>
    </row>
    <row r="867" spans="21:41" x14ac:dyDescent="0.2">
      <c r="U867" s="46">
        <f t="shared" ref="U867:U930" si="188">V866+1</f>
        <v>8602</v>
      </c>
      <c r="V867" s="46">
        <f t="shared" ref="V867:V930" si="189">U867+$AG$2-1</f>
        <v>8611</v>
      </c>
      <c r="W867" s="33" t="e">
        <f>IFERROR(AVERAGEIFS(data_brute!M:M,data_brute!J:J,"&lt;="&amp;V867,data_brute!J:J,"&gt;="&amp;U867),NA())</f>
        <v>#N/A</v>
      </c>
      <c r="X867" s="46" t="e">
        <f t="shared" ref="X867:X930" si="190">IF(W867&lt;&gt;"",$AG$2*(ROW()-ROW($AH$6)),NA())</f>
        <v>#N/A</v>
      </c>
      <c r="Y867" s="2" t="b">
        <f t="shared" ref="Y867:Y930" si="191">IF(AND($F$5&gt;=U867,$F$5&lt;=V867,V867=$F$5),TRUE,FALSE)</f>
        <v>0</v>
      </c>
      <c r="Z867" s="2" t="b">
        <f t="shared" ref="Z867:Z930" si="192">IF(AND($F$5&gt;=U867,$F$5&lt;=V867),TRUE,FALSE)</f>
        <v>0</v>
      </c>
      <c r="AE867" s="46">
        <f t="shared" si="185"/>
        <v>8602</v>
      </c>
      <c r="AF867" s="46">
        <f t="shared" si="186"/>
        <v>8611</v>
      </c>
      <c r="AG867" s="33" t="e">
        <f>IFERROR(AVERAGEIFS(data_brute!M:M,data_brute!J:J,"&gt;="&amp;AE867,data_brute!J:J,"&lt;="&amp;AF867),NA())</f>
        <v>#N/A</v>
      </c>
      <c r="AH867" s="46" t="e">
        <f t="shared" si="187"/>
        <v>#N/A</v>
      </c>
      <c r="AJ867" s="46">
        <f t="shared" si="180"/>
        <v>8602</v>
      </c>
      <c r="AK867" s="46">
        <f t="shared" si="181"/>
        <v>8611</v>
      </c>
      <c r="AL867" s="33">
        <f ca="1">IFERROR(AVERAGEIFS(data_brute!M:M,data_brute!J:J,"&lt;="&amp;AK867),NA())</f>
        <v>25.353524229074896</v>
      </c>
      <c r="AM867" s="46">
        <f t="shared" ca="1" si="182"/>
        <v>8610</v>
      </c>
      <c r="AN867" s="46" t="b">
        <f t="shared" si="183"/>
        <v>0</v>
      </c>
      <c r="AO867" s="50" t="b">
        <f t="shared" si="184"/>
        <v>0</v>
      </c>
    </row>
    <row r="868" spans="21:41" x14ac:dyDescent="0.2">
      <c r="U868" s="46">
        <f t="shared" si="188"/>
        <v>8612</v>
      </c>
      <c r="V868" s="46">
        <f t="shared" si="189"/>
        <v>8621</v>
      </c>
      <c r="W868" s="33" t="e">
        <f>IFERROR(AVERAGEIFS(data_brute!M:M,data_brute!J:J,"&lt;="&amp;V868,data_brute!J:J,"&gt;="&amp;U868),NA())</f>
        <v>#N/A</v>
      </c>
      <c r="X868" s="46" t="e">
        <f t="shared" si="190"/>
        <v>#N/A</v>
      </c>
      <c r="Y868" s="2" t="b">
        <f t="shared" si="191"/>
        <v>0</v>
      </c>
      <c r="Z868" s="2" t="b">
        <f t="shared" si="192"/>
        <v>0</v>
      </c>
      <c r="AE868" s="46">
        <f t="shared" si="185"/>
        <v>8612</v>
      </c>
      <c r="AF868" s="46">
        <f t="shared" si="186"/>
        <v>8621</v>
      </c>
      <c r="AG868" s="33" t="e">
        <f>IFERROR(AVERAGEIFS(data_brute!M:M,data_brute!J:J,"&gt;="&amp;AE868,data_brute!J:J,"&lt;="&amp;AF868),NA())</f>
        <v>#N/A</v>
      </c>
      <c r="AH868" s="46" t="e">
        <f t="shared" si="187"/>
        <v>#N/A</v>
      </c>
      <c r="AJ868" s="46">
        <f t="shared" ref="AJ868:AJ931" si="193">AK867+1</f>
        <v>8612</v>
      </c>
      <c r="AK868" s="46">
        <f t="shared" ref="AK868:AK931" si="194">AJ868+$AG$2-1</f>
        <v>8621</v>
      </c>
      <c r="AL868" s="33">
        <f ca="1">IFERROR(AVERAGEIFS(data_brute!M:M,data_brute!J:J,"&lt;="&amp;AK868),NA())</f>
        <v>25.353524229074896</v>
      </c>
      <c r="AM868" s="46">
        <f t="shared" ref="AM868:AM931" ca="1" si="195">IF(AL868&lt;&gt;"",$AG$2*(ROW()-ROW($AH$6)),NA())</f>
        <v>8620</v>
      </c>
      <c r="AN868" s="46" t="b">
        <f t="shared" ref="AN868:AN931" si="196">IF(AND($F$5&gt;=AJ868,$F$5&lt;=AK868,AK868=$F$5),TRUE,FALSE)</f>
        <v>0</v>
      </c>
      <c r="AO868" s="50" t="b">
        <f t="shared" ref="AO868:AO931" si="197">IF(AND($F$5&gt;=AJ868,$F$5&lt;=AK868),TRUE,FALSE)</f>
        <v>0</v>
      </c>
    </row>
    <row r="869" spans="21:41" x14ac:dyDescent="0.2">
      <c r="U869" s="46">
        <f t="shared" si="188"/>
        <v>8622</v>
      </c>
      <c r="V869" s="46">
        <f t="shared" si="189"/>
        <v>8631</v>
      </c>
      <c r="W869" s="33" t="e">
        <f>IFERROR(AVERAGEIFS(data_brute!M:M,data_brute!J:J,"&lt;="&amp;V869,data_brute!J:J,"&gt;="&amp;U869),NA())</f>
        <v>#N/A</v>
      </c>
      <c r="X869" s="46" t="e">
        <f t="shared" si="190"/>
        <v>#N/A</v>
      </c>
      <c r="Y869" s="2" t="b">
        <f t="shared" si="191"/>
        <v>0</v>
      </c>
      <c r="Z869" s="2" t="b">
        <f t="shared" si="192"/>
        <v>0</v>
      </c>
      <c r="AE869" s="46">
        <f t="shared" si="185"/>
        <v>8622</v>
      </c>
      <c r="AF869" s="46">
        <f t="shared" si="186"/>
        <v>8631</v>
      </c>
      <c r="AG869" s="33" t="e">
        <f>IFERROR(AVERAGEIFS(data_brute!M:M,data_brute!J:J,"&gt;="&amp;AE869,data_brute!J:J,"&lt;="&amp;AF869),NA())</f>
        <v>#N/A</v>
      </c>
      <c r="AH869" s="46" t="e">
        <f t="shared" si="187"/>
        <v>#N/A</v>
      </c>
      <c r="AJ869" s="46">
        <f t="shared" si="193"/>
        <v>8622</v>
      </c>
      <c r="AK869" s="46">
        <f t="shared" si="194"/>
        <v>8631</v>
      </c>
      <c r="AL869" s="33">
        <f ca="1">IFERROR(AVERAGEIFS(data_brute!M:M,data_brute!J:J,"&lt;="&amp;AK869),NA())</f>
        <v>25.353524229074896</v>
      </c>
      <c r="AM869" s="46">
        <f t="shared" ca="1" si="195"/>
        <v>8630</v>
      </c>
      <c r="AN869" s="46" t="b">
        <f t="shared" si="196"/>
        <v>0</v>
      </c>
      <c r="AO869" s="50" t="b">
        <f t="shared" si="197"/>
        <v>0</v>
      </c>
    </row>
    <row r="870" spans="21:41" x14ac:dyDescent="0.2">
      <c r="U870" s="46">
        <f t="shared" si="188"/>
        <v>8632</v>
      </c>
      <c r="V870" s="46">
        <f t="shared" si="189"/>
        <v>8641</v>
      </c>
      <c r="W870" s="33" t="e">
        <f>IFERROR(AVERAGEIFS(data_brute!M:M,data_brute!J:J,"&lt;="&amp;V870,data_brute!J:J,"&gt;="&amp;U870),NA())</f>
        <v>#N/A</v>
      </c>
      <c r="X870" s="46" t="e">
        <f t="shared" si="190"/>
        <v>#N/A</v>
      </c>
      <c r="Y870" s="2" t="b">
        <f t="shared" si="191"/>
        <v>0</v>
      </c>
      <c r="Z870" s="2" t="b">
        <f t="shared" si="192"/>
        <v>0</v>
      </c>
      <c r="AE870" s="46">
        <f t="shared" si="185"/>
        <v>8632</v>
      </c>
      <c r="AF870" s="46">
        <f t="shared" si="186"/>
        <v>8641</v>
      </c>
      <c r="AG870" s="33" t="e">
        <f>IFERROR(AVERAGEIFS(data_brute!M:M,data_brute!J:J,"&gt;="&amp;AE870,data_brute!J:J,"&lt;="&amp;AF870),NA())</f>
        <v>#N/A</v>
      </c>
      <c r="AH870" s="46" t="e">
        <f t="shared" si="187"/>
        <v>#N/A</v>
      </c>
      <c r="AJ870" s="46">
        <f t="shared" si="193"/>
        <v>8632</v>
      </c>
      <c r="AK870" s="46">
        <f t="shared" si="194"/>
        <v>8641</v>
      </c>
      <c r="AL870" s="33">
        <f ca="1">IFERROR(AVERAGEIFS(data_brute!M:M,data_brute!J:J,"&lt;="&amp;AK870),NA())</f>
        <v>25.353524229074896</v>
      </c>
      <c r="AM870" s="46">
        <f t="shared" ca="1" si="195"/>
        <v>8640</v>
      </c>
      <c r="AN870" s="46" t="b">
        <f t="shared" si="196"/>
        <v>0</v>
      </c>
      <c r="AO870" s="50" t="b">
        <f t="shared" si="197"/>
        <v>0</v>
      </c>
    </row>
    <row r="871" spans="21:41" x14ac:dyDescent="0.2">
      <c r="U871" s="46">
        <f t="shared" si="188"/>
        <v>8642</v>
      </c>
      <c r="V871" s="46">
        <f t="shared" si="189"/>
        <v>8651</v>
      </c>
      <c r="W871" s="33" t="e">
        <f>IFERROR(AVERAGEIFS(data_brute!M:M,data_brute!J:J,"&lt;="&amp;V871,data_brute!J:J,"&gt;="&amp;U871),NA())</f>
        <v>#N/A</v>
      </c>
      <c r="X871" s="46" t="e">
        <f t="shared" si="190"/>
        <v>#N/A</v>
      </c>
      <c r="Y871" s="2" t="b">
        <f t="shared" si="191"/>
        <v>0</v>
      </c>
      <c r="Z871" s="2" t="b">
        <f t="shared" si="192"/>
        <v>0</v>
      </c>
      <c r="AE871" s="46">
        <f t="shared" si="185"/>
        <v>8642</v>
      </c>
      <c r="AF871" s="46">
        <f t="shared" si="186"/>
        <v>8651</v>
      </c>
      <c r="AG871" s="33" t="e">
        <f>IFERROR(AVERAGEIFS(data_brute!M:M,data_brute!J:J,"&gt;="&amp;AE871,data_brute!J:J,"&lt;="&amp;AF871),NA())</f>
        <v>#N/A</v>
      </c>
      <c r="AH871" s="46" t="e">
        <f t="shared" si="187"/>
        <v>#N/A</v>
      </c>
      <c r="AJ871" s="46">
        <f t="shared" si="193"/>
        <v>8642</v>
      </c>
      <c r="AK871" s="46">
        <f t="shared" si="194"/>
        <v>8651</v>
      </c>
      <c r="AL871" s="33">
        <f ca="1">IFERROR(AVERAGEIFS(data_brute!M:M,data_brute!J:J,"&lt;="&amp;AK871),NA())</f>
        <v>25.353524229074896</v>
      </c>
      <c r="AM871" s="46">
        <f t="shared" ca="1" si="195"/>
        <v>8650</v>
      </c>
      <c r="AN871" s="46" t="b">
        <f t="shared" si="196"/>
        <v>0</v>
      </c>
      <c r="AO871" s="50" t="b">
        <f t="shared" si="197"/>
        <v>0</v>
      </c>
    </row>
    <row r="872" spans="21:41" x14ac:dyDescent="0.2">
      <c r="U872" s="46">
        <f t="shared" si="188"/>
        <v>8652</v>
      </c>
      <c r="V872" s="46">
        <f t="shared" si="189"/>
        <v>8661</v>
      </c>
      <c r="W872" s="33" t="e">
        <f>IFERROR(AVERAGEIFS(data_brute!M:M,data_brute!J:J,"&lt;="&amp;V872,data_brute!J:J,"&gt;="&amp;U872),NA())</f>
        <v>#N/A</v>
      </c>
      <c r="X872" s="46" t="e">
        <f t="shared" si="190"/>
        <v>#N/A</v>
      </c>
      <c r="Y872" s="2" t="b">
        <f t="shared" si="191"/>
        <v>0</v>
      </c>
      <c r="Z872" s="2" t="b">
        <f t="shared" si="192"/>
        <v>0</v>
      </c>
      <c r="AE872" s="46">
        <f t="shared" si="185"/>
        <v>8652</v>
      </c>
      <c r="AF872" s="46">
        <f t="shared" si="186"/>
        <v>8661</v>
      </c>
      <c r="AG872" s="33" t="e">
        <f>IFERROR(AVERAGEIFS(data_brute!M:M,data_brute!J:J,"&gt;="&amp;AE872,data_brute!J:J,"&lt;="&amp;AF872),NA())</f>
        <v>#N/A</v>
      </c>
      <c r="AH872" s="46" t="e">
        <f t="shared" si="187"/>
        <v>#N/A</v>
      </c>
      <c r="AJ872" s="46">
        <f t="shared" si="193"/>
        <v>8652</v>
      </c>
      <c r="AK872" s="46">
        <f t="shared" si="194"/>
        <v>8661</v>
      </c>
      <c r="AL872" s="33">
        <f ca="1">IFERROR(AVERAGEIFS(data_brute!M:M,data_brute!J:J,"&lt;="&amp;AK872),NA())</f>
        <v>25.353524229074896</v>
      </c>
      <c r="AM872" s="46">
        <f t="shared" ca="1" si="195"/>
        <v>8660</v>
      </c>
      <c r="AN872" s="46" t="b">
        <f t="shared" si="196"/>
        <v>0</v>
      </c>
      <c r="AO872" s="50" t="b">
        <f t="shared" si="197"/>
        <v>0</v>
      </c>
    </row>
    <row r="873" spans="21:41" x14ac:dyDescent="0.2">
      <c r="U873" s="46">
        <f t="shared" si="188"/>
        <v>8662</v>
      </c>
      <c r="V873" s="46">
        <f t="shared" si="189"/>
        <v>8671</v>
      </c>
      <c r="W873" s="33" t="e">
        <f>IFERROR(AVERAGEIFS(data_brute!M:M,data_brute!J:J,"&lt;="&amp;V873,data_brute!J:J,"&gt;="&amp;U873),NA())</f>
        <v>#N/A</v>
      </c>
      <c r="X873" s="46" t="e">
        <f t="shared" si="190"/>
        <v>#N/A</v>
      </c>
      <c r="Y873" s="2" t="b">
        <f t="shared" si="191"/>
        <v>0</v>
      </c>
      <c r="Z873" s="2" t="b">
        <f t="shared" si="192"/>
        <v>0</v>
      </c>
      <c r="AE873" s="46">
        <f t="shared" si="185"/>
        <v>8662</v>
      </c>
      <c r="AF873" s="46">
        <f t="shared" si="186"/>
        <v>8671</v>
      </c>
      <c r="AG873" s="33" t="e">
        <f>IFERROR(AVERAGEIFS(data_brute!M:M,data_brute!J:J,"&gt;="&amp;AE873,data_brute!J:J,"&lt;="&amp;AF873),NA())</f>
        <v>#N/A</v>
      </c>
      <c r="AH873" s="46" t="e">
        <f t="shared" si="187"/>
        <v>#N/A</v>
      </c>
      <c r="AJ873" s="46">
        <f t="shared" si="193"/>
        <v>8662</v>
      </c>
      <c r="AK873" s="46">
        <f t="shared" si="194"/>
        <v>8671</v>
      </c>
      <c r="AL873" s="33">
        <f ca="1">IFERROR(AVERAGEIFS(data_brute!M:M,data_brute!J:J,"&lt;="&amp;AK873),NA())</f>
        <v>25.353524229074896</v>
      </c>
      <c r="AM873" s="46">
        <f t="shared" ca="1" si="195"/>
        <v>8670</v>
      </c>
      <c r="AN873" s="46" t="b">
        <f t="shared" si="196"/>
        <v>0</v>
      </c>
      <c r="AO873" s="50" t="b">
        <f t="shared" si="197"/>
        <v>0</v>
      </c>
    </row>
    <row r="874" spans="21:41" x14ac:dyDescent="0.2">
      <c r="U874" s="46">
        <f t="shared" si="188"/>
        <v>8672</v>
      </c>
      <c r="V874" s="46">
        <f t="shared" si="189"/>
        <v>8681</v>
      </c>
      <c r="W874" s="33" t="e">
        <f>IFERROR(AVERAGEIFS(data_brute!M:M,data_brute!J:J,"&lt;="&amp;V874,data_brute!J:J,"&gt;="&amp;U874),NA())</f>
        <v>#N/A</v>
      </c>
      <c r="X874" s="46" t="e">
        <f t="shared" si="190"/>
        <v>#N/A</v>
      </c>
      <c r="Y874" s="2" t="b">
        <f t="shared" si="191"/>
        <v>0</v>
      </c>
      <c r="Z874" s="2" t="b">
        <f t="shared" si="192"/>
        <v>0</v>
      </c>
      <c r="AE874" s="46">
        <f t="shared" si="185"/>
        <v>8672</v>
      </c>
      <c r="AF874" s="46">
        <f t="shared" si="186"/>
        <v>8681</v>
      </c>
      <c r="AG874" s="33" t="e">
        <f>IFERROR(AVERAGEIFS(data_brute!M:M,data_brute!J:J,"&gt;="&amp;AE874,data_brute!J:J,"&lt;="&amp;AF874),NA())</f>
        <v>#N/A</v>
      </c>
      <c r="AH874" s="46" t="e">
        <f t="shared" si="187"/>
        <v>#N/A</v>
      </c>
      <c r="AJ874" s="46">
        <f t="shared" si="193"/>
        <v>8672</v>
      </c>
      <c r="AK874" s="46">
        <f t="shared" si="194"/>
        <v>8681</v>
      </c>
      <c r="AL874" s="33">
        <f ca="1">IFERROR(AVERAGEIFS(data_brute!M:M,data_brute!J:J,"&lt;="&amp;AK874),NA())</f>
        <v>25.353524229074896</v>
      </c>
      <c r="AM874" s="46">
        <f t="shared" ca="1" si="195"/>
        <v>8680</v>
      </c>
      <c r="AN874" s="46" t="b">
        <f t="shared" si="196"/>
        <v>0</v>
      </c>
      <c r="AO874" s="50" t="b">
        <f t="shared" si="197"/>
        <v>0</v>
      </c>
    </row>
    <row r="875" spans="21:41" x14ac:dyDescent="0.2">
      <c r="U875" s="46">
        <f t="shared" si="188"/>
        <v>8682</v>
      </c>
      <c r="V875" s="46">
        <f t="shared" si="189"/>
        <v>8691</v>
      </c>
      <c r="W875" s="33" t="e">
        <f>IFERROR(AVERAGEIFS(data_brute!M:M,data_brute!J:J,"&lt;="&amp;V875,data_brute!J:J,"&gt;="&amp;U875),NA())</f>
        <v>#N/A</v>
      </c>
      <c r="X875" s="46" t="e">
        <f t="shared" si="190"/>
        <v>#N/A</v>
      </c>
      <c r="Y875" s="2" t="b">
        <f t="shared" si="191"/>
        <v>0</v>
      </c>
      <c r="Z875" s="2" t="b">
        <f t="shared" si="192"/>
        <v>0</v>
      </c>
      <c r="AE875" s="46">
        <f t="shared" si="185"/>
        <v>8682</v>
      </c>
      <c r="AF875" s="46">
        <f t="shared" si="186"/>
        <v>8691</v>
      </c>
      <c r="AG875" s="33" t="e">
        <f>IFERROR(AVERAGEIFS(data_brute!M:M,data_brute!J:J,"&gt;="&amp;AE875,data_brute!J:J,"&lt;="&amp;AF875),NA())</f>
        <v>#N/A</v>
      </c>
      <c r="AH875" s="46" t="e">
        <f t="shared" si="187"/>
        <v>#N/A</v>
      </c>
      <c r="AJ875" s="46">
        <f t="shared" si="193"/>
        <v>8682</v>
      </c>
      <c r="AK875" s="46">
        <f t="shared" si="194"/>
        <v>8691</v>
      </c>
      <c r="AL875" s="33">
        <f ca="1">IFERROR(AVERAGEIFS(data_brute!M:M,data_brute!J:J,"&lt;="&amp;AK875),NA())</f>
        <v>25.353524229074896</v>
      </c>
      <c r="AM875" s="46">
        <f t="shared" ca="1" si="195"/>
        <v>8690</v>
      </c>
      <c r="AN875" s="46" t="b">
        <f t="shared" si="196"/>
        <v>0</v>
      </c>
      <c r="AO875" s="50" t="b">
        <f t="shared" si="197"/>
        <v>0</v>
      </c>
    </row>
    <row r="876" spans="21:41" x14ac:dyDescent="0.2">
      <c r="U876" s="46">
        <f t="shared" si="188"/>
        <v>8692</v>
      </c>
      <c r="V876" s="46">
        <f t="shared" si="189"/>
        <v>8701</v>
      </c>
      <c r="W876" s="33" t="e">
        <f>IFERROR(AVERAGEIFS(data_brute!M:M,data_brute!J:J,"&lt;="&amp;V876,data_brute!J:J,"&gt;="&amp;U876),NA())</f>
        <v>#N/A</v>
      </c>
      <c r="X876" s="46" t="e">
        <f t="shared" si="190"/>
        <v>#N/A</v>
      </c>
      <c r="Y876" s="2" t="b">
        <f t="shared" si="191"/>
        <v>0</v>
      </c>
      <c r="Z876" s="2" t="b">
        <f t="shared" si="192"/>
        <v>0</v>
      </c>
      <c r="AE876" s="46">
        <f t="shared" si="185"/>
        <v>8692</v>
      </c>
      <c r="AF876" s="46">
        <f t="shared" si="186"/>
        <v>8701</v>
      </c>
      <c r="AG876" s="33" t="e">
        <f>IFERROR(AVERAGEIFS(data_brute!M:M,data_brute!J:J,"&gt;="&amp;AE876,data_brute!J:J,"&lt;="&amp;AF876),NA())</f>
        <v>#N/A</v>
      </c>
      <c r="AH876" s="46" t="e">
        <f t="shared" si="187"/>
        <v>#N/A</v>
      </c>
      <c r="AJ876" s="46">
        <f t="shared" si="193"/>
        <v>8692</v>
      </c>
      <c r="AK876" s="46">
        <f t="shared" si="194"/>
        <v>8701</v>
      </c>
      <c r="AL876" s="33">
        <f ca="1">IFERROR(AVERAGEIFS(data_brute!M:M,data_brute!J:J,"&lt;="&amp;AK876),NA())</f>
        <v>25.353524229074896</v>
      </c>
      <c r="AM876" s="46">
        <f t="shared" ca="1" si="195"/>
        <v>8700</v>
      </c>
      <c r="AN876" s="46" t="b">
        <f t="shared" si="196"/>
        <v>0</v>
      </c>
      <c r="AO876" s="50" t="b">
        <f t="shared" si="197"/>
        <v>0</v>
      </c>
    </row>
    <row r="877" spans="21:41" x14ac:dyDescent="0.2">
      <c r="U877" s="46">
        <f t="shared" si="188"/>
        <v>8702</v>
      </c>
      <c r="V877" s="46">
        <f t="shared" si="189"/>
        <v>8711</v>
      </c>
      <c r="W877" s="33" t="e">
        <f>IFERROR(AVERAGEIFS(data_brute!M:M,data_brute!J:J,"&lt;="&amp;V877,data_brute!J:J,"&gt;="&amp;U877),NA())</f>
        <v>#N/A</v>
      </c>
      <c r="X877" s="46" t="e">
        <f t="shared" si="190"/>
        <v>#N/A</v>
      </c>
      <c r="Y877" s="2" t="b">
        <f t="shared" si="191"/>
        <v>0</v>
      </c>
      <c r="Z877" s="2" t="b">
        <f t="shared" si="192"/>
        <v>0</v>
      </c>
      <c r="AE877" s="46">
        <f t="shared" si="185"/>
        <v>8702</v>
      </c>
      <c r="AF877" s="46">
        <f t="shared" si="186"/>
        <v>8711</v>
      </c>
      <c r="AG877" s="33" t="e">
        <f>IFERROR(AVERAGEIFS(data_brute!M:M,data_brute!J:J,"&gt;="&amp;AE877,data_brute!J:J,"&lt;="&amp;AF877),NA())</f>
        <v>#N/A</v>
      </c>
      <c r="AH877" s="46" t="e">
        <f t="shared" si="187"/>
        <v>#N/A</v>
      </c>
      <c r="AJ877" s="46">
        <f t="shared" si="193"/>
        <v>8702</v>
      </c>
      <c r="AK877" s="46">
        <f t="shared" si="194"/>
        <v>8711</v>
      </c>
      <c r="AL877" s="33">
        <f ca="1">IFERROR(AVERAGEIFS(data_brute!M:M,data_brute!J:J,"&lt;="&amp;AK877),NA())</f>
        <v>25.353524229074896</v>
      </c>
      <c r="AM877" s="46">
        <f t="shared" ca="1" si="195"/>
        <v>8710</v>
      </c>
      <c r="AN877" s="46" t="b">
        <f t="shared" si="196"/>
        <v>0</v>
      </c>
      <c r="AO877" s="50" t="b">
        <f t="shared" si="197"/>
        <v>0</v>
      </c>
    </row>
    <row r="878" spans="21:41" x14ac:dyDescent="0.2">
      <c r="U878" s="46">
        <f t="shared" si="188"/>
        <v>8712</v>
      </c>
      <c r="V878" s="46">
        <f t="shared" si="189"/>
        <v>8721</v>
      </c>
      <c r="W878" s="33" t="e">
        <f>IFERROR(AVERAGEIFS(data_brute!M:M,data_brute!J:J,"&lt;="&amp;V878,data_brute!J:J,"&gt;="&amp;U878),NA())</f>
        <v>#N/A</v>
      </c>
      <c r="X878" s="46" t="e">
        <f t="shared" si="190"/>
        <v>#N/A</v>
      </c>
      <c r="Y878" s="2" t="b">
        <f t="shared" si="191"/>
        <v>0</v>
      </c>
      <c r="Z878" s="2" t="b">
        <f t="shared" si="192"/>
        <v>0</v>
      </c>
      <c r="AE878" s="46">
        <f t="shared" si="185"/>
        <v>8712</v>
      </c>
      <c r="AF878" s="46">
        <f t="shared" si="186"/>
        <v>8721</v>
      </c>
      <c r="AG878" s="33" t="e">
        <f>IFERROR(AVERAGEIFS(data_brute!M:M,data_brute!J:J,"&gt;="&amp;AE878,data_brute!J:J,"&lt;="&amp;AF878),NA())</f>
        <v>#N/A</v>
      </c>
      <c r="AH878" s="46" t="e">
        <f t="shared" si="187"/>
        <v>#N/A</v>
      </c>
      <c r="AJ878" s="46">
        <f t="shared" si="193"/>
        <v>8712</v>
      </c>
      <c r="AK878" s="46">
        <f t="shared" si="194"/>
        <v>8721</v>
      </c>
      <c r="AL878" s="33">
        <f ca="1">IFERROR(AVERAGEIFS(data_brute!M:M,data_brute!J:J,"&lt;="&amp;AK878),NA())</f>
        <v>25.353524229074896</v>
      </c>
      <c r="AM878" s="46">
        <f t="shared" ca="1" si="195"/>
        <v>8720</v>
      </c>
      <c r="AN878" s="46" t="b">
        <f t="shared" si="196"/>
        <v>0</v>
      </c>
      <c r="AO878" s="50" t="b">
        <f t="shared" si="197"/>
        <v>0</v>
      </c>
    </row>
    <row r="879" spans="21:41" x14ac:dyDescent="0.2">
      <c r="U879" s="46">
        <f t="shared" si="188"/>
        <v>8722</v>
      </c>
      <c r="V879" s="46">
        <f t="shared" si="189"/>
        <v>8731</v>
      </c>
      <c r="W879" s="33" t="e">
        <f>IFERROR(AVERAGEIFS(data_brute!M:M,data_brute!J:J,"&lt;="&amp;V879,data_brute!J:J,"&gt;="&amp;U879),NA())</f>
        <v>#N/A</v>
      </c>
      <c r="X879" s="46" t="e">
        <f t="shared" si="190"/>
        <v>#N/A</v>
      </c>
      <c r="Y879" s="2" t="b">
        <f t="shared" si="191"/>
        <v>0</v>
      </c>
      <c r="Z879" s="2" t="b">
        <f t="shared" si="192"/>
        <v>0</v>
      </c>
      <c r="AE879" s="46">
        <f t="shared" si="185"/>
        <v>8722</v>
      </c>
      <c r="AF879" s="46">
        <f t="shared" si="186"/>
        <v>8731</v>
      </c>
      <c r="AG879" s="33" t="e">
        <f>IFERROR(AVERAGEIFS(data_brute!M:M,data_brute!J:J,"&gt;="&amp;AE879,data_brute!J:J,"&lt;="&amp;AF879),NA())</f>
        <v>#N/A</v>
      </c>
      <c r="AH879" s="46" t="e">
        <f t="shared" si="187"/>
        <v>#N/A</v>
      </c>
      <c r="AJ879" s="46">
        <f t="shared" si="193"/>
        <v>8722</v>
      </c>
      <c r="AK879" s="46">
        <f t="shared" si="194"/>
        <v>8731</v>
      </c>
      <c r="AL879" s="33">
        <f ca="1">IFERROR(AVERAGEIFS(data_brute!M:M,data_brute!J:J,"&lt;="&amp;AK879),NA())</f>
        <v>25.353524229074896</v>
      </c>
      <c r="AM879" s="46">
        <f t="shared" ca="1" si="195"/>
        <v>8730</v>
      </c>
      <c r="AN879" s="46" t="b">
        <f t="shared" si="196"/>
        <v>0</v>
      </c>
      <c r="AO879" s="50" t="b">
        <f t="shared" si="197"/>
        <v>0</v>
      </c>
    </row>
    <row r="880" spans="21:41" x14ac:dyDescent="0.2">
      <c r="U880" s="46">
        <f t="shared" si="188"/>
        <v>8732</v>
      </c>
      <c r="V880" s="46">
        <f t="shared" si="189"/>
        <v>8741</v>
      </c>
      <c r="W880" s="33" t="e">
        <f>IFERROR(AVERAGEIFS(data_brute!M:M,data_brute!J:J,"&lt;="&amp;V880,data_brute!J:J,"&gt;="&amp;U880),NA())</f>
        <v>#N/A</v>
      </c>
      <c r="X880" s="46" t="e">
        <f t="shared" si="190"/>
        <v>#N/A</v>
      </c>
      <c r="Y880" s="2" t="b">
        <f t="shared" si="191"/>
        <v>0</v>
      </c>
      <c r="Z880" s="2" t="b">
        <f t="shared" si="192"/>
        <v>0</v>
      </c>
      <c r="AE880" s="46">
        <f t="shared" si="185"/>
        <v>8732</v>
      </c>
      <c r="AF880" s="46">
        <f t="shared" si="186"/>
        <v>8741</v>
      </c>
      <c r="AG880" s="33" t="e">
        <f>IFERROR(AVERAGEIFS(data_brute!M:M,data_brute!J:J,"&gt;="&amp;AE880,data_brute!J:J,"&lt;="&amp;AF880),NA())</f>
        <v>#N/A</v>
      </c>
      <c r="AH880" s="46" t="e">
        <f t="shared" si="187"/>
        <v>#N/A</v>
      </c>
      <c r="AJ880" s="46">
        <f t="shared" si="193"/>
        <v>8732</v>
      </c>
      <c r="AK880" s="46">
        <f t="shared" si="194"/>
        <v>8741</v>
      </c>
      <c r="AL880" s="33">
        <f ca="1">IFERROR(AVERAGEIFS(data_brute!M:M,data_brute!J:J,"&lt;="&amp;AK880),NA())</f>
        <v>25.353524229074896</v>
      </c>
      <c r="AM880" s="46">
        <f t="shared" ca="1" si="195"/>
        <v>8740</v>
      </c>
      <c r="AN880" s="46" t="b">
        <f t="shared" si="196"/>
        <v>0</v>
      </c>
      <c r="AO880" s="50" t="b">
        <f t="shared" si="197"/>
        <v>0</v>
      </c>
    </row>
    <row r="881" spans="21:41" x14ac:dyDescent="0.2">
      <c r="U881" s="46">
        <f t="shared" si="188"/>
        <v>8742</v>
      </c>
      <c r="V881" s="46">
        <f t="shared" si="189"/>
        <v>8751</v>
      </c>
      <c r="W881" s="33" t="e">
        <f>IFERROR(AVERAGEIFS(data_brute!M:M,data_brute!J:J,"&lt;="&amp;V881,data_brute!J:J,"&gt;="&amp;U881),NA())</f>
        <v>#N/A</v>
      </c>
      <c r="X881" s="46" t="e">
        <f t="shared" si="190"/>
        <v>#N/A</v>
      </c>
      <c r="Y881" s="2" t="b">
        <f t="shared" si="191"/>
        <v>0</v>
      </c>
      <c r="Z881" s="2" t="b">
        <f t="shared" si="192"/>
        <v>0</v>
      </c>
      <c r="AE881" s="46">
        <f t="shared" si="185"/>
        <v>8742</v>
      </c>
      <c r="AF881" s="46">
        <f t="shared" si="186"/>
        <v>8751</v>
      </c>
      <c r="AG881" s="33" t="e">
        <f>IFERROR(AVERAGEIFS(data_brute!M:M,data_brute!J:J,"&gt;="&amp;AE881,data_brute!J:J,"&lt;="&amp;AF881),NA())</f>
        <v>#N/A</v>
      </c>
      <c r="AH881" s="46" t="e">
        <f t="shared" si="187"/>
        <v>#N/A</v>
      </c>
      <c r="AJ881" s="46">
        <f t="shared" si="193"/>
        <v>8742</v>
      </c>
      <c r="AK881" s="46">
        <f t="shared" si="194"/>
        <v>8751</v>
      </c>
      <c r="AL881" s="33">
        <f ca="1">IFERROR(AVERAGEIFS(data_brute!M:M,data_brute!J:J,"&lt;="&amp;AK881),NA())</f>
        <v>25.353524229074896</v>
      </c>
      <c r="AM881" s="46">
        <f t="shared" ca="1" si="195"/>
        <v>8750</v>
      </c>
      <c r="AN881" s="46" t="b">
        <f t="shared" si="196"/>
        <v>0</v>
      </c>
      <c r="AO881" s="50" t="b">
        <f t="shared" si="197"/>
        <v>0</v>
      </c>
    </row>
    <row r="882" spans="21:41" x14ac:dyDescent="0.2">
      <c r="U882" s="46">
        <f t="shared" si="188"/>
        <v>8752</v>
      </c>
      <c r="V882" s="46">
        <f t="shared" si="189"/>
        <v>8761</v>
      </c>
      <c r="W882" s="33" t="e">
        <f>IFERROR(AVERAGEIFS(data_brute!M:M,data_brute!J:J,"&lt;="&amp;V882,data_brute!J:J,"&gt;="&amp;U882),NA())</f>
        <v>#N/A</v>
      </c>
      <c r="X882" s="46" t="e">
        <f t="shared" si="190"/>
        <v>#N/A</v>
      </c>
      <c r="Y882" s="2" t="b">
        <f t="shared" si="191"/>
        <v>0</v>
      </c>
      <c r="Z882" s="2" t="b">
        <f t="shared" si="192"/>
        <v>0</v>
      </c>
      <c r="AE882" s="46">
        <f t="shared" si="185"/>
        <v>8752</v>
      </c>
      <c r="AF882" s="46">
        <f t="shared" si="186"/>
        <v>8761</v>
      </c>
      <c r="AG882" s="33" t="e">
        <f>IFERROR(AVERAGEIFS(data_brute!M:M,data_brute!J:J,"&gt;="&amp;AE882,data_brute!J:J,"&lt;="&amp;AF882),NA())</f>
        <v>#N/A</v>
      </c>
      <c r="AH882" s="46" t="e">
        <f t="shared" si="187"/>
        <v>#N/A</v>
      </c>
      <c r="AJ882" s="46">
        <f t="shared" si="193"/>
        <v>8752</v>
      </c>
      <c r="AK882" s="46">
        <f t="shared" si="194"/>
        <v>8761</v>
      </c>
      <c r="AL882" s="33">
        <f ca="1">IFERROR(AVERAGEIFS(data_brute!M:M,data_brute!J:J,"&lt;="&amp;AK882),NA())</f>
        <v>25.353524229074896</v>
      </c>
      <c r="AM882" s="46">
        <f t="shared" ca="1" si="195"/>
        <v>8760</v>
      </c>
      <c r="AN882" s="46" t="b">
        <f t="shared" si="196"/>
        <v>0</v>
      </c>
      <c r="AO882" s="50" t="b">
        <f t="shared" si="197"/>
        <v>0</v>
      </c>
    </row>
    <row r="883" spans="21:41" x14ac:dyDescent="0.2">
      <c r="U883" s="46">
        <f t="shared" si="188"/>
        <v>8762</v>
      </c>
      <c r="V883" s="46">
        <f t="shared" si="189"/>
        <v>8771</v>
      </c>
      <c r="W883" s="33" t="e">
        <f>IFERROR(AVERAGEIFS(data_brute!M:M,data_brute!J:J,"&lt;="&amp;V883,data_brute!J:J,"&gt;="&amp;U883),NA())</f>
        <v>#N/A</v>
      </c>
      <c r="X883" s="46" t="e">
        <f t="shared" si="190"/>
        <v>#N/A</v>
      </c>
      <c r="Y883" s="2" t="b">
        <f t="shared" si="191"/>
        <v>0</v>
      </c>
      <c r="Z883" s="2" t="b">
        <f t="shared" si="192"/>
        <v>0</v>
      </c>
      <c r="AE883" s="46">
        <f t="shared" si="185"/>
        <v>8762</v>
      </c>
      <c r="AF883" s="46">
        <f t="shared" si="186"/>
        <v>8771</v>
      </c>
      <c r="AG883" s="33" t="e">
        <f>IFERROR(AVERAGEIFS(data_brute!M:M,data_brute!J:J,"&gt;="&amp;AE883,data_brute!J:J,"&lt;="&amp;AF883),NA())</f>
        <v>#N/A</v>
      </c>
      <c r="AH883" s="46" t="e">
        <f t="shared" si="187"/>
        <v>#N/A</v>
      </c>
      <c r="AJ883" s="46">
        <f t="shared" si="193"/>
        <v>8762</v>
      </c>
      <c r="AK883" s="46">
        <f t="shared" si="194"/>
        <v>8771</v>
      </c>
      <c r="AL883" s="33">
        <f ca="1">IFERROR(AVERAGEIFS(data_brute!M:M,data_brute!J:J,"&lt;="&amp;AK883),NA())</f>
        <v>25.353524229074896</v>
      </c>
      <c r="AM883" s="46">
        <f t="shared" ca="1" si="195"/>
        <v>8770</v>
      </c>
      <c r="AN883" s="46" t="b">
        <f t="shared" si="196"/>
        <v>0</v>
      </c>
      <c r="AO883" s="50" t="b">
        <f t="shared" si="197"/>
        <v>0</v>
      </c>
    </row>
    <row r="884" spans="21:41" x14ac:dyDescent="0.2">
      <c r="U884" s="46">
        <f t="shared" si="188"/>
        <v>8772</v>
      </c>
      <c r="V884" s="46">
        <f t="shared" si="189"/>
        <v>8781</v>
      </c>
      <c r="W884" s="33" t="e">
        <f>IFERROR(AVERAGEIFS(data_brute!M:M,data_brute!J:J,"&lt;="&amp;V884,data_brute!J:J,"&gt;="&amp;U884),NA())</f>
        <v>#N/A</v>
      </c>
      <c r="X884" s="46" t="e">
        <f t="shared" si="190"/>
        <v>#N/A</v>
      </c>
      <c r="Y884" s="2" t="b">
        <f t="shared" si="191"/>
        <v>0</v>
      </c>
      <c r="Z884" s="2" t="b">
        <f t="shared" si="192"/>
        <v>0</v>
      </c>
      <c r="AE884" s="46">
        <f t="shared" si="185"/>
        <v>8772</v>
      </c>
      <c r="AF884" s="46">
        <f t="shared" si="186"/>
        <v>8781</v>
      </c>
      <c r="AG884" s="33" t="e">
        <f>IFERROR(AVERAGEIFS(data_brute!M:M,data_brute!J:J,"&gt;="&amp;AE884,data_brute!J:J,"&lt;="&amp;AF884),NA())</f>
        <v>#N/A</v>
      </c>
      <c r="AH884" s="46" t="e">
        <f t="shared" si="187"/>
        <v>#N/A</v>
      </c>
      <c r="AJ884" s="46">
        <f t="shared" si="193"/>
        <v>8772</v>
      </c>
      <c r="AK884" s="46">
        <f t="shared" si="194"/>
        <v>8781</v>
      </c>
      <c r="AL884" s="33">
        <f ca="1">IFERROR(AVERAGEIFS(data_brute!M:M,data_brute!J:J,"&lt;="&amp;AK884),NA())</f>
        <v>25.353524229074896</v>
      </c>
      <c r="AM884" s="46">
        <f t="shared" ca="1" si="195"/>
        <v>8780</v>
      </c>
      <c r="AN884" s="46" t="b">
        <f t="shared" si="196"/>
        <v>0</v>
      </c>
      <c r="AO884" s="50" t="b">
        <f t="shared" si="197"/>
        <v>0</v>
      </c>
    </row>
    <row r="885" spans="21:41" x14ac:dyDescent="0.2">
      <c r="U885" s="46">
        <f t="shared" si="188"/>
        <v>8782</v>
      </c>
      <c r="V885" s="46">
        <f t="shared" si="189"/>
        <v>8791</v>
      </c>
      <c r="W885" s="33" t="e">
        <f>IFERROR(AVERAGEIFS(data_brute!M:M,data_brute!J:J,"&lt;="&amp;V885,data_brute!J:J,"&gt;="&amp;U885),NA())</f>
        <v>#N/A</v>
      </c>
      <c r="X885" s="46" t="e">
        <f t="shared" si="190"/>
        <v>#N/A</v>
      </c>
      <c r="Y885" s="2" t="b">
        <f t="shared" si="191"/>
        <v>0</v>
      </c>
      <c r="Z885" s="2" t="b">
        <f t="shared" si="192"/>
        <v>0</v>
      </c>
      <c r="AE885" s="46">
        <f t="shared" si="185"/>
        <v>8782</v>
      </c>
      <c r="AF885" s="46">
        <f t="shared" si="186"/>
        <v>8791</v>
      </c>
      <c r="AG885" s="33" t="e">
        <f>IFERROR(AVERAGEIFS(data_brute!M:M,data_brute!J:J,"&gt;="&amp;AE885,data_brute!J:J,"&lt;="&amp;AF885),NA())</f>
        <v>#N/A</v>
      </c>
      <c r="AH885" s="46" t="e">
        <f t="shared" si="187"/>
        <v>#N/A</v>
      </c>
      <c r="AJ885" s="46">
        <f t="shared" si="193"/>
        <v>8782</v>
      </c>
      <c r="AK885" s="46">
        <f t="shared" si="194"/>
        <v>8791</v>
      </c>
      <c r="AL885" s="33">
        <f ca="1">IFERROR(AVERAGEIFS(data_brute!M:M,data_brute!J:J,"&lt;="&amp;AK885),NA())</f>
        <v>25.353524229074896</v>
      </c>
      <c r="AM885" s="46">
        <f t="shared" ca="1" si="195"/>
        <v>8790</v>
      </c>
      <c r="AN885" s="46" t="b">
        <f t="shared" si="196"/>
        <v>0</v>
      </c>
      <c r="AO885" s="50" t="b">
        <f t="shared" si="197"/>
        <v>0</v>
      </c>
    </row>
    <row r="886" spans="21:41" x14ac:dyDescent="0.2">
      <c r="U886" s="46">
        <f t="shared" si="188"/>
        <v>8792</v>
      </c>
      <c r="V886" s="46">
        <f t="shared" si="189"/>
        <v>8801</v>
      </c>
      <c r="W886" s="33" t="e">
        <f>IFERROR(AVERAGEIFS(data_brute!M:M,data_brute!J:J,"&lt;="&amp;V886,data_brute!J:J,"&gt;="&amp;U886),NA())</f>
        <v>#N/A</v>
      </c>
      <c r="X886" s="46" t="e">
        <f t="shared" si="190"/>
        <v>#N/A</v>
      </c>
      <c r="Y886" s="2" t="b">
        <f t="shared" si="191"/>
        <v>0</v>
      </c>
      <c r="Z886" s="2" t="b">
        <f t="shared" si="192"/>
        <v>0</v>
      </c>
      <c r="AE886" s="46">
        <f t="shared" si="185"/>
        <v>8792</v>
      </c>
      <c r="AF886" s="46">
        <f t="shared" si="186"/>
        <v>8801</v>
      </c>
      <c r="AG886" s="33" t="e">
        <f>IFERROR(AVERAGEIFS(data_brute!M:M,data_brute!J:J,"&gt;="&amp;AE886,data_brute!J:J,"&lt;="&amp;AF886),NA())</f>
        <v>#N/A</v>
      </c>
      <c r="AH886" s="46" t="e">
        <f t="shared" si="187"/>
        <v>#N/A</v>
      </c>
      <c r="AJ886" s="46">
        <f t="shared" si="193"/>
        <v>8792</v>
      </c>
      <c r="AK886" s="46">
        <f t="shared" si="194"/>
        <v>8801</v>
      </c>
      <c r="AL886" s="33">
        <f ca="1">IFERROR(AVERAGEIFS(data_brute!M:M,data_brute!J:J,"&lt;="&amp;AK886),NA())</f>
        <v>25.353524229074896</v>
      </c>
      <c r="AM886" s="46">
        <f t="shared" ca="1" si="195"/>
        <v>8800</v>
      </c>
      <c r="AN886" s="46" t="b">
        <f t="shared" si="196"/>
        <v>0</v>
      </c>
      <c r="AO886" s="50" t="b">
        <f t="shared" si="197"/>
        <v>0</v>
      </c>
    </row>
    <row r="887" spans="21:41" x14ac:dyDescent="0.2">
      <c r="U887" s="46">
        <f t="shared" si="188"/>
        <v>8802</v>
      </c>
      <c r="V887" s="46">
        <f t="shared" si="189"/>
        <v>8811</v>
      </c>
      <c r="W887" s="33" t="e">
        <f>IFERROR(AVERAGEIFS(data_brute!M:M,data_brute!J:J,"&lt;="&amp;V887,data_brute!J:J,"&gt;="&amp;U887),NA())</f>
        <v>#N/A</v>
      </c>
      <c r="X887" s="46" t="e">
        <f t="shared" si="190"/>
        <v>#N/A</v>
      </c>
      <c r="Y887" s="2" t="b">
        <f t="shared" si="191"/>
        <v>0</v>
      </c>
      <c r="Z887" s="2" t="b">
        <f t="shared" si="192"/>
        <v>0</v>
      </c>
      <c r="AE887" s="46">
        <f t="shared" si="185"/>
        <v>8802</v>
      </c>
      <c r="AF887" s="46">
        <f t="shared" si="186"/>
        <v>8811</v>
      </c>
      <c r="AG887" s="33" t="e">
        <f>IFERROR(AVERAGEIFS(data_brute!M:M,data_brute!J:J,"&gt;="&amp;AE887,data_brute!J:J,"&lt;="&amp;AF887),NA())</f>
        <v>#N/A</v>
      </c>
      <c r="AH887" s="46" t="e">
        <f t="shared" si="187"/>
        <v>#N/A</v>
      </c>
      <c r="AJ887" s="46">
        <f t="shared" si="193"/>
        <v>8802</v>
      </c>
      <c r="AK887" s="46">
        <f t="shared" si="194"/>
        <v>8811</v>
      </c>
      <c r="AL887" s="33">
        <f ca="1">IFERROR(AVERAGEIFS(data_brute!M:M,data_brute!J:J,"&lt;="&amp;AK887),NA())</f>
        <v>25.353524229074896</v>
      </c>
      <c r="AM887" s="46">
        <f t="shared" ca="1" si="195"/>
        <v>8810</v>
      </c>
      <c r="AN887" s="46" t="b">
        <f t="shared" si="196"/>
        <v>0</v>
      </c>
      <c r="AO887" s="50" t="b">
        <f t="shared" si="197"/>
        <v>0</v>
      </c>
    </row>
    <row r="888" spans="21:41" x14ac:dyDescent="0.2">
      <c r="U888" s="46">
        <f t="shared" si="188"/>
        <v>8812</v>
      </c>
      <c r="V888" s="46">
        <f t="shared" si="189"/>
        <v>8821</v>
      </c>
      <c r="W888" s="33" t="e">
        <f>IFERROR(AVERAGEIFS(data_brute!M:M,data_brute!J:J,"&lt;="&amp;V888,data_brute!J:J,"&gt;="&amp;U888),NA())</f>
        <v>#N/A</v>
      </c>
      <c r="X888" s="46" t="e">
        <f t="shared" si="190"/>
        <v>#N/A</v>
      </c>
      <c r="Y888" s="2" t="b">
        <f t="shared" si="191"/>
        <v>0</v>
      </c>
      <c r="Z888" s="2" t="b">
        <f t="shared" si="192"/>
        <v>0</v>
      </c>
      <c r="AE888" s="46">
        <f t="shared" si="185"/>
        <v>8812</v>
      </c>
      <c r="AF888" s="46">
        <f t="shared" si="186"/>
        <v>8821</v>
      </c>
      <c r="AG888" s="33" t="e">
        <f>IFERROR(AVERAGEIFS(data_brute!M:M,data_brute!J:J,"&gt;="&amp;AE888,data_brute!J:J,"&lt;="&amp;AF888),NA())</f>
        <v>#N/A</v>
      </c>
      <c r="AH888" s="46" t="e">
        <f t="shared" si="187"/>
        <v>#N/A</v>
      </c>
      <c r="AJ888" s="46">
        <f t="shared" si="193"/>
        <v>8812</v>
      </c>
      <c r="AK888" s="46">
        <f t="shared" si="194"/>
        <v>8821</v>
      </c>
      <c r="AL888" s="33">
        <f ca="1">IFERROR(AVERAGEIFS(data_brute!M:M,data_brute!J:J,"&lt;="&amp;AK888),NA())</f>
        <v>25.353524229074896</v>
      </c>
      <c r="AM888" s="46">
        <f t="shared" ca="1" si="195"/>
        <v>8820</v>
      </c>
      <c r="AN888" s="46" t="b">
        <f t="shared" si="196"/>
        <v>0</v>
      </c>
      <c r="AO888" s="50" t="b">
        <f t="shared" si="197"/>
        <v>0</v>
      </c>
    </row>
    <row r="889" spans="21:41" x14ac:dyDescent="0.2">
      <c r="U889" s="46">
        <f t="shared" si="188"/>
        <v>8822</v>
      </c>
      <c r="V889" s="46">
        <f t="shared" si="189"/>
        <v>8831</v>
      </c>
      <c r="W889" s="33" t="e">
        <f>IFERROR(AVERAGEIFS(data_brute!M:M,data_brute!J:J,"&lt;="&amp;V889,data_brute!J:J,"&gt;="&amp;U889),NA())</f>
        <v>#N/A</v>
      </c>
      <c r="X889" s="46" t="e">
        <f t="shared" si="190"/>
        <v>#N/A</v>
      </c>
      <c r="Y889" s="2" t="b">
        <f t="shared" si="191"/>
        <v>0</v>
      </c>
      <c r="Z889" s="2" t="b">
        <f t="shared" si="192"/>
        <v>0</v>
      </c>
      <c r="AE889" s="46">
        <f t="shared" si="185"/>
        <v>8822</v>
      </c>
      <c r="AF889" s="46">
        <f t="shared" si="186"/>
        <v>8831</v>
      </c>
      <c r="AG889" s="33" t="e">
        <f>IFERROR(AVERAGEIFS(data_brute!M:M,data_brute!J:J,"&gt;="&amp;AE889,data_brute!J:J,"&lt;="&amp;AF889),NA())</f>
        <v>#N/A</v>
      </c>
      <c r="AH889" s="46" t="e">
        <f t="shared" si="187"/>
        <v>#N/A</v>
      </c>
      <c r="AJ889" s="46">
        <f t="shared" si="193"/>
        <v>8822</v>
      </c>
      <c r="AK889" s="46">
        <f t="shared" si="194"/>
        <v>8831</v>
      </c>
      <c r="AL889" s="33">
        <f ca="1">IFERROR(AVERAGEIFS(data_brute!M:M,data_brute!J:J,"&lt;="&amp;AK889),NA())</f>
        <v>25.353524229074896</v>
      </c>
      <c r="AM889" s="46">
        <f t="shared" ca="1" si="195"/>
        <v>8830</v>
      </c>
      <c r="AN889" s="46" t="b">
        <f t="shared" si="196"/>
        <v>0</v>
      </c>
      <c r="AO889" s="50" t="b">
        <f t="shared" si="197"/>
        <v>0</v>
      </c>
    </row>
    <row r="890" spans="21:41" x14ac:dyDescent="0.2">
      <c r="U890" s="46">
        <f t="shared" si="188"/>
        <v>8832</v>
      </c>
      <c r="V890" s="46">
        <f t="shared" si="189"/>
        <v>8841</v>
      </c>
      <c r="W890" s="33" t="e">
        <f>IFERROR(AVERAGEIFS(data_brute!M:M,data_brute!J:J,"&lt;="&amp;V890,data_brute!J:J,"&gt;="&amp;U890),NA())</f>
        <v>#N/A</v>
      </c>
      <c r="X890" s="46" t="e">
        <f t="shared" si="190"/>
        <v>#N/A</v>
      </c>
      <c r="Y890" s="2" t="b">
        <f t="shared" si="191"/>
        <v>0</v>
      </c>
      <c r="Z890" s="2" t="b">
        <f t="shared" si="192"/>
        <v>0</v>
      </c>
      <c r="AE890" s="46">
        <f t="shared" si="185"/>
        <v>8832</v>
      </c>
      <c r="AF890" s="46">
        <f t="shared" si="186"/>
        <v>8841</v>
      </c>
      <c r="AG890" s="33" t="e">
        <f>IFERROR(AVERAGEIFS(data_brute!M:M,data_brute!J:J,"&gt;="&amp;AE890,data_brute!J:J,"&lt;="&amp;AF890),NA())</f>
        <v>#N/A</v>
      </c>
      <c r="AH890" s="46" t="e">
        <f t="shared" si="187"/>
        <v>#N/A</v>
      </c>
      <c r="AJ890" s="46">
        <f t="shared" si="193"/>
        <v>8832</v>
      </c>
      <c r="AK890" s="46">
        <f t="shared" si="194"/>
        <v>8841</v>
      </c>
      <c r="AL890" s="33">
        <f ca="1">IFERROR(AVERAGEIFS(data_brute!M:M,data_brute!J:J,"&lt;="&amp;AK890),NA())</f>
        <v>25.353524229074896</v>
      </c>
      <c r="AM890" s="46">
        <f t="shared" ca="1" si="195"/>
        <v>8840</v>
      </c>
      <c r="AN890" s="46" t="b">
        <f t="shared" si="196"/>
        <v>0</v>
      </c>
      <c r="AO890" s="50" t="b">
        <f t="shared" si="197"/>
        <v>0</v>
      </c>
    </row>
    <row r="891" spans="21:41" x14ac:dyDescent="0.2">
      <c r="U891" s="46">
        <f t="shared" si="188"/>
        <v>8842</v>
      </c>
      <c r="V891" s="46">
        <f t="shared" si="189"/>
        <v>8851</v>
      </c>
      <c r="W891" s="33" t="e">
        <f>IFERROR(AVERAGEIFS(data_brute!M:M,data_brute!J:J,"&lt;="&amp;V891,data_brute!J:J,"&gt;="&amp;U891),NA())</f>
        <v>#N/A</v>
      </c>
      <c r="X891" s="46" t="e">
        <f t="shared" si="190"/>
        <v>#N/A</v>
      </c>
      <c r="Y891" s="2" t="b">
        <f t="shared" si="191"/>
        <v>0</v>
      </c>
      <c r="Z891" s="2" t="b">
        <f t="shared" si="192"/>
        <v>0</v>
      </c>
      <c r="AE891" s="46">
        <f t="shared" si="185"/>
        <v>8842</v>
      </c>
      <c r="AF891" s="46">
        <f t="shared" si="186"/>
        <v>8851</v>
      </c>
      <c r="AG891" s="33" t="e">
        <f>IFERROR(AVERAGEIFS(data_brute!M:M,data_brute!J:J,"&gt;="&amp;AE891,data_brute!J:J,"&lt;="&amp;AF891),NA())</f>
        <v>#N/A</v>
      </c>
      <c r="AH891" s="46" t="e">
        <f t="shared" si="187"/>
        <v>#N/A</v>
      </c>
      <c r="AJ891" s="46">
        <f t="shared" si="193"/>
        <v>8842</v>
      </c>
      <c r="AK891" s="46">
        <f t="shared" si="194"/>
        <v>8851</v>
      </c>
      <c r="AL891" s="33">
        <f ca="1">IFERROR(AVERAGEIFS(data_brute!M:M,data_brute!J:J,"&lt;="&amp;AK891),NA())</f>
        <v>25.353524229074896</v>
      </c>
      <c r="AM891" s="46">
        <f t="shared" ca="1" si="195"/>
        <v>8850</v>
      </c>
      <c r="AN891" s="46" t="b">
        <f t="shared" si="196"/>
        <v>0</v>
      </c>
      <c r="AO891" s="50" t="b">
        <f t="shared" si="197"/>
        <v>0</v>
      </c>
    </row>
    <row r="892" spans="21:41" x14ac:dyDescent="0.2">
      <c r="U892" s="46">
        <f t="shared" si="188"/>
        <v>8852</v>
      </c>
      <c r="V892" s="46">
        <f t="shared" si="189"/>
        <v>8861</v>
      </c>
      <c r="W892" s="33" t="e">
        <f>IFERROR(AVERAGEIFS(data_brute!M:M,data_brute!J:J,"&lt;="&amp;V892,data_brute!J:J,"&gt;="&amp;U892),NA())</f>
        <v>#N/A</v>
      </c>
      <c r="X892" s="46" t="e">
        <f t="shared" si="190"/>
        <v>#N/A</v>
      </c>
      <c r="Y892" s="2" t="b">
        <f t="shared" si="191"/>
        <v>0</v>
      </c>
      <c r="Z892" s="2" t="b">
        <f t="shared" si="192"/>
        <v>0</v>
      </c>
      <c r="AE892" s="46">
        <f t="shared" si="185"/>
        <v>8852</v>
      </c>
      <c r="AF892" s="46">
        <f t="shared" si="186"/>
        <v>8861</v>
      </c>
      <c r="AG892" s="33" t="e">
        <f>IFERROR(AVERAGEIFS(data_brute!M:M,data_brute!J:J,"&gt;="&amp;AE892,data_brute!J:J,"&lt;="&amp;AF892),NA())</f>
        <v>#N/A</v>
      </c>
      <c r="AH892" s="46" t="e">
        <f t="shared" si="187"/>
        <v>#N/A</v>
      </c>
      <c r="AJ892" s="46">
        <f t="shared" si="193"/>
        <v>8852</v>
      </c>
      <c r="AK892" s="46">
        <f t="shared" si="194"/>
        <v>8861</v>
      </c>
      <c r="AL892" s="33">
        <f ca="1">IFERROR(AVERAGEIFS(data_brute!M:M,data_brute!J:J,"&lt;="&amp;AK892),NA())</f>
        <v>25.353524229074896</v>
      </c>
      <c r="AM892" s="46">
        <f t="shared" ca="1" si="195"/>
        <v>8860</v>
      </c>
      <c r="AN892" s="46" t="b">
        <f t="shared" si="196"/>
        <v>0</v>
      </c>
      <c r="AO892" s="50" t="b">
        <f t="shared" si="197"/>
        <v>0</v>
      </c>
    </row>
    <row r="893" spans="21:41" x14ac:dyDescent="0.2">
      <c r="U893" s="46">
        <f t="shared" si="188"/>
        <v>8862</v>
      </c>
      <c r="V893" s="46">
        <f t="shared" si="189"/>
        <v>8871</v>
      </c>
      <c r="W893" s="33" t="e">
        <f>IFERROR(AVERAGEIFS(data_brute!M:M,data_brute!J:J,"&lt;="&amp;V893,data_brute!J:J,"&gt;="&amp;U893),NA())</f>
        <v>#N/A</v>
      </c>
      <c r="X893" s="46" t="e">
        <f t="shared" si="190"/>
        <v>#N/A</v>
      </c>
      <c r="Y893" s="2" t="b">
        <f t="shared" si="191"/>
        <v>0</v>
      </c>
      <c r="Z893" s="2" t="b">
        <f t="shared" si="192"/>
        <v>0</v>
      </c>
      <c r="AE893" s="46">
        <f t="shared" si="185"/>
        <v>8862</v>
      </c>
      <c r="AF893" s="46">
        <f t="shared" si="186"/>
        <v>8871</v>
      </c>
      <c r="AG893" s="33" t="e">
        <f>IFERROR(AVERAGEIFS(data_brute!M:M,data_brute!J:J,"&gt;="&amp;AE893,data_brute!J:J,"&lt;="&amp;AF893),NA())</f>
        <v>#N/A</v>
      </c>
      <c r="AH893" s="46" t="e">
        <f t="shared" si="187"/>
        <v>#N/A</v>
      </c>
      <c r="AJ893" s="46">
        <f t="shared" si="193"/>
        <v>8862</v>
      </c>
      <c r="AK893" s="46">
        <f t="shared" si="194"/>
        <v>8871</v>
      </c>
      <c r="AL893" s="33">
        <f ca="1">IFERROR(AVERAGEIFS(data_brute!M:M,data_brute!J:J,"&lt;="&amp;AK893),NA())</f>
        <v>25.353524229074896</v>
      </c>
      <c r="AM893" s="46">
        <f t="shared" ca="1" si="195"/>
        <v>8870</v>
      </c>
      <c r="AN893" s="46" t="b">
        <f t="shared" si="196"/>
        <v>0</v>
      </c>
      <c r="AO893" s="50" t="b">
        <f t="shared" si="197"/>
        <v>0</v>
      </c>
    </row>
    <row r="894" spans="21:41" x14ac:dyDescent="0.2">
      <c r="U894" s="46">
        <f t="shared" si="188"/>
        <v>8872</v>
      </c>
      <c r="V894" s="46">
        <f t="shared" si="189"/>
        <v>8881</v>
      </c>
      <c r="W894" s="33" t="e">
        <f>IFERROR(AVERAGEIFS(data_brute!M:M,data_brute!J:J,"&lt;="&amp;V894,data_brute!J:J,"&gt;="&amp;U894),NA())</f>
        <v>#N/A</v>
      </c>
      <c r="X894" s="46" t="e">
        <f t="shared" si="190"/>
        <v>#N/A</v>
      </c>
      <c r="Y894" s="2" t="b">
        <f t="shared" si="191"/>
        <v>0</v>
      </c>
      <c r="Z894" s="2" t="b">
        <f t="shared" si="192"/>
        <v>0</v>
      </c>
      <c r="AE894" s="46">
        <f t="shared" si="185"/>
        <v>8872</v>
      </c>
      <c r="AF894" s="46">
        <f t="shared" si="186"/>
        <v>8881</v>
      </c>
      <c r="AG894" s="33" t="e">
        <f>IFERROR(AVERAGEIFS(data_brute!M:M,data_brute!J:J,"&gt;="&amp;AE894,data_brute!J:J,"&lt;="&amp;AF894),NA())</f>
        <v>#N/A</v>
      </c>
      <c r="AH894" s="46" t="e">
        <f t="shared" si="187"/>
        <v>#N/A</v>
      </c>
      <c r="AJ894" s="46">
        <f t="shared" si="193"/>
        <v>8872</v>
      </c>
      <c r="AK894" s="46">
        <f t="shared" si="194"/>
        <v>8881</v>
      </c>
      <c r="AL894" s="33">
        <f ca="1">IFERROR(AVERAGEIFS(data_brute!M:M,data_brute!J:J,"&lt;="&amp;AK894),NA())</f>
        <v>25.353524229074896</v>
      </c>
      <c r="AM894" s="46">
        <f t="shared" ca="1" si="195"/>
        <v>8880</v>
      </c>
      <c r="AN894" s="46" t="b">
        <f t="shared" si="196"/>
        <v>0</v>
      </c>
      <c r="AO894" s="50" t="b">
        <f t="shared" si="197"/>
        <v>0</v>
      </c>
    </row>
    <row r="895" spans="21:41" x14ac:dyDescent="0.2">
      <c r="U895" s="46">
        <f t="shared" si="188"/>
        <v>8882</v>
      </c>
      <c r="V895" s="46">
        <f t="shared" si="189"/>
        <v>8891</v>
      </c>
      <c r="W895" s="33" t="e">
        <f>IFERROR(AVERAGEIFS(data_brute!M:M,data_brute!J:J,"&lt;="&amp;V895,data_brute!J:J,"&gt;="&amp;U895),NA())</f>
        <v>#N/A</v>
      </c>
      <c r="X895" s="46" t="e">
        <f t="shared" si="190"/>
        <v>#N/A</v>
      </c>
      <c r="Y895" s="2" t="b">
        <f t="shared" si="191"/>
        <v>0</v>
      </c>
      <c r="Z895" s="2" t="b">
        <f t="shared" si="192"/>
        <v>0</v>
      </c>
      <c r="AE895" s="46">
        <f t="shared" si="185"/>
        <v>8882</v>
      </c>
      <c r="AF895" s="46">
        <f t="shared" si="186"/>
        <v>8891</v>
      </c>
      <c r="AG895" s="33" t="e">
        <f>IFERROR(AVERAGEIFS(data_brute!M:M,data_brute!J:J,"&gt;="&amp;AE895,data_brute!J:J,"&lt;="&amp;AF895),NA())</f>
        <v>#N/A</v>
      </c>
      <c r="AH895" s="46" t="e">
        <f t="shared" si="187"/>
        <v>#N/A</v>
      </c>
      <c r="AJ895" s="46">
        <f t="shared" si="193"/>
        <v>8882</v>
      </c>
      <c r="AK895" s="46">
        <f t="shared" si="194"/>
        <v>8891</v>
      </c>
      <c r="AL895" s="33">
        <f ca="1">IFERROR(AVERAGEIFS(data_brute!M:M,data_brute!J:J,"&lt;="&amp;AK895),NA())</f>
        <v>25.353524229074896</v>
      </c>
      <c r="AM895" s="46">
        <f t="shared" ca="1" si="195"/>
        <v>8890</v>
      </c>
      <c r="AN895" s="46" t="b">
        <f t="shared" si="196"/>
        <v>0</v>
      </c>
      <c r="AO895" s="50" t="b">
        <f t="shared" si="197"/>
        <v>0</v>
      </c>
    </row>
    <row r="896" spans="21:41" x14ac:dyDescent="0.2">
      <c r="U896" s="46">
        <f t="shared" si="188"/>
        <v>8892</v>
      </c>
      <c r="V896" s="46">
        <f t="shared" si="189"/>
        <v>8901</v>
      </c>
      <c r="W896" s="33" t="e">
        <f>IFERROR(AVERAGEIFS(data_brute!M:M,data_brute!J:J,"&lt;="&amp;V896,data_brute!J:J,"&gt;="&amp;U896),NA())</f>
        <v>#N/A</v>
      </c>
      <c r="X896" s="46" t="e">
        <f t="shared" si="190"/>
        <v>#N/A</v>
      </c>
      <c r="Y896" s="2" t="b">
        <f t="shared" si="191"/>
        <v>0</v>
      </c>
      <c r="Z896" s="2" t="b">
        <f t="shared" si="192"/>
        <v>0</v>
      </c>
      <c r="AE896" s="46">
        <f t="shared" si="185"/>
        <v>8892</v>
      </c>
      <c r="AF896" s="46">
        <f t="shared" si="186"/>
        <v>8901</v>
      </c>
      <c r="AG896" s="33" t="e">
        <f>IFERROR(AVERAGEIFS(data_brute!M:M,data_brute!J:J,"&gt;="&amp;AE896,data_brute!J:J,"&lt;="&amp;AF896),NA())</f>
        <v>#N/A</v>
      </c>
      <c r="AH896" s="46" t="e">
        <f t="shared" si="187"/>
        <v>#N/A</v>
      </c>
      <c r="AJ896" s="46">
        <f t="shared" si="193"/>
        <v>8892</v>
      </c>
      <c r="AK896" s="46">
        <f t="shared" si="194"/>
        <v>8901</v>
      </c>
      <c r="AL896" s="33">
        <f ca="1">IFERROR(AVERAGEIFS(data_brute!M:M,data_brute!J:J,"&lt;="&amp;AK896),NA())</f>
        <v>25.353524229074896</v>
      </c>
      <c r="AM896" s="46">
        <f t="shared" ca="1" si="195"/>
        <v>8900</v>
      </c>
      <c r="AN896" s="46" t="b">
        <f t="shared" si="196"/>
        <v>0</v>
      </c>
      <c r="AO896" s="50" t="b">
        <f t="shared" si="197"/>
        <v>0</v>
      </c>
    </row>
    <row r="897" spans="21:41" x14ac:dyDescent="0.2">
      <c r="U897" s="46">
        <f t="shared" si="188"/>
        <v>8902</v>
      </c>
      <c r="V897" s="46">
        <f t="shared" si="189"/>
        <v>8911</v>
      </c>
      <c r="W897" s="33" t="e">
        <f>IFERROR(AVERAGEIFS(data_brute!M:M,data_brute!J:J,"&lt;="&amp;V897,data_brute!J:J,"&gt;="&amp;U897),NA())</f>
        <v>#N/A</v>
      </c>
      <c r="X897" s="46" t="e">
        <f t="shared" si="190"/>
        <v>#N/A</v>
      </c>
      <c r="Y897" s="2" t="b">
        <f t="shared" si="191"/>
        <v>0</v>
      </c>
      <c r="Z897" s="2" t="b">
        <f t="shared" si="192"/>
        <v>0</v>
      </c>
      <c r="AE897" s="46">
        <f t="shared" si="185"/>
        <v>8902</v>
      </c>
      <c r="AF897" s="46">
        <f t="shared" si="186"/>
        <v>8911</v>
      </c>
      <c r="AG897" s="33" t="e">
        <f>IFERROR(AVERAGEIFS(data_brute!M:M,data_brute!J:J,"&gt;="&amp;AE897,data_brute!J:J,"&lt;="&amp;AF897),NA())</f>
        <v>#N/A</v>
      </c>
      <c r="AH897" s="46" t="e">
        <f t="shared" si="187"/>
        <v>#N/A</v>
      </c>
      <c r="AJ897" s="46">
        <f t="shared" si="193"/>
        <v>8902</v>
      </c>
      <c r="AK897" s="46">
        <f t="shared" si="194"/>
        <v>8911</v>
      </c>
      <c r="AL897" s="33">
        <f ca="1">IFERROR(AVERAGEIFS(data_brute!M:M,data_brute!J:J,"&lt;="&amp;AK897),NA())</f>
        <v>25.353524229074896</v>
      </c>
      <c r="AM897" s="46">
        <f t="shared" ca="1" si="195"/>
        <v>8910</v>
      </c>
      <c r="AN897" s="46" t="b">
        <f t="shared" si="196"/>
        <v>0</v>
      </c>
      <c r="AO897" s="50" t="b">
        <f t="shared" si="197"/>
        <v>0</v>
      </c>
    </row>
    <row r="898" spans="21:41" x14ac:dyDescent="0.2">
      <c r="U898" s="46">
        <f t="shared" si="188"/>
        <v>8912</v>
      </c>
      <c r="V898" s="46">
        <f t="shared" si="189"/>
        <v>8921</v>
      </c>
      <c r="W898" s="33" t="e">
        <f>IFERROR(AVERAGEIFS(data_brute!M:M,data_brute!J:J,"&lt;="&amp;V898,data_brute!J:J,"&gt;="&amp;U898),NA())</f>
        <v>#N/A</v>
      </c>
      <c r="X898" s="46" t="e">
        <f t="shared" si="190"/>
        <v>#N/A</v>
      </c>
      <c r="Y898" s="2" t="b">
        <f t="shared" si="191"/>
        <v>0</v>
      </c>
      <c r="Z898" s="2" t="b">
        <f t="shared" si="192"/>
        <v>0</v>
      </c>
      <c r="AE898" s="46">
        <f t="shared" si="185"/>
        <v>8912</v>
      </c>
      <c r="AF898" s="46">
        <f t="shared" si="186"/>
        <v>8921</v>
      </c>
      <c r="AG898" s="33" t="e">
        <f>IFERROR(AVERAGEIFS(data_brute!M:M,data_brute!J:J,"&gt;="&amp;AE898,data_brute!J:J,"&lt;="&amp;AF898),NA())</f>
        <v>#N/A</v>
      </c>
      <c r="AH898" s="46" t="e">
        <f t="shared" si="187"/>
        <v>#N/A</v>
      </c>
      <c r="AJ898" s="46">
        <f t="shared" si="193"/>
        <v>8912</v>
      </c>
      <c r="AK898" s="46">
        <f t="shared" si="194"/>
        <v>8921</v>
      </c>
      <c r="AL898" s="33">
        <f ca="1">IFERROR(AVERAGEIFS(data_brute!M:M,data_brute!J:J,"&lt;="&amp;AK898),NA())</f>
        <v>25.353524229074896</v>
      </c>
      <c r="AM898" s="46">
        <f t="shared" ca="1" si="195"/>
        <v>8920</v>
      </c>
      <c r="AN898" s="46" t="b">
        <f t="shared" si="196"/>
        <v>0</v>
      </c>
      <c r="AO898" s="50" t="b">
        <f t="shared" si="197"/>
        <v>0</v>
      </c>
    </row>
    <row r="899" spans="21:41" x14ac:dyDescent="0.2">
      <c r="U899" s="46">
        <f t="shared" si="188"/>
        <v>8922</v>
      </c>
      <c r="V899" s="46">
        <f t="shared" si="189"/>
        <v>8931</v>
      </c>
      <c r="W899" s="33" t="e">
        <f>IFERROR(AVERAGEIFS(data_brute!M:M,data_brute!J:J,"&lt;="&amp;V899,data_brute!J:J,"&gt;="&amp;U899),NA())</f>
        <v>#N/A</v>
      </c>
      <c r="X899" s="46" t="e">
        <f t="shared" si="190"/>
        <v>#N/A</v>
      </c>
      <c r="Y899" s="2" t="b">
        <f t="shared" si="191"/>
        <v>0</v>
      </c>
      <c r="Z899" s="2" t="b">
        <f t="shared" si="192"/>
        <v>0</v>
      </c>
      <c r="AE899" s="46">
        <f t="shared" si="185"/>
        <v>8922</v>
      </c>
      <c r="AF899" s="46">
        <f t="shared" si="186"/>
        <v>8931</v>
      </c>
      <c r="AG899" s="33" t="e">
        <f>IFERROR(AVERAGEIFS(data_brute!M:M,data_brute!J:J,"&gt;="&amp;AE899,data_brute!J:J,"&lt;="&amp;AF899),NA())</f>
        <v>#N/A</v>
      </c>
      <c r="AH899" s="46" t="e">
        <f t="shared" si="187"/>
        <v>#N/A</v>
      </c>
      <c r="AJ899" s="46">
        <f t="shared" si="193"/>
        <v>8922</v>
      </c>
      <c r="AK899" s="46">
        <f t="shared" si="194"/>
        <v>8931</v>
      </c>
      <c r="AL899" s="33">
        <f ca="1">IFERROR(AVERAGEIFS(data_brute!M:M,data_brute!J:J,"&lt;="&amp;AK899),NA())</f>
        <v>25.353524229074896</v>
      </c>
      <c r="AM899" s="46">
        <f t="shared" ca="1" si="195"/>
        <v>8930</v>
      </c>
      <c r="AN899" s="46" t="b">
        <f t="shared" si="196"/>
        <v>0</v>
      </c>
      <c r="AO899" s="50" t="b">
        <f t="shared" si="197"/>
        <v>0</v>
      </c>
    </row>
    <row r="900" spans="21:41" x14ac:dyDescent="0.2">
      <c r="U900" s="46">
        <f t="shared" si="188"/>
        <v>8932</v>
      </c>
      <c r="V900" s="46">
        <f t="shared" si="189"/>
        <v>8941</v>
      </c>
      <c r="W900" s="33" t="e">
        <f>IFERROR(AVERAGEIFS(data_brute!M:M,data_brute!J:J,"&lt;="&amp;V900,data_brute!J:J,"&gt;="&amp;U900),NA())</f>
        <v>#N/A</v>
      </c>
      <c r="X900" s="46" t="e">
        <f t="shared" si="190"/>
        <v>#N/A</v>
      </c>
      <c r="Y900" s="2" t="b">
        <f t="shared" si="191"/>
        <v>0</v>
      </c>
      <c r="Z900" s="2" t="b">
        <f t="shared" si="192"/>
        <v>0</v>
      </c>
      <c r="AE900" s="46">
        <f t="shared" si="185"/>
        <v>8932</v>
      </c>
      <c r="AF900" s="46">
        <f t="shared" si="186"/>
        <v>8941</v>
      </c>
      <c r="AG900" s="33" t="e">
        <f>IFERROR(AVERAGEIFS(data_brute!M:M,data_brute!J:J,"&gt;="&amp;AE900,data_brute!J:J,"&lt;="&amp;AF900),NA())</f>
        <v>#N/A</v>
      </c>
      <c r="AH900" s="46" t="e">
        <f t="shared" si="187"/>
        <v>#N/A</v>
      </c>
      <c r="AJ900" s="46">
        <f t="shared" si="193"/>
        <v>8932</v>
      </c>
      <c r="AK900" s="46">
        <f t="shared" si="194"/>
        <v>8941</v>
      </c>
      <c r="AL900" s="33">
        <f ca="1">IFERROR(AVERAGEIFS(data_brute!M:M,data_brute!J:J,"&lt;="&amp;AK900),NA())</f>
        <v>25.353524229074896</v>
      </c>
      <c r="AM900" s="46">
        <f t="shared" ca="1" si="195"/>
        <v>8940</v>
      </c>
      <c r="AN900" s="46" t="b">
        <f t="shared" si="196"/>
        <v>0</v>
      </c>
      <c r="AO900" s="50" t="b">
        <f t="shared" si="197"/>
        <v>0</v>
      </c>
    </row>
    <row r="901" spans="21:41" x14ac:dyDescent="0.2">
      <c r="U901" s="46">
        <f t="shared" si="188"/>
        <v>8942</v>
      </c>
      <c r="V901" s="46">
        <f t="shared" si="189"/>
        <v>8951</v>
      </c>
      <c r="W901" s="33" t="e">
        <f>IFERROR(AVERAGEIFS(data_brute!M:M,data_brute!J:J,"&lt;="&amp;V901,data_brute!J:J,"&gt;="&amp;U901),NA())</f>
        <v>#N/A</v>
      </c>
      <c r="X901" s="46" t="e">
        <f t="shared" si="190"/>
        <v>#N/A</v>
      </c>
      <c r="Y901" s="2" t="b">
        <f t="shared" si="191"/>
        <v>0</v>
      </c>
      <c r="Z901" s="2" t="b">
        <f t="shared" si="192"/>
        <v>0</v>
      </c>
      <c r="AE901" s="46">
        <f t="shared" si="185"/>
        <v>8942</v>
      </c>
      <c r="AF901" s="46">
        <f t="shared" si="186"/>
        <v>8951</v>
      </c>
      <c r="AG901" s="33" t="e">
        <f>IFERROR(AVERAGEIFS(data_brute!M:M,data_brute!J:J,"&gt;="&amp;AE901,data_brute!J:J,"&lt;="&amp;AF901),NA())</f>
        <v>#N/A</v>
      </c>
      <c r="AH901" s="46" t="e">
        <f t="shared" si="187"/>
        <v>#N/A</v>
      </c>
      <c r="AJ901" s="46">
        <f t="shared" si="193"/>
        <v>8942</v>
      </c>
      <c r="AK901" s="46">
        <f t="shared" si="194"/>
        <v>8951</v>
      </c>
      <c r="AL901" s="33">
        <f ca="1">IFERROR(AVERAGEIFS(data_brute!M:M,data_brute!J:J,"&lt;="&amp;AK901),NA())</f>
        <v>25.353524229074896</v>
      </c>
      <c r="AM901" s="46">
        <f t="shared" ca="1" si="195"/>
        <v>8950</v>
      </c>
      <c r="AN901" s="46" t="b">
        <f t="shared" si="196"/>
        <v>0</v>
      </c>
      <c r="AO901" s="50" t="b">
        <f t="shared" si="197"/>
        <v>0</v>
      </c>
    </row>
    <row r="902" spans="21:41" x14ac:dyDescent="0.2">
      <c r="U902" s="46">
        <f t="shared" si="188"/>
        <v>8952</v>
      </c>
      <c r="V902" s="46">
        <f t="shared" si="189"/>
        <v>8961</v>
      </c>
      <c r="W902" s="33" t="e">
        <f>IFERROR(AVERAGEIFS(data_brute!M:M,data_brute!J:J,"&lt;="&amp;V902,data_brute!J:J,"&gt;="&amp;U902),NA())</f>
        <v>#N/A</v>
      </c>
      <c r="X902" s="46" t="e">
        <f t="shared" si="190"/>
        <v>#N/A</v>
      </c>
      <c r="Y902" s="2" t="b">
        <f t="shared" si="191"/>
        <v>0</v>
      </c>
      <c r="Z902" s="2" t="b">
        <f t="shared" si="192"/>
        <v>0</v>
      </c>
      <c r="AE902" s="46">
        <f t="shared" si="185"/>
        <v>8952</v>
      </c>
      <c r="AF902" s="46">
        <f t="shared" si="186"/>
        <v>8961</v>
      </c>
      <c r="AG902" s="33" t="e">
        <f>IFERROR(AVERAGEIFS(data_brute!M:M,data_brute!J:J,"&gt;="&amp;AE902,data_brute!J:J,"&lt;="&amp;AF902),NA())</f>
        <v>#N/A</v>
      </c>
      <c r="AH902" s="46" t="e">
        <f t="shared" si="187"/>
        <v>#N/A</v>
      </c>
      <c r="AJ902" s="46">
        <f t="shared" si="193"/>
        <v>8952</v>
      </c>
      <c r="AK902" s="46">
        <f t="shared" si="194"/>
        <v>8961</v>
      </c>
      <c r="AL902" s="33">
        <f ca="1">IFERROR(AVERAGEIFS(data_brute!M:M,data_brute!J:J,"&lt;="&amp;AK902),NA())</f>
        <v>25.353524229074896</v>
      </c>
      <c r="AM902" s="46">
        <f t="shared" ca="1" si="195"/>
        <v>8960</v>
      </c>
      <c r="AN902" s="46" t="b">
        <f t="shared" si="196"/>
        <v>0</v>
      </c>
      <c r="AO902" s="50" t="b">
        <f t="shared" si="197"/>
        <v>0</v>
      </c>
    </row>
    <row r="903" spans="21:41" x14ac:dyDescent="0.2">
      <c r="U903" s="46">
        <f t="shared" si="188"/>
        <v>8962</v>
      </c>
      <c r="V903" s="46">
        <f t="shared" si="189"/>
        <v>8971</v>
      </c>
      <c r="W903" s="33" t="e">
        <f>IFERROR(AVERAGEIFS(data_brute!M:M,data_brute!J:J,"&lt;="&amp;V903,data_brute!J:J,"&gt;="&amp;U903),NA())</f>
        <v>#N/A</v>
      </c>
      <c r="X903" s="46" t="e">
        <f t="shared" si="190"/>
        <v>#N/A</v>
      </c>
      <c r="Y903" s="2" t="b">
        <f t="shared" si="191"/>
        <v>0</v>
      </c>
      <c r="Z903" s="2" t="b">
        <f t="shared" si="192"/>
        <v>0</v>
      </c>
      <c r="AE903" s="46">
        <f t="shared" si="185"/>
        <v>8962</v>
      </c>
      <c r="AF903" s="46">
        <f t="shared" si="186"/>
        <v>8971</v>
      </c>
      <c r="AG903" s="33" t="e">
        <f>IFERROR(AVERAGEIFS(data_brute!M:M,data_brute!J:J,"&gt;="&amp;AE903,data_brute!J:J,"&lt;="&amp;AF903),NA())</f>
        <v>#N/A</v>
      </c>
      <c r="AH903" s="46" t="e">
        <f t="shared" si="187"/>
        <v>#N/A</v>
      </c>
      <c r="AJ903" s="46">
        <f t="shared" si="193"/>
        <v>8962</v>
      </c>
      <c r="AK903" s="46">
        <f t="shared" si="194"/>
        <v>8971</v>
      </c>
      <c r="AL903" s="33">
        <f ca="1">IFERROR(AVERAGEIFS(data_brute!M:M,data_brute!J:J,"&lt;="&amp;AK903),NA())</f>
        <v>25.353524229074896</v>
      </c>
      <c r="AM903" s="46">
        <f t="shared" ca="1" si="195"/>
        <v>8970</v>
      </c>
      <c r="AN903" s="46" t="b">
        <f t="shared" si="196"/>
        <v>0</v>
      </c>
      <c r="AO903" s="50" t="b">
        <f t="shared" si="197"/>
        <v>0</v>
      </c>
    </row>
    <row r="904" spans="21:41" x14ac:dyDescent="0.2">
      <c r="U904" s="46">
        <f t="shared" si="188"/>
        <v>8972</v>
      </c>
      <c r="V904" s="46">
        <f t="shared" si="189"/>
        <v>8981</v>
      </c>
      <c r="W904" s="33" t="e">
        <f>IFERROR(AVERAGEIFS(data_brute!M:M,data_brute!J:J,"&lt;="&amp;V904,data_brute!J:J,"&gt;="&amp;U904),NA())</f>
        <v>#N/A</v>
      </c>
      <c r="X904" s="46" t="e">
        <f t="shared" si="190"/>
        <v>#N/A</v>
      </c>
      <c r="Y904" s="2" t="b">
        <f t="shared" si="191"/>
        <v>0</v>
      </c>
      <c r="Z904" s="2" t="b">
        <f t="shared" si="192"/>
        <v>0</v>
      </c>
      <c r="AE904" s="46">
        <f t="shared" si="185"/>
        <v>8972</v>
      </c>
      <c r="AF904" s="46">
        <f t="shared" si="186"/>
        <v>8981</v>
      </c>
      <c r="AG904" s="33" t="e">
        <f>IFERROR(AVERAGEIFS(data_brute!M:M,data_brute!J:J,"&gt;="&amp;AE904,data_brute!J:J,"&lt;="&amp;AF904),NA())</f>
        <v>#N/A</v>
      </c>
      <c r="AH904" s="46" t="e">
        <f t="shared" si="187"/>
        <v>#N/A</v>
      </c>
      <c r="AJ904" s="46">
        <f t="shared" si="193"/>
        <v>8972</v>
      </c>
      <c r="AK904" s="46">
        <f t="shared" si="194"/>
        <v>8981</v>
      </c>
      <c r="AL904" s="33">
        <f ca="1">IFERROR(AVERAGEIFS(data_brute!M:M,data_brute!J:J,"&lt;="&amp;AK904),NA())</f>
        <v>25.353524229074896</v>
      </c>
      <c r="AM904" s="46">
        <f t="shared" ca="1" si="195"/>
        <v>8980</v>
      </c>
      <c r="AN904" s="46" t="b">
        <f t="shared" si="196"/>
        <v>0</v>
      </c>
      <c r="AO904" s="50" t="b">
        <f t="shared" si="197"/>
        <v>0</v>
      </c>
    </row>
    <row r="905" spans="21:41" x14ac:dyDescent="0.2">
      <c r="U905" s="46">
        <f t="shared" si="188"/>
        <v>8982</v>
      </c>
      <c r="V905" s="46">
        <f t="shared" si="189"/>
        <v>8991</v>
      </c>
      <c r="W905" s="33" t="e">
        <f>IFERROR(AVERAGEIFS(data_brute!M:M,data_brute!J:J,"&lt;="&amp;V905,data_brute!J:J,"&gt;="&amp;U905),NA())</f>
        <v>#N/A</v>
      </c>
      <c r="X905" s="46" t="e">
        <f t="shared" si="190"/>
        <v>#N/A</v>
      </c>
      <c r="Y905" s="2" t="b">
        <f t="shared" si="191"/>
        <v>0</v>
      </c>
      <c r="Z905" s="2" t="b">
        <f t="shared" si="192"/>
        <v>0</v>
      </c>
      <c r="AE905" s="46">
        <f t="shared" si="185"/>
        <v>8982</v>
      </c>
      <c r="AF905" s="46">
        <f t="shared" si="186"/>
        <v>8991</v>
      </c>
      <c r="AG905" s="33" t="e">
        <f>IFERROR(AVERAGEIFS(data_brute!M:M,data_brute!J:J,"&gt;="&amp;AE905,data_brute!J:J,"&lt;="&amp;AF905),NA())</f>
        <v>#N/A</v>
      </c>
      <c r="AH905" s="46" t="e">
        <f t="shared" si="187"/>
        <v>#N/A</v>
      </c>
      <c r="AJ905" s="46">
        <f t="shared" si="193"/>
        <v>8982</v>
      </c>
      <c r="AK905" s="46">
        <f t="shared" si="194"/>
        <v>8991</v>
      </c>
      <c r="AL905" s="33">
        <f ca="1">IFERROR(AVERAGEIFS(data_brute!M:M,data_brute!J:J,"&lt;="&amp;AK905),NA())</f>
        <v>25.353524229074896</v>
      </c>
      <c r="AM905" s="46">
        <f t="shared" ca="1" si="195"/>
        <v>8990</v>
      </c>
      <c r="AN905" s="46" t="b">
        <f t="shared" si="196"/>
        <v>0</v>
      </c>
      <c r="AO905" s="50" t="b">
        <f t="shared" si="197"/>
        <v>0</v>
      </c>
    </row>
    <row r="906" spans="21:41" x14ac:dyDescent="0.2">
      <c r="U906" s="46">
        <f t="shared" si="188"/>
        <v>8992</v>
      </c>
      <c r="V906" s="46">
        <f t="shared" si="189"/>
        <v>9001</v>
      </c>
      <c r="W906" s="33" t="e">
        <f>IFERROR(AVERAGEIFS(data_brute!M:M,data_brute!J:J,"&lt;="&amp;V906,data_brute!J:J,"&gt;="&amp;U906),NA())</f>
        <v>#N/A</v>
      </c>
      <c r="X906" s="46" t="e">
        <f t="shared" si="190"/>
        <v>#N/A</v>
      </c>
      <c r="Y906" s="2" t="b">
        <f t="shared" si="191"/>
        <v>0</v>
      </c>
      <c r="Z906" s="2" t="b">
        <f t="shared" si="192"/>
        <v>0</v>
      </c>
      <c r="AE906" s="46">
        <f t="shared" si="185"/>
        <v>8992</v>
      </c>
      <c r="AF906" s="46">
        <f t="shared" si="186"/>
        <v>9001</v>
      </c>
      <c r="AG906" s="33" t="e">
        <f>IFERROR(AVERAGEIFS(data_brute!M:M,data_brute!J:J,"&gt;="&amp;AE906,data_brute!J:J,"&lt;="&amp;AF906),NA())</f>
        <v>#N/A</v>
      </c>
      <c r="AH906" s="46" t="e">
        <f t="shared" si="187"/>
        <v>#N/A</v>
      </c>
      <c r="AJ906" s="46">
        <f t="shared" si="193"/>
        <v>8992</v>
      </c>
      <c r="AK906" s="46">
        <f t="shared" si="194"/>
        <v>9001</v>
      </c>
      <c r="AL906" s="33">
        <f ca="1">IFERROR(AVERAGEIFS(data_brute!M:M,data_brute!J:J,"&lt;="&amp;AK906),NA())</f>
        <v>25.353524229074896</v>
      </c>
      <c r="AM906" s="46">
        <f t="shared" ca="1" si="195"/>
        <v>9000</v>
      </c>
      <c r="AN906" s="46" t="b">
        <f t="shared" si="196"/>
        <v>0</v>
      </c>
      <c r="AO906" s="50" t="b">
        <f t="shared" si="197"/>
        <v>0</v>
      </c>
    </row>
    <row r="907" spans="21:41" x14ac:dyDescent="0.2">
      <c r="U907" s="46">
        <f t="shared" si="188"/>
        <v>9002</v>
      </c>
      <c r="V907" s="46">
        <f t="shared" si="189"/>
        <v>9011</v>
      </c>
      <c r="W907" s="33" t="e">
        <f>IFERROR(AVERAGEIFS(data_brute!M:M,data_brute!J:J,"&lt;="&amp;V907,data_brute!J:J,"&gt;="&amp;U907),NA())</f>
        <v>#N/A</v>
      </c>
      <c r="X907" s="46" t="e">
        <f t="shared" si="190"/>
        <v>#N/A</v>
      </c>
      <c r="Y907" s="2" t="b">
        <f t="shared" si="191"/>
        <v>0</v>
      </c>
      <c r="Z907" s="2" t="b">
        <f t="shared" si="192"/>
        <v>0</v>
      </c>
      <c r="AE907" s="46">
        <f t="shared" si="185"/>
        <v>9002</v>
      </c>
      <c r="AF907" s="46">
        <f t="shared" si="186"/>
        <v>9011</v>
      </c>
      <c r="AG907" s="33" t="e">
        <f>IFERROR(AVERAGEIFS(data_brute!M:M,data_brute!J:J,"&gt;="&amp;AE907,data_brute!J:J,"&lt;="&amp;AF907),NA())</f>
        <v>#N/A</v>
      </c>
      <c r="AH907" s="46" t="e">
        <f t="shared" si="187"/>
        <v>#N/A</v>
      </c>
      <c r="AJ907" s="46">
        <f t="shared" si="193"/>
        <v>9002</v>
      </c>
      <c r="AK907" s="46">
        <f t="shared" si="194"/>
        <v>9011</v>
      </c>
      <c r="AL907" s="33">
        <f ca="1">IFERROR(AVERAGEIFS(data_brute!M:M,data_brute!J:J,"&lt;="&amp;AK907),NA())</f>
        <v>25.353524229074896</v>
      </c>
      <c r="AM907" s="46">
        <f t="shared" ca="1" si="195"/>
        <v>9010</v>
      </c>
      <c r="AN907" s="46" t="b">
        <f t="shared" si="196"/>
        <v>0</v>
      </c>
      <c r="AO907" s="50" t="b">
        <f t="shared" si="197"/>
        <v>0</v>
      </c>
    </row>
    <row r="908" spans="21:41" x14ac:dyDescent="0.2">
      <c r="U908" s="46">
        <f t="shared" si="188"/>
        <v>9012</v>
      </c>
      <c r="V908" s="46">
        <f t="shared" si="189"/>
        <v>9021</v>
      </c>
      <c r="W908" s="33" t="e">
        <f>IFERROR(AVERAGEIFS(data_brute!M:M,data_brute!J:J,"&lt;="&amp;V908,data_brute!J:J,"&gt;="&amp;U908),NA())</f>
        <v>#N/A</v>
      </c>
      <c r="X908" s="46" t="e">
        <f t="shared" si="190"/>
        <v>#N/A</v>
      </c>
      <c r="Y908" s="2" t="b">
        <f t="shared" si="191"/>
        <v>0</v>
      </c>
      <c r="Z908" s="2" t="b">
        <f t="shared" si="192"/>
        <v>0</v>
      </c>
      <c r="AE908" s="46">
        <f t="shared" si="185"/>
        <v>9012</v>
      </c>
      <c r="AF908" s="46">
        <f t="shared" si="186"/>
        <v>9021</v>
      </c>
      <c r="AG908" s="33" t="e">
        <f>IFERROR(AVERAGEIFS(data_brute!M:M,data_brute!J:J,"&gt;="&amp;AE908,data_brute!J:J,"&lt;="&amp;AF908),NA())</f>
        <v>#N/A</v>
      </c>
      <c r="AH908" s="46" t="e">
        <f t="shared" si="187"/>
        <v>#N/A</v>
      </c>
      <c r="AJ908" s="46">
        <f t="shared" si="193"/>
        <v>9012</v>
      </c>
      <c r="AK908" s="46">
        <f t="shared" si="194"/>
        <v>9021</v>
      </c>
      <c r="AL908" s="33">
        <f ca="1">IFERROR(AVERAGEIFS(data_brute!M:M,data_brute!J:J,"&lt;="&amp;AK908),NA())</f>
        <v>25.353524229074896</v>
      </c>
      <c r="AM908" s="46">
        <f t="shared" ca="1" si="195"/>
        <v>9020</v>
      </c>
      <c r="AN908" s="46" t="b">
        <f t="shared" si="196"/>
        <v>0</v>
      </c>
      <c r="AO908" s="50" t="b">
        <f t="shared" si="197"/>
        <v>0</v>
      </c>
    </row>
    <row r="909" spans="21:41" x14ac:dyDescent="0.2">
      <c r="U909" s="46">
        <f t="shared" si="188"/>
        <v>9022</v>
      </c>
      <c r="V909" s="46">
        <f t="shared" si="189"/>
        <v>9031</v>
      </c>
      <c r="W909" s="33" t="e">
        <f>IFERROR(AVERAGEIFS(data_brute!M:M,data_brute!J:J,"&lt;="&amp;V909,data_brute!J:J,"&gt;="&amp;U909),NA())</f>
        <v>#N/A</v>
      </c>
      <c r="X909" s="46" t="e">
        <f t="shared" si="190"/>
        <v>#N/A</v>
      </c>
      <c r="Y909" s="2" t="b">
        <f t="shared" si="191"/>
        <v>0</v>
      </c>
      <c r="Z909" s="2" t="b">
        <f t="shared" si="192"/>
        <v>0</v>
      </c>
      <c r="AE909" s="46">
        <f t="shared" si="185"/>
        <v>9022</v>
      </c>
      <c r="AF909" s="46">
        <f t="shared" si="186"/>
        <v>9031</v>
      </c>
      <c r="AG909" s="33" t="e">
        <f>IFERROR(AVERAGEIFS(data_brute!M:M,data_brute!J:J,"&gt;="&amp;AE909,data_brute!J:J,"&lt;="&amp;AF909),NA())</f>
        <v>#N/A</v>
      </c>
      <c r="AH909" s="46" t="e">
        <f t="shared" si="187"/>
        <v>#N/A</v>
      </c>
      <c r="AJ909" s="46">
        <f t="shared" si="193"/>
        <v>9022</v>
      </c>
      <c r="AK909" s="46">
        <f t="shared" si="194"/>
        <v>9031</v>
      </c>
      <c r="AL909" s="33">
        <f ca="1">IFERROR(AVERAGEIFS(data_brute!M:M,data_brute!J:J,"&lt;="&amp;AK909),NA())</f>
        <v>25.353524229074896</v>
      </c>
      <c r="AM909" s="46">
        <f t="shared" ca="1" si="195"/>
        <v>9030</v>
      </c>
      <c r="AN909" s="46" t="b">
        <f t="shared" si="196"/>
        <v>0</v>
      </c>
      <c r="AO909" s="50" t="b">
        <f t="shared" si="197"/>
        <v>0</v>
      </c>
    </row>
    <row r="910" spans="21:41" x14ac:dyDescent="0.2">
      <c r="U910" s="46">
        <f t="shared" si="188"/>
        <v>9032</v>
      </c>
      <c r="V910" s="46">
        <f t="shared" si="189"/>
        <v>9041</v>
      </c>
      <c r="W910" s="33" t="e">
        <f>IFERROR(AVERAGEIFS(data_brute!M:M,data_brute!J:J,"&lt;="&amp;V910,data_brute!J:J,"&gt;="&amp;U910),NA())</f>
        <v>#N/A</v>
      </c>
      <c r="X910" s="46" t="e">
        <f t="shared" si="190"/>
        <v>#N/A</v>
      </c>
      <c r="Y910" s="2" t="b">
        <f t="shared" si="191"/>
        <v>0</v>
      </c>
      <c r="Z910" s="2" t="b">
        <f t="shared" si="192"/>
        <v>0</v>
      </c>
      <c r="AE910" s="46">
        <f t="shared" si="185"/>
        <v>9032</v>
      </c>
      <c r="AF910" s="46">
        <f t="shared" si="186"/>
        <v>9041</v>
      </c>
      <c r="AG910" s="33" t="e">
        <f>IFERROR(AVERAGEIFS(data_brute!M:M,data_brute!J:J,"&gt;="&amp;AE910,data_brute!J:J,"&lt;="&amp;AF910),NA())</f>
        <v>#N/A</v>
      </c>
      <c r="AH910" s="46" t="e">
        <f t="shared" si="187"/>
        <v>#N/A</v>
      </c>
      <c r="AJ910" s="46">
        <f t="shared" si="193"/>
        <v>9032</v>
      </c>
      <c r="AK910" s="46">
        <f t="shared" si="194"/>
        <v>9041</v>
      </c>
      <c r="AL910" s="33">
        <f ca="1">IFERROR(AVERAGEIFS(data_brute!M:M,data_brute!J:J,"&lt;="&amp;AK910),NA())</f>
        <v>25.353524229074896</v>
      </c>
      <c r="AM910" s="46">
        <f t="shared" ca="1" si="195"/>
        <v>9040</v>
      </c>
      <c r="AN910" s="46" t="b">
        <f t="shared" si="196"/>
        <v>0</v>
      </c>
      <c r="AO910" s="50" t="b">
        <f t="shared" si="197"/>
        <v>0</v>
      </c>
    </row>
    <row r="911" spans="21:41" x14ac:dyDescent="0.2">
      <c r="U911" s="46">
        <f t="shared" si="188"/>
        <v>9042</v>
      </c>
      <c r="V911" s="46">
        <f t="shared" si="189"/>
        <v>9051</v>
      </c>
      <c r="W911" s="33" t="e">
        <f>IFERROR(AVERAGEIFS(data_brute!M:M,data_brute!J:J,"&lt;="&amp;V911,data_brute!J:J,"&gt;="&amp;U911),NA())</f>
        <v>#N/A</v>
      </c>
      <c r="X911" s="46" t="e">
        <f t="shared" si="190"/>
        <v>#N/A</v>
      </c>
      <c r="Y911" s="2" t="b">
        <f t="shared" si="191"/>
        <v>0</v>
      </c>
      <c r="Z911" s="2" t="b">
        <f t="shared" si="192"/>
        <v>0</v>
      </c>
      <c r="AE911" s="46">
        <f t="shared" si="185"/>
        <v>9042</v>
      </c>
      <c r="AF911" s="46">
        <f t="shared" si="186"/>
        <v>9051</v>
      </c>
      <c r="AG911" s="33" t="e">
        <f>IFERROR(AVERAGEIFS(data_brute!M:M,data_brute!J:J,"&gt;="&amp;AE911,data_brute!J:J,"&lt;="&amp;AF911),NA())</f>
        <v>#N/A</v>
      </c>
      <c r="AH911" s="46" t="e">
        <f t="shared" si="187"/>
        <v>#N/A</v>
      </c>
      <c r="AJ911" s="46">
        <f t="shared" si="193"/>
        <v>9042</v>
      </c>
      <c r="AK911" s="46">
        <f t="shared" si="194"/>
        <v>9051</v>
      </c>
      <c r="AL911" s="33">
        <f ca="1">IFERROR(AVERAGEIFS(data_brute!M:M,data_brute!J:J,"&lt;="&amp;AK911),NA())</f>
        <v>25.353524229074896</v>
      </c>
      <c r="AM911" s="46">
        <f t="shared" ca="1" si="195"/>
        <v>9050</v>
      </c>
      <c r="AN911" s="46" t="b">
        <f t="shared" si="196"/>
        <v>0</v>
      </c>
      <c r="AO911" s="50" t="b">
        <f t="shared" si="197"/>
        <v>0</v>
      </c>
    </row>
    <row r="912" spans="21:41" x14ac:dyDescent="0.2">
      <c r="U912" s="46">
        <f t="shared" si="188"/>
        <v>9052</v>
      </c>
      <c r="V912" s="46">
        <f t="shared" si="189"/>
        <v>9061</v>
      </c>
      <c r="W912" s="33" t="e">
        <f>IFERROR(AVERAGEIFS(data_brute!M:M,data_brute!J:J,"&lt;="&amp;V912,data_brute!J:J,"&gt;="&amp;U912),NA())</f>
        <v>#N/A</v>
      </c>
      <c r="X912" s="46" t="e">
        <f t="shared" si="190"/>
        <v>#N/A</v>
      </c>
      <c r="Y912" s="2" t="b">
        <f t="shared" si="191"/>
        <v>0</v>
      </c>
      <c r="Z912" s="2" t="b">
        <f t="shared" si="192"/>
        <v>0</v>
      </c>
      <c r="AE912" s="46">
        <f t="shared" si="185"/>
        <v>9052</v>
      </c>
      <c r="AF912" s="46">
        <f t="shared" si="186"/>
        <v>9061</v>
      </c>
      <c r="AG912" s="33" t="e">
        <f>IFERROR(AVERAGEIFS(data_brute!M:M,data_brute!J:J,"&gt;="&amp;AE912,data_brute!J:J,"&lt;="&amp;AF912),NA())</f>
        <v>#N/A</v>
      </c>
      <c r="AH912" s="46" t="e">
        <f t="shared" si="187"/>
        <v>#N/A</v>
      </c>
      <c r="AJ912" s="46">
        <f t="shared" si="193"/>
        <v>9052</v>
      </c>
      <c r="AK912" s="46">
        <f t="shared" si="194"/>
        <v>9061</v>
      </c>
      <c r="AL912" s="33">
        <f ca="1">IFERROR(AVERAGEIFS(data_brute!M:M,data_brute!J:J,"&lt;="&amp;AK912),NA())</f>
        <v>25.353524229074896</v>
      </c>
      <c r="AM912" s="46">
        <f t="shared" ca="1" si="195"/>
        <v>9060</v>
      </c>
      <c r="AN912" s="46" t="b">
        <f t="shared" si="196"/>
        <v>0</v>
      </c>
      <c r="AO912" s="50" t="b">
        <f t="shared" si="197"/>
        <v>0</v>
      </c>
    </row>
    <row r="913" spans="21:41" x14ac:dyDescent="0.2">
      <c r="U913" s="46">
        <f t="shared" si="188"/>
        <v>9062</v>
      </c>
      <c r="V913" s="46">
        <f t="shared" si="189"/>
        <v>9071</v>
      </c>
      <c r="W913" s="33" t="e">
        <f>IFERROR(AVERAGEIFS(data_brute!M:M,data_brute!J:J,"&lt;="&amp;V913,data_brute!J:J,"&gt;="&amp;U913),NA())</f>
        <v>#N/A</v>
      </c>
      <c r="X913" s="46" t="e">
        <f t="shared" si="190"/>
        <v>#N/A</v>
      </c>
      <c r="Y913" s="2" t="b">
        <f t="shared" si="191"/>
        <v>0</v>
      </c>
      <c r="Z913" s="2" t="b">
        <f t="shared" si="192"/>
        <v>0</v>
      </c>
      <c r="AE913" s="46">
        <f t="shared" si="185"/>
        <v>9062</v>
      </c>
      <c r="AF913" s="46">
        <f t="shared" si="186"/>
        <v>9071</v>
      </c>
      <c r="AG913" s="33" t="e">
        <f>IFERROR(AVERAGEIFS(data_brute!M:M,data_brute!J:J,"&gt;="&amp;AE913,data_brute!J:J,"&lt;="&amp;AF913),NA())</f>
        <v>#N/A</v>
      </c>
      <c r="AH913" s="46" t="e">
        <f t="shared" si="187"/>
        <v>#N/A</v>
      </c>
      <c r="AJ913" s="46">
        <f t="shared" si="193"/>
        <v>9062</v>
      </c>
      <c r="AK913" s="46">
        <f t="shared" si="194"/>
        <v>9071</v>
      </c>
      <c r="AL913" s="33">
        <f ca="1">IFERROR(AVERAGEIFS(data_brute!M:M,data_brute!J:J,"&lt;="&amp;AK913),NA())</f>
        <v>25.353524229074896</v>
      </c>
      <c r="AM913" s="46">
        <f t="shared" ca="1" si="195"/>
        <v>9070</v>
      </c>
      <c r="AN913" s="46" t="b">
        <f t="shared" si="196"/>
        <v>0</v>
      </c>
      <c r="AO913" s="50" t="b">
        <f t="shared" si="197"/>
        <v>0</v>
      </c>
    </row>
    <row r="914" spans="21:41" x14ac:dyDescent="0.2">
      <c r="U914" s="46">
        <f t="shared" si="188"/>
        <v>9072</v>
      </c>
      <c r="V914" s="46">
        <f t="shared" si="189"/>
        <v>9081</v>
      </c>
      <c r="W914" s="33" t="e">
        <f>IFERROR(AVERAGEIFS(data_brute!M:M,data_brute!J:J,"&lt;="&amp;V914,data_brute!J:J,"&gt;="&amp;U914),NA())</f>
        <v>#N/A</v>
      </c>
      <c r="X914" s="46" t="e">
        <f t="shared" si="190"/>
        <v>#N/A</v>
      </c>
      <c r="Y914" s="2" t="b">
        <f t="shared" si="191"/>
        <v>0</v>
      </c>
      <c r="Z914" s="2" t="b">
        <f t="shared" si="192"/>
        <v>0</v>
      </c>
      <c r="AE914" s="46">
        <f t="shared" si="185"/>
        <v>9072</v>
      </c>
      <c r="AF914" s="46">
        <f t="shared" si="186"/>
        <v>9081</v>
      </c>
      <c r="AG914" s="33" t="e">
        <f>IFERROR(AVERAGEIFS(data_brute!M:M,data_brute!J:J,"&gt;="&amp;AE914,data_brute!J:J,"&lt;="&amp;AF914),NA())</f>
        <v>#N/A</v>
      </c>
      <c r="AH914" s="46" t="e">
        <f t="shared" si="187"/>
        <v>#N/A</v>
      </c>
      <c r="AJ914" s="46">
        <f t="shared" si="193"/>
        <v>9072</v>
      </c>
      <c r="AK914" s="46">
        <f t="shared" si="194"/>
        <v>9081</v>
      </c>
      <c r="AL914" s="33">
        <f ca="1">IFERROR(AVERAGEIFS(data_brute!M:M,data_brute!J:J,"&lt;="&amp;AK914),NA())</f>
        <v>25.353524229074896</v>
      </c>
      <c r="AM914" s="46">
        <f t="shared" ca="1" si="195"/>
        <v>9080</v>
      </c>
      <c r="AN914" s="46" t="b">
        <f t="shared" si="196"/>
        <v>0</v>
      </c>
      <c r="AO914" s="50" t="b">
        <f t="shared" si="197"/>
        <v>0</v>
      </c>
    </row>
    <row r="915" spans="21:41" x14ac:dyDescent="0.2">
      <c r="U915" s="46">
        <f t="shared" si="188"/>
        <v>9082</v>
      </c>
      <c r="V915" s="46">
        <f t="shared" si="189"/>
        <v>9091</v>
      </c>
      <c r="W915" s="33" t="e">
        <f>IFERROR(AVERAGEIFS(data_brute!M:M,data_brute!J:J,"&lt;="&amp;V915,data_brute!J:J,"&gt;="&amp;U915),NA())</f>
        <v>#N/A</v>
      </c>
      <c r="X915" s="46" t="e">
        <f t="shared" si="190"/>
        <v>#N/A</v>
      </c>
      <c r="Y915" s="2" t="b">
        <f t="shared" si="191"/>
        <v>0</v>
      </c>
      <c r="Z915" s="2" t="b">
        <f t="shared" si="192"/>
        <v>0</v>
      </c>
      <c r="AE915" s="46">
        <f t="shared" si="185"/>
        <v>9082</v>
      </c>
      <c r="AF915" s="46">
        <f t="shared" si="186"/>
        <v>9091</v>
      </c>
      <c r="AG915" s="33" t="e">
        <f>IFERROR(AVERAGEIFS(data_brute!M:M,data_brute!J:J,"&gt;="&amp;AE915,data_brute!J:J,"&lt;="&amp;AF915),NA())</f>
        <v>#N/A</v>
      </c>
      <c r="AH915" s="46" t="e">
        <f t="shared" si="187"/>
        <v>#N/A</v>
      </c>
      <c r="AJ915" s="46">
        <f t="shared" si="193"/>
        <v>9082</v>
      </c>
      <c r="AK915" s="46">
        <f t="shared" si="194"/>
        <v>9091</v>
      </c>
      <c r="AL915" s="33">
        <f ca="1">IFERROR(AVERAGEIFS(data_brute!M:M,data_brute!J:J,"&lt;="&amp;AK915),NA())</f>
        <v>25.353524229074896</v>
      </c>
      <c r="AM915" s="46">
        <f t="shared" ca="1" si="195"/>
        <v>9090</v>
      </c>
      <c r="AN915" s="46" t="b">
        <f t="shared" si="196"/>
        <v>0</v>
      </c>
      <c r="AO915" s="50" t="b">
        <f t="shared" si="197"/>
        <v>0</v>
      </c>
    </row>
    <row r="916" spans="21:41" x14ac:dyDescent="0.2">
      <c r="U916" s="46">
        <f t="shared" si="188"/>
        <v>9092</v>
      </c>
      <c r="V916" s="46">
        <f t="shared" si="189"/>
        <v>9101</v>
      </c>
      <c r="W916" s="33" t="e">
        <f>IFERROR(AVERAGEIFS(data_brute!M:M,data_brute!J:J,"&lt;="&amp;V916,data_brute!J:J,"&gt;="&amp;U916),NA())</f>
        <v>#N/A</v>
      </c>
      <c r="X916" s="46" t="e">
        <f t="shared" si="190"/>
        <v>#N/A</v>
      </c>
      <c r="Y916" s="2" t="b">
        <f t="shared" si="191"/>
        <v>0</v>
      </c>
      <c r="Z916" s="2" t="b">
        <f t="shared" si="192"/>
        <v>0</v>
      </c>
      <c r="AE916" s="46">
        <f t="shared" si="185"/>
        <v>9092</v>
      </c>
      <c r="AF916" s="46">
        <f t="shared" si="186"/>
        <v>9101</v>
      </c>
      <c r="AG916" s="33" t="e">
        <f>IFERROR(AVERAGEIFS(data_brute!M:M,data_brute!J:J,"&gt;="&amp;AE916,data_brute!J:J,"&lt;="&amp;AF916),NA())</f>
        <v>#N/A</v>
      </c>
      <c r="AH916" s="46" t="e">
        <f t="shared" si="187"/>
        <v>#N/A</v>
      </c>
      <c r="AJ916" s="46">
        <f t="shared" si="193"/>
        <v>9092</v>
      </c>
      <c r="AK916" s="46">
        <f t="shared" si="194"/>
        <v>9101</v>
      </c>
      <c r="AL916" s="33">
        <f ca="1">IFERROR(AVERAGEIFS(data_brute!M:M,data_brute!J:J,"&lt;="&amp;AK916),NA())</f>
        <v>25.353524229074896</v>
      </c>
      <c r="AM916" s="46">
        <f t="shared" ca="1" si="195"/>
        <v>9100</v>
      </c>
      <c r="AN916" s="46" t="b">
        <f t="shared" si="196"/>
        <v>0</v>
      </c>
      <c r="AO916" s="50" t="b">
        <f t="shared" si="197"/>
        <v>0</v>
      </c>
    </row>
    <row r="917" spans="21:41" x14ac:dyDescent="0.2">
      <c r="U917" s="46">
        <f t="shared" si="188"/>
        <v>9102</v>
      </c>
      <c r="V917" s="46">
        <f t="shared" si="189"/>
        <v>9111</v>
      </c>
      <c r="W917" s="33" t="e">
        <f>IFERROR(AVERAGEIFS(data_brute!M:M,data_brute!J:J,"&lt;="&amp;V917,data_brute!J:J,"&gt;="&amp;U917),NA())</f>
        <v>#N/A</v>
      </c>
      <c r="X917" s="46" t="e">
        <f t="shared" si="190"/>
        <v>#N/A</v>
      </c>
      <c r="Y917" s="2" t="b">
        <f t="shared" si="191"/>
        <v>0</v>
      </c>
      <c r="Z917" s="2" t="b">
        <f t="shared" si="192"/>
        <v>0</v>
      </c>
      <c r="AE917" s="46">
        <f t="shared" si="185"/>
        <v>9102</v>
      </c>
      <c r="AF917" s="46">
        <f t="shared" si="186"/>
        <v>9111</v>
      </c>
      <c r="AG917" s="33" t="e">
        <f>IFERROR(AVERAGEIFS(data_brute!M:M,data_brute!J:J,"&gt;="&amp;AE917,data_brute!J:J,"&lt;="&amp;AF917),NA())</f>
        <v>#N/A</v>
      </c>
      <c r="AH917" s="46" t="e">
        <f t="shared" si="187"/>
        <v>#N/A</v>
      </c>
      <c r="AJ917" s="46">
        <f t="shared" si="193"/>
        <v>9102</v>
      </c>
      <c r="AK917" s="46">
        <f t="shared" si="194"/>
        <v>9111</v>
      </c>
      <c r="AL917" s="33">
        <f ca="1">IFERROR(AVERAGEIFS(data_brute!M:M,data_brute!J:J,"&lt;="&amp;AK917),NA())</f>
        <v>25.353524229074896</v>
      </c>
      <c r="AM917" s="46">
        <f t="shared" ca="1" si="195"/>
        <v>9110</v>
      </c>
      <c r="AN917" s="46" t="b">
        <f t="shared" si="196"/>
        <v>0</v>
      </c>
      <c r="AO917" s="50" t="b">
        <f t="shared" si="197"/>
        <v>0</v>
      </c>
    </row>
    <row r="918" spans="21:41" x14ac:dyDescent="0.2">
      <c r="U918" s="46">
        <f t="shared" si="188"/>
        <v>9112</v>
      </c>
      <c r="V918" s="46">
        <f t="shared" si="189"/>
        <v>9121</v>
      </c>
      <c r="W918" s="33" t="e">
        <f>IFERROR(AVERAGEIFS(data_brute!M:M,data_brute!J:J,"&lt;="&amp;V918,data_brute!J:J,"&gt;="&amp;U918),NA())</f>
        <v>#N/A</v>
      </c>
      <c r="X918" s="46" t="e">
        <f t="shared" si="190"/>
        <v>#N/A</v>
      </c>
      <c r="Y918" s="2" t="b">
        <f t="shared" si="191"/>
        <v>0</v>
      </c>
      <c r="Z918" s="2" t="b">
        <f t="shared" si="192"/>
        <v>0</v>
      </c>
      <c r="AE918" s="46">
        <f t="shared" si="185"/>
        <v>9112</v>
      </c>
      <c r="AF918" s="46">
        <f t="shared" si="186"/>
        <v>9121</v>
      </c>
      <c r="AG918" s="33" t="e">
        <f>IFERROR(AVERAGEIFS(data_brute!M:M,data_brute!J:J,"&gt;="&amp;AE918,data_brute!J:J,"&lt;="&amp;AF918),NA())</f>
        <v>#N/A</v>
      </c>
      <c r="AH918" s="46" t="e">
        <f t="shared" si="187"/>
        <v>#N/A</v>
      </c>
      <c r="AJ918" s="46">
        <f t="shared" si="193"/>
        <v>9112</v>
      </c>
      <c r="AK918" s="46">
        <f t="shared" si="194"/>
        <v>9121</v>
      </c>
      <c r="AL918" s="33">
        <f ca="1">IFERROR(AVERAGEIFS(data_brute!M:M,data_brute!J:J,"&lt;="&amp;AK918),NA())</f>
        <v>25.353524229074896</v>
      </c>
      <c r="AM918" s="46">
        <f t="shared" ca="1" si="195"/>
        <v>9120</v>
      </c>
      <c r="AN918" s="46" t="b">
        <f t="shared" si="196"/>
        <v>0</v>
      </c>
      <c r="AO918" s="50" t="b">
        <f t="shared" si="197"/>
        <v>0</v>
      </c>
    </row>
    <row r="919" spans="21:41" x14ac:dyDescent="0.2">
      <c r="U919" s="46">
        <f t="shared" si="188"/>
        <v>9122</v>
      </c>
      <c r="V919" s="46">
        <f t="shared" si="189"/>
        <v>9131</v>
      </c>
      <c r="W919" s="33" t="e">
        <f>IFERROR(AVERAGEIFS(data_brute!M:M,data_brute!J:J,"&lt;="&amp;V919,data_brute!J:J,"&gt;="&amp;U919),NA())</f>
        <v>#N/A</v>
      </c>
      <c r="X919" s="46" t="e">
        <f t="shared" si="190"/>
        <v>#N/A</v>
      </c>
      <c r="Y919" s="2" t="b">
        <f t="shared" si="191"/>
        <v>0</v>
      </c>
      <c r="Z919" s="2" t="b">
        <f t="shared" si="192"/>
        <v>0</v>
      </c>
      <c r="AE919" s="46">
        <f t="shared" si="185"/>
        <v>9122</v>
      </c>
      <c r="AF919" s="46">
        <f t="shared" si="186"/>
        <v>9131</v>
      </c>
      <c r="AG919" s="33" t="e">
        <f>IFERROR(AVERAGEIFS(data_brute!M:M,data_brute!J:J,"&gt;="&amp;AE919,data_brute!J:J,"&lt;="&amp;AF919),NA())</f>
        <v>#N/A</v>
      </c>
      <c r="AH919" s="46" t="e">
        <f t="shared" si="187"/>
        <v>#N/A</v>
      </c>
      <c r="AJ919" s="46">
        <f t="shared" si="193"/>
        <v>9122</v>
      </c>
      <c r="AK919" s="46">
        <f t="shared" si="194"/>
        <v>9131</v>
      </c>
      <c r="AL919" s="33">
        <f ca="1">IFERROR(AVERAGEIFS(data_brute!M:M,data_brute!J:J,"&lt;="&amp;AK919),NA())</f>
        <v>25.353524229074896</v>
      </c>
      <c r="AM919" s="46">
        <f t="shared" ca="1" si="195"/>
        <v>9130</v>
      </c>
      <c r="AN919" s="46" t="b">
        <f t="shared" si="196"/>
        <v>0</v>
      </c>
      <c r="AO919" s="50" t="b">
        <f t="shared" si="197"/>
        <v>0</v>
      </c>
    </row>
    <row r="920" spans="21:41" x14ac:dyDescent="0.2">
      <c r="U920" s="46">
        <f t="shared" si="188"/>
        <v>9132</v>
      </c>
      <c r="V920" s="46">
        <f t="shared" si="189"/>
        <v>9141</v>
      </c>
      <c r="W920" s="33" t="e">
        <f>IFERROR(AVERAGEIFS(data_brute!M:M,data_brute!J:J,"&lt;="&amp;V920,data_brute!J:J,"&gt;="&amp;U920),NA())</f>
        <v>#N/A</v>
      </c>
      <c r="X920" s="46" t="e">
        <f t="shared" si="190"/>
        <v>#N/A</v>
      </c>
      <c r="Y920" s="2" t="b">
        <f t="shared" si="191"/>
        <v>0</v>
      </c>
      <c r="Z920" s="2" t="b">
        <f t="shared" si="192"/>
        <v>0</v>
      </c>
      <c r="AE920" s="46">
        <f t="shared" ref="AE920:AE983" si="198">AF919+1</f>
        <v>9132</v>
      </c>
      <c r="AF920" s="46">
        <f t="shared" ref="AF920:AF983" si="199">AE920+$AG$2-1</f>
        <v>9141</v>
      </c>
      <c r="AG920" s="33" t="e">
        <f>IFERROR(AVERAGEIFS(data_brute!M:M,data_brute!J:J,"&gt;="&amp;AE920,data_brute!J:J,"&lt;="&amp;AF920),NA())</f>
        <v>#N/A</v>
      </c>
      <c r="AH920" s="46" t="e">
        <f t="shared" ref="AH920:AH983" si="200">IF(AG920&lt;&gt;"",$AG$2*(ROW()-ROW($AH$6)),NA())</f>
        <v>#N/A</v>
      </c>
      <c r="AJ920" s="46">
        <f t="shared" si="193"/>
        <v>9132</v>
      </c>
      <c r="AK920" s="46">
        <f t="shared" si="194"/>
        <v>9141</v>
      </c>
      <c r="AL920" s="33">
        <f ca="1">IFERROR(AVERAGEIFS(data_brute!M:M,data_brute!J:J,"&lt;="&amp;AK920),NA())</f>
        <v>25.353524229074896</v>
      </c>
      <c r="AM920" s="46">
        <f t="shared" ca="1" si="195"/>
        <v>9140</v>
      </c>
      <c r="AN920" s="46" t="b">
        <f t="shared" si="196"/>
        <v>0</v>
      </c>
      <c r="AO920" s="50" t="b">
        <f t="shared" si="197"/>
        <v>0</v>
      </c>
    </row>
    <row r="921" spans="21:41" x14ac:dyDescent="0.2">
      <c r="U921" s="46">
        <f t="shared" si="188"/>
        <v>9142</v>
      </c>
      <c r="V921" s="46">
        <f t="shared" si="189"/>
        <v>9151</v>
      </c>
      <c r="W921" s="33" t="e">
        <f>IFERROR(AVERAGEIFS(data_brute!M:M,data_brute!J:J,"&lt;="&amp;V921,data_brute!J:J,"&gt;="&amp;U921),NA())</f>
        <v>#N/A</v>
      </c>
      <c r="X921" s="46" t="e">
        <f t="shared" si="190"/>
        <v>#N/A</v>
      </c>
      <c r="Y921" s="2" t="b">
        <f t="shared" si="191"/>
        <v>0</v>
      </c>
      <c r="Z921" s="2" t="b">
        <f t="shared" si="192"/>
        <v>0</v>
      </c>
      <c r="AE921" s="46">
        <f t="shared" si="198"/>
        <v>9142</v>
      </c>
      <c r="AF921" s="46">
        <f t="shared" si="199"/>
        <v>9151</v>
      </c>
      <c r="AG921" s="33" t="e">
        <f>IFERROR(AVERAGEIFS(data_brute!M:M,data_brute!J:J,"&gt;="&amp;AE921,data_brute!J:J,"&lt;="&amp;AF921),NA())</f>
        <v>#N/A</v>
      </c>
      <c r="AH921" s="46" t="e">
        <f t="shared" si="200"/>
        <v>#N/A</v>
      </c>
      <c r="AJ921" s="46">
        <f t="shared" si="193"/>
        <v>9142</v>
      </c>
      <c r="AK921" s="46">
        <f t="shared" si="194"/>
        <v>9151</v>
      </c>
      <c r="AL921" s="33">
        <f ca="1">IFERROR(AVERAGEIFS(data_brute!M:M,data_brute!J:J,"&lt;="&amp;AK921),NA())</f>
        <v>25.353524229074896</v>
      </c>
      <c r="AM921" s="46">
        <f t="shared" ca="1" si="195"/>
        <v>9150</v>
      </c>
      <c r="AN921" s="46" t="b">
        <f t="shared" si="196"/>
        <v>0</v>
      </c>
      <c r="AO921" s="50" t="b">
        <f t="shared" si="197"/>
        <v>0</v>
      </c>
    </row>
    <row r="922" spans="21:41" x14ac:dyDescent="0.2">
      <c r="U922" s="46">
        <f t="shared" si="188"/>
        <v>9152</v>
      </c>
      <c r="V922" s="46">
        <f t="shared" si="189"/>
        <v>9161</v>
      </c>
      <c r="W922" s="33" t="e">
        <f>IFERROR(AVERAGEIFS(data_brute!M:M,data_brute!J:J,"&lt;="&amp;V922,data_brute!J:J,"&gt;="&amp;U922),NA())</f>
        <v>#N/A</v>
      </c>
      <c r="X922" s="46" t="e">
        <f t="shared" si="190"/>
        <v>#N/A</v>
      </c>
      <c r="Y922" s="2" t="b">
        <f t="shared" si="191"/>
        <v>0</v>
      </c>
      <c r="Z922" s="2" t="b">
        <f t="shared" si="192"/>
        <v>0</v>
      </c>
      <c r="AE922" s="46">
        <f t="shared" si="198"/>
        <v>9152</v>
      </c>
      <c r="AF922" s="46">
        <f t="shared" si="199"/>
        <v>9161</v>
      </c>
      <c r="AG922" s="33" t="e">
        <f>IFERROR(AVERAGEIFS(data_brute!M:M,data_brute!J:J,"&gt;="&amp;AE922,data_brute!J:J,"&lt;="&amp;AF922),NA())</f>
        <v>#N/A</v>
      </c>
      <c r="AH922" s="46" t="e">
        <f t="shared" si="200"/>
        <v>#N/A</v>
      </c>
      <c r="AJ922" s="46">
        <f t="shared" si="193"/>
        <v>9152</v>
      </c>
      <c r="AK922" s="46">
        <f t="shared" si="194"/>
        <v>9161</v>
      </c>
      <c r="AL922" s="33">
        <f ca="1">IFERROR(AVERAGEIFS(data_brute!M:M,data_brute!J:J,"&lt;="&amp;AK922),NA())</f>
        <v>25.353524229074896</v>
      </c>
      <c r="AM922" s="46">
        <f t="shared" ca="1" si="195"/>
        <v>9160</v>
      </c>
      <c r="AN922" s="46" t="b">
        <f t="shared" si="196"/>
        <v>0</v>
      </c>
      <c r="AO922" s="50" t="b">
        <f t="shared" si="197"/>
        <v>0</v>
      </c>
    </row>
    <row r="923" spans="21:41" x14ac:dyDescent="0.2">
      <c r="U923" s="46">
        <f t="shared" si="188"/>
        <v>9162</v>
      </c>
      <c r="V923" s="46">
        <f t="shared" si="189"/>
        <v>9171</v>
      </c>
      <c r="W923" s="33" t="e">
        <f>IFERROR(AVERAGEIFS(data_brute!M:M,data_brute!J:J,"&lt;="&amp;V923,data_brute!J:J,"&gt;="&amp;U923),NA())</f>
        <v>#N/A</v>
      </c>
      <c r="X923" s="46" t="e">
        <f t="shared" si="190"/>
        <v>#N/A</v>
      </c>
      <c r="Y923" s="2" t="b">
        <f t="shared" si="191"/>
        <v>0</v>
      </c>
      <c r="Z923" s="2" t="b">
        <f t="shared" si="192"/>
        <v>0</v>
      </c>
      <c r="AE923" s="46">
        <f t="shared" si="198"/>
        <v>9162</v>
      </c>
      <c r="AF923" s="46">
        <f t="shared" si="199"/>
        <v>9171</v>
      </c>
      <c r="AG923" s="33" t="e">
        <f>IFERROR(AVERAGEIFS(data_brute!M:M,data_brute!J:J,"&gt;="&amp;AE923,data_brute!J:J,"&lt;="&amp;AF923),NA())</f>
        <v>#N/A</v>
      </c>
      <c r="AH923" s="46" t="e">
        <f t="shared" si="200"/>
        <v>#N/A</v>
      </c>
      <c r="AJ923" s="46">
        <f t="shared" si="193"/>
        <v>9162</v>
      </c>
      <c r="AK923" s="46">
        <f t="shared" si="194"/>
        <v>9171</v>
      </c>
      <c r="AL923" s="33">
        <f ca="1">IFERROR(AVERAGEIFS(data_brute!M:M,data_brute!J:J,"&lt;="&amp;AK923),NA())</f>
        <v>25.353524229074896</v>
      </c>
      <c r="AM923" s="46">
        <f t="shared" ca="1" si="195"/>
        <v>9170</v>
      </c>
      <c r="AN923" s="46" t="b">
        <f t="shared" si="196"/>
        <v>0</v>
      </c>
      <c r="AO923" s="50" t="b">
        <f t="shared" si="197"/>
        <v>0</v>
      </c>
    </row>
    <row r="924" spans="21:41" x14ac:dyDescent="0.2">
      <c r="U924" s="46">
        <f t="shared" si="188"/>
        <v>9172</v>
      </c>
      <c r="V924" s="46">
        <f t="shared" si="189"/>
        <v>9181</v>
      </c>
      <c r="W924" s="33" t="e">
        <f>IFERROR(AVERAGEIFS(data_brute!M:M,data_brute!J:J,"&lt;="&amp;V924,data_brute!J:J,"&gt;="&amp;U924),NA())</f>
        <v>#N/A</v>
      </c>
      <c r="X924" s="46" t="e">
        <f t="shared" si="190"/>
        <v>#N/A</v>
      </c>
      <c r="Y924" s="2" t="b">
        <f t="shared" si="191"/>
        <v>0</v>
      </c>
      <c r="Z924" s="2" t="b">
        <f t="shared" si="192"/>
        <v>0</v>
      </c>
      <c r="AE924" s="46">
        <f t="shared" si="198"/>
        <v>9172</v>
      </c>
      <c r="AF924" s="46">
        <f t="shared" si="199"/>
        <v>9181</v>
      </c>
      <c r="AG924" s="33" t="e">
        <f>IFERROR(AVERAGEIFS(data_brute!M:M,data_brute!J:J,"&gt;="&amp;AE924,data_brute!J:J,"&lt;="&amp;AF924),NA())</f>
        <v>#N/A</v>
      </c>
      <c r="AH924" s="46" t="e">
        <f t="shared" si="200"/>
        <v>#N/A</v>
      </c>
      <c r="AJ924" s="46">
        <f t="shared" si="193"/>
        <v>9172</v>
      </c>
      <c r="AK924" s="46">
        <f t="shared" si="194"/>
        <v>9181</v>
      </c>
      <c r="AL924" s="33">
        <f ca="1">IFERROR(AVERAGEIFS(data_brute!M:M,data_brute!J:J,"&lt;="&amp;AK924),NA())</f>
        <v>25.353524229074896</v>
      </c>
      <c r="AM924" s="46">
        <f t="shared" ca="1" si="195"/>
        <v>9180</v>
      </c>
      <c r="AN924" s="46" t="b">
        <f t="shared" si="196"/>
        <v>0</v>
      </c>
      <c r="AO924" s="50" t="b">
        <f t="shared" si="197"/>
        <v>0</v>
      </c>
    </row>
    <row r="925" spans="21:41" x14ac:dyDescent="0.2">
      <c r="U925" s="46">
        <f t="shared" si="188"/>
        <v>9182</v>
      </c>
      <c r="V925" s="46">
        <f t="shared" si="189"/>
        <v>9191</v>
      </c>
      <c r="W925" s="33" t="e">
        <f>IFERROR(AVERAGEIFS(data_brute!M:M,data_brute!J:J,"&lt;="&amp;V925,data_brute!J:J,"&gt;="&amp;U925),NA())</f>
        <v>#N/A</v>
      </c>
      <c r="X925" s="46" t="e">
        <f t="shared" si="190"/>
        <v>#N/A</v>
      </c>
      <c r="Y925" s="2" t="b">
        <f t="shared" si="191"/>
        <v>0</v>
      </c>
      <c r="Z925" s="2" t="b">
        <f t="shared" si="192"/>
        <v>0</v>
      </c>
      <c r="AE925" s="46">
        <f t="shared" si="198"/>
        <v>9182</v>
      </c>
      <c r="AF925" s="46">
        <f t="shared" si="199"/>
        <v>9191</v>
      </c>
      <c r="AG925" s="33" t="e">
        <f>IFERROR(AVERAGEIFS(data_brute!M:M,data_brute!J:J,"&gt;="&amp;AE925,data_brute!J:J,"&lt;="&amp;AF925),NA())</f>
        <v>#N/A</v>
      </c>
      <c r="AH925" s="46" t="e">
        <f t="shared" si="200"/>
        <v>#N/A</v>
      </c>
      <c r="AJ925" s="46">
        <f t="shared" si="193"/>
        <v>9182</v>
      </c>
      <c r="AK925" s="46">
        <f t="shared" si="194"/>
        <v>9191</v>
      </c>
      <c r="AL925" s="33">
        <f ca="1">IFERROR(AVERAGEIFS(data_brute!M:M,data_brute!J:J,"&lt;="&amp;AK925),NA())</f>
        <v>25.353524229074896</v>
      </c>
      <c r="AM925" s="46">
        <f t="shared" ca="1" si="195"/>
        <v>9190</v>
      </c>
      <c r="AN925" s="46" t="b">
        <f t="shared" si="196"/>
        <v>0</v>
      </c>
      <c r="AO925" s="50" t="b">
        <f t="shared" si="197"/>
        <v>0</v>
      </c>
    </row>
    <row r="926" spans="21:41" x14ac:dyDescent="0.2">
      <c r="U926" s="46">
        <f t="shared" si="188"/>
        <v>9192</v>
      </c>
      <c r="V926" s="46">
        <f t="shared" si="189"/>
        <v>9201</v>
      </c>
      <c r="W926" s="33" t="e">
        <f>IFERROR(AVERAGEIFS(data_brute!M:M,data_brute!J:J,"&lt;="&amp;V926,data_brute!J:J,"&gt;="&amp;U926),NA())</f>
        <v>#N/A</v>
      </c>
      <c r="X926" s="46" t="e">
        <f t="shared" si="190"/>
        <v>#N/A</v>
      </c>
      <c r="Y926" s="2" t="b">
        <f t="shared" si="191"/>
        <v>0</v>
      </c>
      <c r="Z926" s="2" t="b">
        <f t="shared" si="192"/>
        <v>0</v>
      </c>
      <c r="AE926" s="46">
        <f t="shared" si="198"/>
        <v>9192</v>
      </c>
      <c r="AF926" s="46">
        <f t="shared" si="199"/>
        <v>9201</v>
      </c>
      <c r="AG926" s="33" t="e">
        <f>IFERROR(AVERAGEIFS(data_brute!M:M,data_brute!J:J,"&gt;="&amp;AE926,data_brute!J:J,"&lt;="&amp;AF926),NA())</f>
        <v>#N/A</v>
      </c>
      <c r="AH926" s="46" t="e">
        <f t="shared" si="200"/>
        <v>#N/A</v>
      </c>
      <c r="AJ926" s="46">
        <f t="shared" si="193"/>
        <v>9192</v>
      </c>
      <c r="AK926" s="46">
        <f t="shared" si="194"/>
        <v>9201</v>
      </c>
      <c r="AL926" s="33">
        <f ca="1">IFERROR(AVERAGEIFS(data_brute!M:M,data_brute!J:J,"&lt;="&amp;AK926),NA())</f>
        <v>25.353524229074896</v>
      </c>
      <c r="AM926" s="46">
        <f t="shared" ca="1" si="195"/>
        <v>9200</v>
      </c>
      <c r="AN926" s="46" t="b">
        <f t="shared" si="196"/>
        <v>0</v>
      </c>
      <c r="AO926" s="50" t="b">
        <f t="shared" si="197"/>
        <v>0</v>
      </c>
    </row>
    <row r="927" spans="21:41" x14ac:dyDescent="0.2">
      <c r="U927" s="46">
        <f t="shared" si="188"/>
        <v>9202</v>
      </c>
      <c r="V927" s="46">
        <f t="shared" si="189"/>
        <v>9211</v>
      </c>
      <c r="W927" s="33" t="e">
        <f>IFERROR(AVERAGEIFS(data_brute!M:M,data_brute!J:J,"&lt;="&amp;V927,data_brute!J:J,"&gt;="&amp;U927),NA())</f>
        <v>#N/A</v>
      </c>
      <c r="X927" s="46" t="e">
        <f t="shared" si="190"/>
        <v>#N/A</v>
      </c>
      <c r="Y927" s="2" t="b">
        <f t="shared" si="191"/>
        <v>0</v>
      </c>
      <c r="Z927" s="2" t="b">
        <f t="shared" si="192"/>
        <v>0</v>
      </c>
      <c r="AE927" s="46">
        <f t="shared" si="198"/>
        <v>9202</v>
      </c>
      <c r="AF927" s="46">
        <f t="shared" si="199"/>
        <v>9211</v>
      </c>
      <c r="AG927" s="33" t="e">
        <f>IFERROR(AVERAGEIFS(data_brute!M:M,data_brute!J:J,"&gt;="&amp;AE927,data_brute!J:J,"&lt;="&amp;AF927),NA())</f>
        <v>#N/A</v>
      </c>
      <c r="AH927" s="46" t="e">
        <f t="shared" si="200"/>
        <v>#N/A</v>
      </c>
      <c r="AJ927" s="46">
        <f t="shared" si="193"/>
        <v>9202</v>
      </c>
      <c r="AK927" s="46">
        <f t="shared" si="194"/>
        <v>9211</v>
      </c>
      <c r="AL927" s="33">
        <f ca="1">IFERROR(AVERAGEIFS(data_brute!M:M,data_brute!J:J,"&lt;="&amp;AK927),NA())</f>
        <v>25.353524229074896</v>
      </c>
      <c r="AM927" s="46">
        <f t="shared" ca="1" si="195"/>
        <v>9210</v>
      </c>
      <c r="AN927" s="46" t="b">
        <f t="shared" si="196"/>
        <v>0</v>
      </c>
      <c r="AO927" s="50" t="b">
        <f t="shared" si="197"/>
        <v>0</v>
      </c>
    </row>
    <row r="928" spans="21:41" x14ac:dyDescent="0.2">
      <c r="U928" s="46">
        <f t="shared" si="188"/>
        <v>9212</v>
      </c>
      <c r="V928" s="46">
        <f t="shared" si="189"/>
        <v>9221</v>
      </c>
      <c r="W928" s="33" t="e">
        <f>IFERROR(AVERAGEIFS(data_brute!M:M,data_brute!J:J,"&lt;="&amp;V928,data_brute!J:J,"&gt;="&amp;U928),NA())</f>
        <v>#N/A</v>
      </c>
      <c r="X928" s="46" t="e">
        <f t="shared" si="190"/>
        <v>#N/A</v>
      </c>
      <c r="Y928" s="2" t="b">
        <f t="shared" si="191"/>
        <v>0</v>
      </c>
      <c r="Z928" s="2" t="b">
        <f t="shared" si="192"/>
        <v>0</v>
      </c>
      <c r="AE928" s="46">
        <f t="shared" si="198"/>
        <v>9212</v>
      </c>
      <c r="AF928" s="46">
        <f t="shared" si="199"/>
        <v>9221</v>
      </c>
      <c r="AG928" s="33" t="e">
        <f>IFERROR(AVERAGEIFS(data_brute!M:M,data_brute!J:J,"&gt;="&amp;AE928,data_brute!J:J,"&lt;="&amp;AF928),NA())</f>
        <v>#N/A</v>
      </c>
      <c r="AH928" s="46" t="e">
        <f t="shared" si="200"/>
        <v>#N/A</v>
      </c>
      <c r="AJ928" s="46">
        <f t="shared" si="193"/>
        <v>9212</v>
      </c>
      <c r="AK928" s="46">
        <f t="shared" si="194"/>
        <v>9221</v>
      </c>
      <c r="AL928" s="33">
        <f ca="1">IFERROR(AVERAGEIFS(data_brute!M:M,data_brute!J:J,"&lt;="&amp;AK928),NA())</f>
        <v>25.353524229074896</v>
      </c>
      <c r="AM928" s="46">
        <f t="shared" ca="1" si="195"/>
        <v>9220</v>
      </c>
      <c r="AN928" s="46" t="b">
        <f t="shared" si="196"/>
        <v>0</v>
      </c>
      <c r="AO928" s="50" t="b">
        <f t="shared" si="197"/>
        <v>0</v>
      </c>
    </row>
    <row r="929" spans="21:41" x14ac:dyDescent="0.2">
      <c r="U929" s="46">
        <f t="shared" si="188"/>
        <v>9222</v>
      </c>
      <c r="V929" s="46">
        <f t="shared" si="189"/>
        <v>9231</v>
      </c>
      <c r="W929" s="33" t="e">
        <f>IFERROR(AVERAGEIFS(data_brute!M:M,data_brute!J:J,"&lt;="&amp;V929,data_brute!J:J,"&gt;="&amp;U929),NA())</f>
        <v>#N/A</v>
      </c>
      <c r="X929" s="46" t="e">
        <f t="shared" si="190"/>
        <v>#N/A</v>
      </c>
      <c r="Y929" s="2" t="b">
        <f t="shared" si="191"/>
        <v>0</v>
      </c>
      <c r="Z929" s="2" t="b">
        <f t="shared" si="192"/>
        <v>0</v>
      </c>
      <c r="AE929" s="46">
        <f t="shared" si="198"/>
        <v>9222</v>
      </c>
      <c r="AF929" s="46">
        <f t="shared" si="199"/>
        <v>9231</v>
      </c>
      <c r="AG929" s="33" t="e">
        <f>IFERROR(AVERAGEIFS(data_brute!M:M,data_brute!J:J,"&gt;="&amp;AE929,data_brute!J:J,"&lt;="&amp;AF929),NA())</f>
        <v>#N/A</v>
      </c>
      <c r="AH929" s="46" t="e">
        <f t="shared" si="200"/>
        <v>#N/A</v>
      </c>
      <c r="AJ929" s="46">
        <f t="shared" si="193"/>
        <v>9222</v>
      </c>
      <c r="AK929" s="46">
        <f t="shared" si="194"/>
        <v>9231</v>
      </c>
      <c r="AL929" s="33">
        <f ca="1">IFERROR(AVERAGEIFS(data_brute!M:M,data_brute!J:J,"&lt;="&amp;AK929),NA())</f>
        <v>25.353524229074896</v>
      </c>
      <c r="AM929" s="46">
        <f t="shared" ca="1" si="195"/>
        <v>9230</v>
      </c>
      <c r="AN929" s="46" t="b">
        <f t="shared" si="196"/>
        <v>0</v>
      </c>
      <c r="AO929" s="50" t="b">
        <f t="shared" si="197"/>
        <v>0</v>
      </c>
    </row>
    <row r="930" spans="21:41" x14ac:dyDescent="0.2">
      <c r="U930" s="46">
        <f t="shared" si="188"/>
        <v>9232</v>
      </c>
      <c r="V930" s="46">
        <f t="shared" si="189"/>
        <v>9241</v>
      </c>
      <c r="W930" s="33" t="e">
        <f>IFERROR(AVERAGEIFS(data_brute!M:M,data_brute!J:J,"&lt;="&amp;V930,data_brute!J:J,"&gt;="&amp;U930),NA())</f>
        <v>#N/A</v>
      </c>
      <c r="X930" s="46" t="e">
        <f t="shared" si="190"/>
        <v>#N/A</v>
      </c>
      <c r="Y930" s="2" t="b">
        <f t="shared" si="191"/>
        <v>0</v>
      </c>
      <c r="Z930" s="2" t="b">
        <f t="shared" si="192"/>
        <v>0</v>
      </c>
      <c r="AE930" s="46">
        <f t="shared" si="198"/>
        <v>9232</v>
      </c>
      <c r="AF930" s="46">
        <f t="shared" si="199"/>
        <v>9241</v>
      </c>
      <c r="AG930" s="33" t="e">
        <f>IFERROR(AVERAGEIFS(data_brute!M:M,data_brute!J:J,"&gt;="&amp;AE930,data_brute!J:J,"&lt;="&amp;AF930),NA())</f>
        <v>#N/A</v>
      </c>
      <c r="AH930" s="46" t="e">
        <f t="shared" si="200"/>
        <v>#N/A</v>
      </c>
      <c r="AJ930" s="46">
        <f t="shared" si="193"/>
        <v>9232</v>
      </c>
      <c r="AK930" s="46">
        <f t="shared" si="194"/>
        <v>9241</v>
      </c>
      <c r="AL930" s="33">
        <f ca="1">IFERROR(AVERAGEIFS(data_brute!M:M,data_brute!J:J,"&lt;="&amp;AK930),NA())</f>
        <v>25.353524229074896</v>
      </c>
      <c r="AM930" s="46">
        <f t="shared" ca="1" si="195"/>
        <v>9240</v>
      </c>
      <c r="AN930" s="46" t="b">
        <f t="shared" si="196"/>
        <v>0</v>
      </c>
      <c r="AO930" s="50" t="b">
        <f t="shared" si="197"/>
        <v>0</v>
      </c>
    </row>
    <row r="931" spans="21:41" x14ac:dyDescent="0.2">
      <c r="U931" s="46">
        <f t="shared" ref="U931:U994" si="201">V930+1</f>
        <v>9242</v>
      </c>
      <c r="V931" s="46">
        <f t="shared" ref="V931:V994" si="202">U931+$AG$2-1</f>
        <v>9251</v>
      </c>
      <c r="W931" s="33" t="e">
        <f>IFERROR(AVERAGEIFS(data_brute!M:M,data_brute!J:J,"&lt;="&amp;V931,data_brute!J:J,"&gt;="&amp;U931),NA())</f>
        <v>#N/A</v>
      </c>
      <c r="X931" s="46" t="e">
        <f t="shared" ref="X931:X994" si="203">IF(W931&lt;&gt;"",$AG$2*(ROW()-ROW($AH$6)),NA())</f>
        <v>#N/A</v>
      </c>
      <c r="Y931" s="2" t="b">
        <f t="shared" ref="Y931:Y994" si="204">IF(AND($F$5&gt;=U931,$F$5&lt;=V931,V931=$F$5),TRUE,FALSE)</f>
        <v>0</v>
      </c>
      <c r="Z931" s="2" t="b">
        <f t="shared" ref="Z931:Z994" si="205">IF(AND($F$5&gt;=U931,$F$5&lt;=V931),TRUE,FALSE)</f>
        <v>0</v>
      </c>
      <c r="AE931" s="46">
        <f t="shared" si="198"/>
        <v>9242</v>
      </c>
      <c r="AF931" s="46">
        <f t="shared" si="199"/>
        <v>9251</v>
      </c>
      <c r="AG931" s="33" t="e">
        <f>IFERROR(AVERAGEIFS(data_brute!M:M,data_brute!J:J,"&gt;="&amp;AE931,data_brute!J:J,"&lt;="&amp;AF931),NA())</f>
        <v>#N/A</v>
      </c>
      <c r="AH931" s="46" t="e">
        <f t="shared" si="200"/>
        <v>#N/A</v>
      </c>
      <c r="AJ931" s="46">
        <f t="shared" si="193"/>
        <v>9242</v>
      </c>
      <c r="AK931" s="46">
        <f t="shared" si="194"/>
        <v>9251</v>
      </c>
      <c r="AL931" s="33">
        <f ca="1">IFERROR(AVERAGEIFS(data_brute!M:M,data_brute!J:J,"&lt;="&amp;AK931),NA())</f>
        <v>25.353524229074896</v>
      </c>
      <c r="AM931" s="46">
        <f t="shared" ca="1" si="195"/>
        <v>9250</v>
      </c>
      <c r="AN931" s="46" t="b">
        <f t="shared" si="196"/>
        <v>0</v>
      </c>
      <c r="AO931" s="50" t="b">
        <f t="shared" si="197"/>
        <v>0</v>
      </c>
    </row>
    <row r="932" spans="21:41" x14ac:dyDescent="0.2">
      <c r="U932" s="46">
        <f t="shared" si="201"/>
        <v>9252</v>
      </c>
      <c r="V932" s="46">
        <f t="shared" si="202"/>
        <v>9261</v>
      </c>
      <c r="W932" s="33" t="e">
        <f>IFERROR(AVERAGEIFS(data_brute!M:M,data_brute!J:J,"&lt;="&amp;V932,data_brute!J:J,"&gt;="&amp;U932),NA())</f>
        <v>#N/A</v>
      </c>
      <c r="X932" s="46" t="e">
        <f t="shared" si="203"/>
        <v>#N/A</v>
      </c>
      <c r="Y932" s="2" t="b">
        <f t="shared" si="204"/>
        <v>0</v>
      </c>
      <c r="Z932" s="2" t="b">
        <f t="shared" si="205"/>
        <v>0</v>
      </c>
      <c r="AE932" s="46">
        <f t="shared" si="198"/>
        <v>9252</v>
      </c>
      <c r="AF932" s="46">
        <f t="shared" si="199"/>
        <v>9261</v>
      </c>
      <c r="AG932" s="33" t="e">
        <f>IFERROR(AVERAGEIFS(data_brute!M:M,data_brute!J:J,"&gt;="&amp;AE932,data_brute!J:J,"&lt;="&amp;AF932),NA())</f>
        <v>#N/A</v>
      </c>
      <c r="AH932" s="46" t="e">
        <f t="shared" si="200"/>
        <v>#N/A</v>
      </c>
      <c r="AJ932" s="46">
        <f t="shared" ref="AJ932:AJ995" si="206">AK931+1</f>
        <v>9252</v>
      </c>
      <c r="AK932" s="46">
        <f t="shared" ref="AK932:AK995" si="207">AJ932+$AG$2-1</f>
        <v>9261</v>
      </c>
      <c r="AL932" s="33">
        <f ca="1">IFERROR(AVERAGEIFS(data_brute!M:M,data_brute!J:J,"&lt;="&amp;AK932),NA())</f>
        <v>25.353524229074896</v>
      </c>
      <c r="AM932" s="46">
        <f t="shared" ref="AM932:AM995" ca="1" si="208">IF(AL932&lt;&gt;"",$AG$2*(ROW()-ROW($AH$6)),NA())</f>
        <v>9260</v>
      </c>
      <c r="AN932" s="46" t="b">
        <f t="shared" ref="AN932:AN995" si="209">IF(AND($F$5&gt;=AJ932,$F$5&lt;=AK932,AK932=$F$5),TRUE,FALSE)</f>
        <v>0</v>
      </c>
      <c r="AO932" s="50" t="b">
        <f t="shared" ref="AO932:AO995" si="210">IF(AND($F$5&gt;=AJ932,$F$5&lt;=AK932),TRUE,FALSE)</f>
        <v>0</v>
      </c>
    </row>
    <row r="933" spans="21:41" x14ac:dyDescent="0.2">
      <c r="U933" s="46">
        <f t="shared" si="201"/>
        <v>9262</v>
      </c>
      <c r="V933" s="46">
        <f t="shared" si="202"/>
        <v>9271</v>
      </c>
      <c r="W933" s="33" t="e">
        <f>IFERROR(AVERAGEIFS(data_brute!M:M,data_brute!J:J,"&lt;="&amp;V933,data_brute!J:J,"&gt;="&amp;U933),NA())</f>
        <v>#N/A</v>
      </c>
      <c r="X933" s="46" t="e">
        <f t="shared" si="203"/>
        <v>#N/A</v>
      </c>
      <c r="Y933" s="2" t="b">
        <f t="shared" si="204"/>
        <v>0</v>
      </c>
      <c r="Z933" s="2" t="b">
        <f t="shared" si="205"/>
        <v>0</v>
      </c>
      <c r="AE933" s="46">
        <f t="shared" si="198"/>
        <v>9262</v>
      </c>
      <c r="AF933" s="46">
        <f t="shared" si="199"/>
        <v>9271</v>
      </c>
      <c r="AG933" s="33" t="e">
        <f>IFERROR(AVERAGEIFS(data_brute!M:M,data_brute!J:J,"&gt;="&amp;AE933,data_brute!J:J,"&lt;="&amp;AF933),NA())</f>
        <v>#N/A</v>
      </c>
      <c r="AH933" s="46" t="e">
        <f t="shared" si="200"/>
        <v>#N/A</v>
      </c>
      <c r="AJ933" s="46">
        <f t="shared" si="206"/>
        <v>9262</v>
      </c>
      <c r="AK933" s="46">
        <f t="shared" si="207"/>
        <v>9271</v>
      </c>
      <c r="AL933" s="33">
        <f ca="1">IFERROR(AVERAGEIFS(data_brute!M:M,data_brute!J:J,"&lt;="&amp;AK933),NA())</f>
        <v>25.353524229074896</v>
      </c>
      <c r="AM933" s="46">
        <f t="shared" ca="1" si="208"/>
        <v>9270</v>
      </c>
      <c r="AN933" s="46" t="b">
        <f t="shared" si="209"/>
        <v>0</v>
      </c>
      <c r="AO933" s="50" t="b">
        <f t="shared" si="210"/>
        <v>0</v>
      </c>
    </row>
    <row r="934" spans="21:41" x14ac:dyDescent="0.2">
      <c r="U934" s="46">
        <f t="shared" si="201"/>
        <v>9272</v>
      </c>
      <c r="V934" s="46">
        <f t="shared" si="202"/>
        <v>9281</v>
      </c>
      <c r="W934" s="33" t="e">
        <f>IFERROR(AVERAGEIFS(data_brute!M:M,data_brute!J:J,"&lt;="&amp;V934,data_brute!J:J,"&gt;="&amp;U934),NA())</f>
        <v>#N/A</v>
      </c>
      <c r="X934" s="46" t="e">
        <f t="shared" si="203"/>
        <v>#N/A</v>
      </c>
      <c r="Y934" s="2" t="b">
        <f t="shared" si="204"/>
        <v>0</v>
      </c>
      <c r="Z934" s="2" t="b">
        <f t="shared" si="205"/>
        <v>0</v>
      </c>
      <c r="AE934" s="46">
        <f t="shared" si="198"/>
        <v>9272</v>
      </c>
      <c r="AF934" s="46">
        <f t="shared" si="199"/>
        <v>9281</v>
      </c>
      <c r="AG934" s="33" t="e">
        <f>IFERROR(AVERAGEIFS(data_brute!M:M,data_brute!J:J,"&gt;="&amp;AE934,data_brute!J:J,"&lt;="&amp;AF934),NA())</f>
        <v>#N/A</v>
      </c>
      <c r="AH934" s="46" t="e">
        <f t="shared" si="200"/>
        <v>#N/A</v>
      </c>
      <c r="AJ934" s="46">
        <f t="shared" si="206"/>
        <v>9272</v>
      </c>
      <c r="AK934" s="46">
        <f t="shared" si="207"/>
        <v>9281</v>
      </c>
      <c r="AL934" s="33">
        <f ca="1">IFERROR(AVERAGEIFS(data_brute!M:M,data_brute!J:J,"&lt;="&amp;AK934),NA())</f>
        <v>25.353524229074896</v>
      </c>
      <c r="AM934" s="46">
        <f t="shared" ca="1" si="208"/>
        <v>9280</v>
      </c>
      <c r="AN934" s="46" t="b">
        <f t="shared" si="209"/>
        <v>0</v>
      </c>
      <c r="AO934" s="50" t="b">
        <f t="shared" si="210"/>
        <v>0</v>
      </c>
    </row>
    <row r="935" spans="21:41" x14ac:dyDescent="0.2">
      <c r="U935" s="46">
        <f t="shared" si="201"/>
        <v>9282</v>
      </c>
      <c r="V935" s="46">
        <f t="shared" si="202"/>
        <v>9291</v>
      </c>
      <c r="W935" s="33" t="e">
        <f>IFERROR(AVERAGEIFS(data_brute!M:M,data_brute!J:J,"&lt;="&amp;V935,data_brute!J:J,"&gt;="&amp;U935),NA())</f>
        <v>#N/A</v>
      </c>
      <c r="X935" s="46" t="e">
        <f t="shared" si="203"/>
        <v>#N/A</v>
      </c>
      <c r="Y935" s="2" t="b">
        <f t="shared" si="204"/>
        <v>0</v>
      </c>
      <c r="Z935" s="2" t="b">
        <f t="shared" si="205"/>
        <v>0</v>
      </c>
      <c r="AE935" s="46">
        <f t="shared" si="198"/>
        <v>9282</v>
      </c>
      <c r="AF935" s="46">
        <f t="shared" si="199"/>
        <v>9291</v>
      </c>
      <c r="AG935" s="33" t="e">
        <f>IFERROR(AVERAGEIFS(data_brute!M:M,data_brute!J:J,"&gt;="&amp;AE935,data_brute!J:J,"&lt;="&amp;AF935),NA())</f>
        <v>#N/A</v>
      </c>
      <c r="AH935" s="46" t="e">
        <f t="shared" si="200"/>
        <v>#N/A</v>
      </c>
      <c r="AJ935" s="46">
        <f t="shared" si="206"/>
        <v>9282</v>
      </c>
      <c r="AK935" s="46">
        <f t="shared" si="207"/>
        <v>9291</v>
      </c>
      <c r="AL935" s="33">
        <f ca="1">IFERROR(AVERAGEIFS(data_brute!M:M,data_brute!J:J,"&lt;="&amp;AK935),NA())</f>
        <v>25.353524229074896</v>
      </c>
      <c r="AM935" s="46">
        <f t="shared" ca="1" si="208"/>
        <v>9290</v>
      </c>
      <c r="AN935" s="46" t="b">
        <f t="shared" si="209"/>
        <v>0</v>
      </c>
      <c r="AO935" s="50" t="b">
        <f t="shared" si="210"/>
        <v>0</v>
      </c>
    </row>
    <row r="936" spans="21:41" x14ac:dyDescent="0.2">
      <c r="U936" s="46">
        <f t="shared" si="201"/>
        <v>9292</v>
      </c>
      <c r="V936" s="46">
        <f t="shared" si="202"/>
        <v>9301</v>
      </c>
      <c r="W936" s="33" t="e">
        <f>IFERROR(AVERAGEIFS(data_brute!M:M,data_brute!J:J,"&lt;="&amp;V936,data_brute!J:J,"&gt;="&amp;U936),NA())</f>
        <v>#N/A</v>
      </c>
      <c r="X936" s="46" t="e">
        <f t="shared" si="203"/>
        <v>#N/A</v>
      </c>
      <c r="Y936" s="2" t="b">
        <f t="shared" si="204"/>
        <v>0</v>
      </c>
      <c r="Z936" s="2" t="b">
        <f t="shared" si="205"/>
        <v>0</v>
      </c>
      <c r="AE936" s="46">
        <f t="shared" si="198"/>
        <v>9292</v>
      </c>
      <c r="AF936" s="46">
        <f t="shared" si="199"/>
        <v>9301</v>
      </c>
      <c r="AG936" s="33" t="e">
        <f>IFERROR(AVERAGEIFS(data_brute!M:M,data_brute!J:J,"&gt;="&amp;AE936,data_brute!J:J,"&lt;="&amp;AF936),NA())</f>
        <v>#N/A</v>
      </c>
      <c r="AH936" s="46" t="e">
        <f t="shared" si="200"/>
        <v>#N/A</v>
      </c>
      <c r="AJ936" s="46">
        <f t="shared" si="206"/>
        <v>9292</v>
      </c>
      <c r="AK936" s="46">
        <f t="shared" si="207"/>
        <v>9301</v>
      </c>
      <c r="AL936" s="33">
        <f ca="1">IFERROR(AVERAGEIFS(data_brute!M:M,data_brute!J:J,"&lt;="&amp;AK936),NA())</f>
        <v>25.353524229074896</v>
      </c>
      <c r="AM936" s="46">
        <f t="shared" ca="1" si="208"/>
        <v>9300</v>
      </c>
      <c r="AN936" s="46" t="b">
        <f t="shared" si="209"/>
        <v>0</v>
      </c>
      <c r="AO936" s="50" t="b">
        <f t="shared" si="210"/>
        <v>0</v>
      </c>
    </row>
    <row r="937" spans="21:41" x14ac:dyDescent="0.2">
      <c r="U937" s="46">
        <f t="shared" si="201"/>
        <v>9302</v>
      </c>
      <c r="V937" s="46">
        <f t="shared" si="202"/>
        <v>9311</v>
      </c>
      <c r="W937" s="33" t="e">
        <f>IFERROR(AVERAGEIFS(data_brute!M:M,data_brute!J:J,"&lt;="&amp;V937,data_brute!J:J,"&gt;="&amp;U937),NA())</f>
        <v>#N/A</v>
      </c>
      <c r="X937" s="46" t="e">
        <f t="shared" si="203"/>
        <v>#N/A</v>
      </c>
      <c r="Y937" s="2" t="b">
        <f t="shared" si="204"/>
        <v>0</v>
      </c>
      <c r="Z937" s="2" t="b">
        <f t="shared" si="205"/>
        <v>0</v>
      </c>
      <c r="AE937" s="46">
        <f t="shared" si="198"/>
        <v>9302</v>
      </c>
      <c r="AF937" s="46">
        <f t="shared" si="199"/>
        <v>9311</v>
      </c>
      <c r="AG937" s="33" t="e">
        <f>IFERROR(AVERAGEIFS(data_brute!M:M,data_brute!J:J,"&gt;="&amp;AE937,data_brute!J:J,"&lt;="&amp;AF937),NA())</f>
        <v>#N/A</v>
      </c>
      <c r="AH937" s="46" t="e">
        <f t="shared" si="200"/>
        <v>#N/A</v>
      </c>
      <c r="AJ937" s="46">
        <f t="shared" si="206"/>
        <v>9302</v>
      </c>
      <c r="AK937" s="46">
        <f t="shared" si="207"/>
        <v>9311</v>
      </c>
      <c r="AL937" s="33">
        <f ca="1">IFERROR(AVERAGEIFS(data_brute!M:M,data_brute!J:J,"&lt;="&amp;AK937),NA())</f>
        <v>25.353524229074896</v>
      </c>
      <c r="AM937" s="46">
        <f t="shared" ca="1" si="208"/>
        <v>9310</v>
      </c>
      <c r="AN937" s="46" t="b">
        <f t="shared" si="209"/>
        <v>0</v>
      </c>
      <c r="AO937" s="50" t="b">
        <f t="shared" si="210"/>
        <v>0</v>
      </c>
    </row>
    <row r="938" spans="21:41" x14ac:dyDescent="0.2">
      <c r="U938" s="46">
        <f t="shared" si="201"/>
        <v>9312</v>
      </c>
      <c r="V938" s="46">
        <f t="shared" si="202"/>
        <v>9321</v>
      </c>
      <c r="W938" s="33" t="e">
        <f>IFERROR(AVERAGEIFS(data_brute!M:M,data_brute!J:J,"&lt;="&amp;V938,data_brute!J:J,"&gt;="&amp;U938),NA())</f>
        <v>#N/A</v>
      </c>
      <c r="X938" s="46" t="e">
        <f t="shared" si="203"/>
        <v>#N/A</v>
      </c>
      <c r="Y938" s="2" t="b">
        <f t="shared" si="204"/>
        <v>0</v>
      </c>
      <c r="Z938" s="2" t="b">
        <f t="shared" si="205"/>
        <v>0</v>
      </c>
      <c r="AE938" s="46">
        <f t="shared" si="198"/>
        <v>9312</v>
      </c>
      <c r="AF938" s="46">
        <f t="shared" si="199"/>
        <v>9321</v>
      </c>
      <c r="AG938" s="33" t="e">
        <f>IFERROR(AVERAGEIFS(data_brute!M:M,data_brute!J:J,"&gt;="&amp;AE938,data_brute!J:J,"&lt;="&amp;AF938),NA())</f>
        <v>#N/A</v>
      </c>
      <c r="AH938" s="46" t="e">
        <f t="shared" si="200"/>
        <v>#N/A</v>
      </c>
      <c r="AJ938" s="46">
        <f t="shared" si="206"/>
        <v>9312</v>
      </c>
      <c r="AK938" s="46">
        <f t="shared" si="207"/>
        <v>9321</v>
      </c>
      <c r="AL938" s="33">
        <f ca="1">IFERROR(AVERAGEIFS(data_brute!M:M,data_brute!J:J,"&lt;="&amp;AK938),NA())</f>
        <v>25.353524229074896</v>
      </c>
      <c r="AM938" s="46">
        <f t="shared" ca="1" si="208"/>
        <v>9320</v>
      </c>
      <c r="AN938" s="46" t="b">
        <f t="shared" si="209"/>
        <v>0</v>
      </c>
      <c r="AO938" s="50" t="b">
        <f t="shared" si="210"/>
        <v>0</v>
      </c>
    </row>
    <row r="939" spans="21:41" x14ac:dyDescent="0.2">
      <c r="U939" s="46">
        <f t="shared" si="201"/>
        <v>9322</v>
      </c>
      <c r="V939" s="46">
        <f t="shared" si="202"/>
        <v>9331</v>
      </c>
      <c r="W939" s="33" t="e">
        <f>IFERROR(AVERAGEIFS(data_brute!M:M,data_brute!J:J,"&lt;="&amp;V939,data_brute!J:J,"&gt;="&amp;U939),NA())</f>
        <v>#N/A</v>
      </c>
      <c r="X939" s="46" t="e">
        <f t="shared" si="203"/>
        <v>#N/A</v>
      </c>
      <c r="Y939" s="2" t="b">
        <f t="shared" si="204"/>
        <v>0</v>
      </c>
      <c r="Z939" s="2" t="b">
        <f t="shared" si="205"/>
        <v>0</v>
      </c>
      <c r="AE939" s="46">
        <f t="shared" si="198"/>
        <v>9322</v>
      </c>
      <c r="AF939" s="46">
        <f t="shared" si="199"/>
        <v>9331</v>
      </c>
      <c r="AG939" s="33" t="e">
        <f>IFERROR(AVERAGEIFS(data_brute!M:M,data_brute!J:J,"&gt;="&amp;AE939,data_brute!J:J,"&lt;="&amp;AF939),NA())</f>
        <v>#N/A</v>
      </c>
      <c r="AH939" s="46" t="e">
        <f t="shared" si="200"/>
        <v>#N/A</v>
      </c>
      <c r="AJ939" s="46">
        <f t="shared" si="206"/>
        <v>9322</v>
      </c>
      <c r="AK939" s="46">
        <f t="shared" si="207"/>
        <v>9331</v>
      </c>
      <c r="AL939" s="33">
        <f ca="1">IFERROR(AVERAGEIFS(data_brute!M:M,data_brute!J:J,"&lt;="&amp;AK939),NA())</f>
        <v>25.353524229074896</v>
      </c>
      <c r="AM939" s="46">
        <f t="shared" ca="1" si="208"/>
        <v>9330</v>
      </c>
      <c r="AN939" s="46" t="b">
        <f t="shared" si="209"/>
        <v>0</v>
      </c>
      <c r="AO939" s="50" t="b">
        <f t="shared" si="210"/>
        <v>0</v>
      </c>
    </row>
    <row r="940" spans="21:41" x14ac:dyDescent="0.2">
      <c r="U940" s="46">
        <f t="shared" si="201"/>
        <v>9332</v>
      </c>
      <c r="V940" s="46">
        <f t="shared" si="202"/>
        <v>9341</v>
      </c>
      <c r="W940" s="33" t="e">
        <f>IFERROR(AVERAGEIFS(data_brute!M:M,data_brute!J:J,"&lt;="&amp;V940,data_brute!J:J,"&gt;="&amp;U940),NA())</f>
        <v>#N/A</v>
      </c>
      <c r="X940" s="46" t="e">
        <f t="shared" si="203"/>
        <v>#N/A</v>
      </c>
      <c r="Y940" s="2" t="b">
        <f t="shared" si="204"/>
        <v>0</v>
      </c>
      <c r="Z940" s="2" t="b">
        <f t="shared" si="205"/>
        <v>0</v>
      </c>
      <c r="AE940" s="46">
        <f t="shared" si="198"/>
        <v>9332</v>
      </c>
      <c r="AF940" s="46">
        <f t="shared" si="199"/>
        <v>9341</v>
      </c>
      <c r="AG940" s="33" t="e">
        <f>IFERROR(AVERAGEIFS(data_brute!M:M,data_brute!J:J,"&gt;="&amp;AE940,data_brute!J:J,"&lt;="&amp;AF940),NA())</f>
        <v>#N/A</v>
      </c>
      <c r="AH940" s="46" t="e">
        <f t="shared" si="200"/>
        <v>#N/A</v>
      </c>
      <c r="AJ940" s="46">
        <f t="shared" si="206"/>
        <v>9332</v>
      </c>
      <c r="AK940" s="46">
        <f t="shared" si="207"/>
        <v>9341</v>
      </c>
      <c r="AL940" s="33">
        <f ca="1">IFERROR(AVERAGEIFS(data_brute!M:M,data_brute!J:J,"&lt;="&amp;AK940),NA())</f>
        <v>25.353524229074896</v>
      </c>
      <c r="AM940" s="46">
        <f t="shared" ca="1" si="208"/>
        <v>9340</v>
      </c>
      <c r="AN940" s="46" t="b">
        <f t="shared" si="209"/>
        <v>0</v>
      </c>
      <c r="AO940" s="50" t="b">
        <f t="shared" si="210"/>
        <v>0</v>
      </c>
    </row>
    <row r="941" spans="21:41" x14ac:dyDescent="0.2">
      <c r="U941" s="46">
        <f t="shared" si="201"/>
        <v>9342</v>
      </c>
      <c r="V941" s="46">
        <f t="shared" si="202"/>
        <v>9351</v>
      </c>
      <c r="W941" s="33" t="e">
        <f>IFERROR(AVERAGEIFS(data_brute!M:M,data_brute!J:J,"&lt;="&amp;V941,data_brute!J:J,"&gt;="&amp;U941),NA())</f>
        <v>#N/A</v>
      </c>
      <c r="X941" s="46" t="e">
        <f t="shared" si="203"/>
        <v>#N/A</v>
      </c>
      <c r="Y941" s="2" t="b">
        <f t="shared" si="204"/>
        <v>0</v>
      </c>
      <c r="Z941" s="2" t="b">
        <f t="shared" si="205"/>
        <v>0</v>
      </c>
      <c r="AE941" s="46">
        <f t="shared" si="198"/>
        <v>9342</v>
      </c>
      <c r="AF941" s="46">
        <f t="shared" si="199"/>
        <v>9351</v>
      </c>
      <c r="AG941" s="33" t="e">
        <f>IFERROR(AVERAGEIFS(data_brute!M:M,data_brute!J:J,"&gt;="&amp;AE941,data_brute!J:J,"&lt;="&amp;AF941),NA())</f>
        <v>#N/A</v>
      </c>
      <c r="AH941" s="46" t="e">
        <f t="shared" si="200"/>
        <v>#N/A</v>
      </c>
      <c r="AJ941" s="46">
        <f t="shared" si="206"/>
        <v>9342</v>
      </c>
      <c r="AK941" s="46">
        <f t="shared" si="207"/>
        <v>9351</v>
      </c>
      <c r="AL941" s="33">
        <f ca="1">IFERROR(AVERAGEIFS(data_brute!M:M,data_brute!J:J,"&lt;="&amp;AK941),NA())</f>
        <v>25.353524229074896</v>
      </c>
      <c r="AM941" s="46">
        <f t="shared" ca="1" si="208"/>
        <v>9350</v>
      </c>
      <c r="AN941" s="46" t="b">
        <f t="shared" si="209"/>
        <v>0</v>
      </c>
      <c r="AO941" s="50" t="b">
        <f t="shared" si="210"/>
        <v>0</v>
      </c>
    </row>
    <row r="942" spans="21:41" x14ac:dyDescent="0.2">
      <c r="U942" s="46">
        <f t="shared" si="201"/>
        <v>9352</v>
      </c>
      <c r="V942" s="46">
        <f t="shared" si="202"/>
        <v>9361</v>
      </c>
      <c r="W942" s="33" t="e">
        <f>IFERROR(AVERAGEIFS(data_brute!M:M,data_brute!J:J,"&lt;="&amp;V942,data_brute!J:J,"&gt;="&amp;U942),NA())</f>
        <v>#N/A</v>
      </c>
      <c r="X942" s="46" t="e">
        <f t="shared" si="203"/>
        <v>#N/A</v>
      </c>
      <c r="Y942" s="2" t="b">
        <f t="shared" si="204"/>
        <v>0</v>
      </c>
      <c r="Z942" s="2" t="b">
        <f t="shared" si="205"/>
        <v>0</v>
      </c>
      <c r="AE942" s="46">
        <f t="shared" si="198"/>
        <v>9352</v>
      </c>
      <c r="AF942" s="46">
        <f t="shared" si="199"/>
        <v>9361</v>
      </c>
      <c r="AG942" s="33" t="e">
        <f>IFERROR(AVERAGEIFS(data_brute!M:M,data_brute!J:J,"&gt;="&amp;AE942,data_brute!J:J,"&lt;="&amp;AF942),NA())</f>
        <v>#N/A</v>
      </c>
      <c r="AH942" s="46" t="e">
        <f t="shared" si="200"/>
        <v>#N/A</v>
      </c>
      <c r="AJ942" s="46">
        <f t="shared" si="206"/>
        <v>9352</v>
      </c>
      <c r="AK942" s="46">
        <f t="shared" si="207"/>
        <v>9361</v>
      </c>
      <c r="AL942" s="33">
        <f ca="1">IFERROR(AVERAGEIFS(data_brute!M:M,data_brute!J:J,"&lt;="&amp;AK942),NA())</f>
        <v>25.353524229074896</v>
      </c>
      <c r="AM942" s="46">
        <f t="shared" ca="1" si="208"/>
        <v>9360</v>
      </c>
      <c r="AN942" s="46" t="b">
        <f t="shared" si="209"/>
        <v>0</v>
      </c>
      <c r="AO942" s="50" t="b">
        <f t="shared" si="210"/>
        <v>0</v>
      </c>
    </row>
    <row r="943" spans="21:41" x14ac:dyDescent="0.2">
      <c r="U943" s="46">
        <f t="shared" si="201"/>
        <v>9362</v>
      </c>
      <c r="V943" s="46">
        <f t="shared" si="202"/>
        <v>9371</v>
      </c>
      <c r="W943" s="33" t="e">
        <f>IFERROR(AVERAGEIFS(data_brute!M:M,data_brute!J:J,"&lt;="&amp;V943,data_brute!J:J,"&gt;="&amp;U943),NA())</f>
        <v>#N/A</v>
      </c>
      <c r="X943" s="46" t="e">
        <f t="shared" si="203"/>
        <v>#N/A</v>
      </c>
      <c r="Y943" s="2" t="b">
        <f t="shared" si="204"/>
        <v>0</v>
      </c>
      <c r="Z943" s="2" t="b">
        <f t="shared" si="205"/>
        <v>0</v>
      </c>
      <c r="AE943" s="46">
        <f t="shared" si="198"/>
        <v>9362</v>
      </c>
      <c r="AF943" s="46">
        <f t="shared" si="199"/>
        <v>9371</v>
      </c>
      <c r="AG943" s="33" t="e">
        <f>IFERROR(AVERAGEIFS(data_brute!M:M,data_brute!J:J,"&gt;="&amp;AE943,data_brute!J:J,"&lt;="&amp;AF943),NA())</f>
        <v>#N/A</v>
      </c>
      <c r="AH943" s="46" t="e">
        <f t="shared" si="200"/>
        <v>#N/A</v>
      </c>
      <c r="AJ943" s="46">
        <f t="shared" si="206"/>
        <v>9362</v>
      </c>
      <c r="AK943" s="46">
        <f t="shared" si="207"/>
        <v>9371</v>
      </c>
      <c r="AL943" s="33">
        <f ca="1">IFERROR(AVERAGEIFS(data_brute!M:M,data_brute!J:J,"&lt;="&amp;AK943),NA())</f>
        <v>25.353524229074896</v>
      </c>
      <c r="AM943" s="46">
        <f t="shared" ca="1" si="208"/>
        <v>9370</v>
      </c>
      <c r="AN943" s="46" t="b">
        <f t="shared" si="209"/>
        <v>0</v>
      </c>
      <c r="AO943" s="50" t="b">
        <f t="shared" si="210"/>
        <v>0</v>
      </c>
    </row>
    <row r="944" spans="21:41" x14ac:dyDescent="0.2">
      <c r="U944" s="46">
        <f t="shared" si="201"/>
        <v>9372</v>
      </c>
      <c r="V944" s="46">
        <f t="shared" si="202"/>
        <v>9381</v>
      </c>
      <c r="W944" s="33" t="e">
        <f>IFERROR(AVERAGEIFS(data_brute!M:M,data_brute!J:J,"&lt;="&amp;V944,data_brute!J:J,"&gt;="&amp;U944),NA())</f>
        <v>#N/A</v>
      </c>
      <c r="X944" s="46" t="e">
        <f t="shared" si="203"/>
        <v>#N/A</v>
      </c>
      <c r="Y944" s="2" t="b">
        <f t="shared" si="204"/>
        <v>0</v>
      </c>
      <c r="Z944" s="2" t="b">
        <f t="shared" si="205"/>
        <v>0</v>
      </c>
      <c r="AE944" s="46">
        <f t="shared" si="198"/>
        <v>9372</v>
      </c>
      <c r="AF944" s="46">
        <f t="shared" si="199"/>
        <v>9381</v>
      </c>
      <c r="AG944" s="33" t="e">
        <f>IFERROR(AVERAGEIFS(data_brute!M:M,data_brute!J:J,"&gt;="&amp;AE944,data_brute!J:J,"&lt;="&amp;AF944),NA())</f>
        <v>#N/A</v>
      </c>
      <c r="AH944" s="46" t="e">
        <f t="shared" si="200"/>
        <v>#N/A</v>
      </c>
      <c r="AJ944" s="46">
        <f t="shared" si="206"/>
        <v>9372</v>
      </c>
      <c r="AK944" s="46">
        <f t="shared" si="207"/>
        <v>9381</v>
      </c>
      <c r="AL944" s="33">
        <f ca="1">IFERROR(AVERAGEIFS(data_brute!M:M,data_brute!J:J,"&lt;="&amp;AK944),NA())</f>
        <v>25.353524229074896</v>
      </c>
      <c r="AM944" s="46">
        <f t="shared" ca="1" si="208"/>
        <v>9380</v>
      </c>
      <c r="AN944" s="46" t="b">
        <f t="shared" si="209"/>
        <v>0</v>
      </c>
      <c r="AO944" s="50" t="b">
        <f t="shared" si="210"/>
        <v>0</v>
      </c>
    </row>
    <row r="945" spans="21:41" x14ac:dyDescent="0.2">
      <c r="U945" s="46">
        <f t="shared" si="201"/>
        <v>9382</v>
      </c>
      <c r="V945" s="46">
        <f t="shared" si="202"/>
        <v>9391</v>
      </c>
      <c r="W945" s="33" t="e">
        <f>IFERROR(AVERAGEIFS(data_brute!M:M,data_brute!J:J,"&lt;="&amp;V945,data_brute!J:J,"&gt;="&amp;U945),NA())</f>
        <v>#N/A</v>
      </c>
      <c r="X945" s="46" t="e">
        <f t="shared" si="203"/>
        <v>#N/A</v>
      </c>
      <c r="Y945" s="2" t="b">
        <f t="shared" si="204"/>
        <v>0</v>
      </c>
      <c r="Z945" s="2" t="b">
        <f t="shared" si="205"/>
        <v>0</v>
      </c>
      <c r="AE945" s="46">
        <f t="shared" si="198"/>
        <v>9382</v>
      </c>
      <c r="AF945" s="46">
        <f t="shared" si="199"/>
        <v>9391</v>
      </c>
      <c r="AG945" s="33" t="e">
        <f>IFERROR(AVERAGEIFS(data_brute!M:M,data_brute!J:J,"&gt;="&amp;AE945,data_brute!J:J,"&lt;="&amp;AF945),NA())</f>
        <v>#N/A</v>
      </c>
      <c r="AH945" s="46" t="e">
        <f t="shared" si="200"/>
        <v>#N/A</v>
      </c>
      <c r="AJ945" s="46">
        <f t="shared" si="206"/>
        <v>9382</v>
      </c>
      <c r="AK945" s="46">
        <f t="shared" si="207"/>
        <v>9391</v>
      </c>
      <c r="AL945" s="33">
        <f ca="1">IFERROR(AVERAGEIFS(data_brute!M:M,data_brute!J:J,"&lt;="&amp;AK945),NA())</f>
        <v>25.353524229074896</v>
      </c>
      <c r="AM945" s="46">
        <f t="shared" ca="1" si="208"/>
        <v>9390</v>
      </c>
      <c r="AN945" s="46" t="b">
        <f t="shared" si="209"/>
        <v>0</v>
      </c>
      <c r="AO945" s="50" t="b">
        <f t="shared" si="210"/>
        <v>0</v>
      </c>
    </row>
    <row r="946" spans="21:41" x14ac:dyDescent="0.2">
      <c r="U946" s="46">
        <f t="shared" si="201"/>
        <v>9392</v>
      </c>
      <c r="V946" s="46">
        <f t="shared" si="202"/>
        <v>9401</v>
      </c>
      <c r="W946" s="33" t="e">
        <f>IFERROR(AVERAGEIFS(data_brute!M:M,data_brute!J:J,"&lt;="&amp;V946,data_brute!J:J,"&gt;="&amp;U946),NA())</f>
        <v>#N/A</v>
      </c>
      <c r="X946" s="46" t="e">
        <f t="shared" si="203"/>
        <v>#N/A</v>
      </c>
      <c r="Y946" s="2" t="b">
        <f t="shared" si="204"/>
        <v>0</v>
      </c>
      <c r="Z946" s="2" t="b">
        <f t="shared" si="205"/>
        <v>0</v>
      </c>
      <c r="AE946" s="46">
        <f t="shared" si="198"/>
        <v>9392</v>
      </c>
      <c r="AF946" s="46">
        <f t="shared" si="199"/>
        <v>9401</v>
      </c>
      <c r="AG946" s="33" t="e">
        <f>IFERROR(AVERAGEIFS(data_brute!M:M,data_brute!J:J,"&gt;="&amp;AE946,data_brute!J:J,"&lt;="&amp;AF946),NA())</f>
        <v>#N/A</v>
      </c>
      <c r="AH946" s="46" t="e">
        <f t="shared" si="200"/>
        <v>#N/A</v>
      </c>
      <c r="AJ946" s="46">
        <f t="shared" si="206"/>
        <v>9392</v>
      </c>
      <c r="AK946" s="46">
        <f t="shared" si="207"/>
        <v>9401</v>
      </c>
      <c r="AL946" s="33">
        <f ca="1">IFERROR(AVERAGEIFS(data_brute!M:M,data_brute!J:J,"&lt;="&amp;AK946),NA())</f>
        <v>25.353524229074896</v>
      </c>
      <c r="AM946" s="46">
        <f t="shared" ca="1" si="208"/>
        <v>9400</v>
      </c>
      <c r="AN946" s="46" t="b">
        <f t="shared" si="209"/>
        <v>0</v>
      </c>
      <c r="AO946" s="50" t="b">
        <f t="shared" si="210"/>
        <v>0</v>
      </c>
    </row>
    <row r="947" spans="21:41" x14ac:dyDescent="0.2">
      <c r="U947" s="46">
        <f t="shared" si="201"/>
        <v>9402</v>
      </c>
      <c r="V947" s="46">
        <f t="shared" si="202"/>
        <v>9411</v>
      </c>
      <c r="W947" s="33" t="e">
        <f>IFERROR(AVERAGEIFS(data_brute!M:M,data_brute!J:J,"&lt;="&amp;V947,data_brute!J:J,"&gt;="&amp;U947),NA())</f>
        <v>#N/A</v>
      </c>
      <c r="X947" s="46" t="e">
        <f t="shared" si="203"/>
        <v>#N/A</v>
      </c>
      <c r="Y947" s="2" t="b">
        <f t="shared" si="204"/>
        <v>0</v>
      </c>
      <c r="Z947" s="2" t="b">
        <f t="shared" si="205"/>
        <v>0</v>
      </c>
      <c r="AE947" s="46">
        <f t="shared" si="198"/>
        <v>9402</v>
      </c>
      <c r="AF947" s="46">
        <f t="shared" si="199"/>
        <v>9411</v>
      </c>
      <c r="AG947" s="33" t="e">
        <f>IFERROR(AVERAGEIFS(data_brute!M:M,data_brute!J:J,"&gt;="&amp;AE947,data_brute!J:J,"&lt;="&amp;AF947),NA())</f>
        <v>#N/A</v>
      </c>
      <c r="AH947" s="46" t="e">
        <f t="shared" si="200"/>
        <v>#N/A</v>
      </c>
      <c r="AJ947" s="46">
        <f t="shared" si="206"/>
        <v>9402</v>
      </c>
      <c r="AK947" s="46">
        <f t="shared" si="207"/>
        <v>9411</v>
      </c>
      <c r="AL947" s="33">
        <f ca="1">IFERROR(AVERAGEIFS(data_brute!M:M,data_brute!J:J,"&lt;="&amp;AK947),NA())</f>
        <v>25.353524229074896</v>
      </c>
      <c r="AM947" s="46">
        <f t="shared" ca="1" si="208"/>
        <v>9410</v>
      </c>
      <c r="AN947" s="46" t="b">
        <f t="shared" si="209"/>
        <v>0</v>
      </c>
      <c r="AO947" s="50" t="b">
        <f t="shared" si="210"/>
        <v>0</v>
      </c>
    </row>
    <row r="948" spans="21:41" x14ac:dyDescent="0.2">
      <c r="U948" s="46">
        <f t="shared" si="201"/>
        <v>9412</v>
      </c>
      <c r="V948" s="46">
        <f t="shared" si="202"/>
        <v>9421</v>
      </c>
      <c r="W948" s="33" t="e">
        <f>IFERROR(AVERAGEIFS(data_brute!M:M,data_brute!J:J,"&lt;="&amp;V948,data_brute!J:J,"&gt;="&amp;U948),NA())</f>
        <v>#N/A</v>
      </c>
      <c r="X948" s="46" t="e">
        <f t="shared" si="203"/>
        <v>#N/A</v>
      </c>
      <c r="Y948" s="2" t="b">
        <f t="shared" si="204"/>
        <v>0</v>
      </c>
      <c r="Z948" s="2" t="b">
        <f t="shared" si="205"/>
        <v>0</v>
      </c>
      <c r="AE948" s="46">
        <f t="shared" si="198"/>
        <v>9412</v>
      </c>
      <c r="AF948" s="46">
        <f t="shared" si="199"/>
        <v>9421</v>
      </c>
      <c r="AG948" s="33" t="e">
        <f>IFERROR(AVERAGEIFS(data_brute!M:M,data_brute!J:J,"&gt;="&amp;AE948,data_brute!J:J,"&lt;="&amp;AF948),NA())</f>
        <v>#N/A</v>
      </c>
      <c r="AH948" s="46" t="e">
        <f t="shared" si="200"/>
        <v>#N/A</v>
      </c>
      <c r="AJ948" s="46">
        <f t="shared" si="206"/>
        <v>9412</v>
      </c>
      <c r="AK948" s="46">
        <f t="shared" si="207"/>
        <v>9421</v>
      </c>
      <c r="AL948" s="33">
        <f ca="1">IFERROR(AVERAGEIFS(data_brute!M:M,data_brute!J:J,"&lt;="&amp;AK948),NA())</f>
        <v>25.353524229074896</v>
      </c>
      <c r="AM948" s="46">
        <f t="shared" ca="1" si="208"/>
        <v>9420</v>
      </c>
      <c r="AN948" s="46" t="b">
        <f t="shared" si="209"/>
        <v>0</v>
      </c>
      <c r="AO948" s="50" t="b">
        <f t="shared" si="210"/>
        <v>0</v>
      </c>
    </row>
    <row r="949" spans="21:41" x14ac:dyDescent="0.2">
      <c r="U949" s="46">
        <f t="shared" si="201"/>
        <v>9422</v>
      </c>
      <c r="V949" s="46">
        <f t="shared" si="202"/>
        <v>9431</v>
      </c>
      <c r="W949" s="33" t="e">
        <f>IFERROR(AVERAGEIFS(data_brute!M:M,data_brute!J:J,"&lt;="&amp;V949,data_brute!J:J,"&gt;="&amp;U949),NA())</f>
        <v>#N/A</v>
      </c>
      <c r="X949" s="46" t="e">
        <f t="shared" si="203"/>
        <v>#N/A</v>
      </c>
      <c r="Y949" s="2" t="b">
        <f t="shared" si="204"/>
        <v>0</v>
      </c>
      <c r="Z949" s="2" t="b">
        <f t="shared" si="205"/>
        <v>0</v>
      </c>
      <c r="AE949" s="46">
        <f t="shared" si="198"/>
        <v>9422</v>
      </c>
      <c r="AF949" s="46">
        <f t="shared" si="199"/>
        <v>9431</v>
      </c>
      <c r="AG949" s="33" t="e">
        <f>IFERROR(AVERAGEIFS(data_brute!M:M,data_brute!J:J,"&gt;="&amp;AE949,data_brute!J:J,"&lt;="&amp;AF949),NA())</f>
        <v>#N/A</v>
      </c>
      <c r="AH949" s="46" t="e">
        <f t="shared" si="200"/>
        <v>#N/A</v>
      </c>
      <c r="AJ949" s="46">
        <f t="shared" si="206"/>
        <v>9422</v>
      </c>
      <c r="AK949" s="46">
        <f t="shared" si="207"/>
        <v>9431</v>
      </c>
      <c r="AL949" s="33">
        <f ca="1">IFERROR(AVERAGEIFS(data_brute!M:M,data_brute!J:J,"&lt;="&amp;AK949),NA())</f>
        <v>25.353524229074896</v>
      </c>
      <c r="AM949" s="46">
        <f t="shared" ca="1" si="208"/>
        <v>9430</v>
      </c>
      <c r="AN949" s="46" t="b">
        <f t="shared" si="209"/>
        <v>0</v>
      </c>
      <c r="AO949" s="50" t="b">
        <f t="shared" si="210"/>
        <v>0</v>
      </c>
    </row>
    <row r="950" spans="21:41" x14ac:dyDescent="0.2">
      <c r="U950" s="46">
        <f t="shared" si="201"/>
        <v>9432</v>
      </c>
      <c r="V950" s="46">
        <f t="shared" si="202"/>
        <v>9441</v>
      </c>
      <c r="W950" s="33" t="e">
        <f>IFERROR(AVERAGEIFS(data_brute!M:M,data_brute!J:J,"&lt;="&amp;V950,data_brute!J:J,"&gt;="&amp;U950),NA())</f>
        <v>#N/A</v>
      </c>
      <c r="X950" s="46" t="e">
        <f t="shared" si="203"/>
        <v>#N/A</v>
      </c>
      <c r="Y950" s="2" t="b">
        <f t="shared" si="204"/>
        <v>0</v>
      </c>
      <c r="Z950" s="2" t="b">
        <f t="shared" si="205"/>
        <v>0</v>
      </c>
      <c r="AE950" s="46">
        <f t="shared" si="198"/>
        <v>9432</v>
      </c>
      <c r="AF950" s="46">
        <f t="shared" si="199"/>
        <v>9441</v>
      </c>
      <c r="AG950" s="33" t="e">
        <f>IFERROR(AVERAGEIFS(data_brute!M:M,data_brute!J:J,"&gt;="&amp;AE950,data_brute!J:J,"&lt;="&amp;AF950),NA())</f>
        <v>#N/A</v>
      </c>
      <c r="AH950" s="46" t="e">
        <f t="shared" si="200"/>
        <v>#N/A</v>
      </c>
      <c r="AJ950" s="46">
        <f t="shared" si="206"/>
        <v>9432</v>
      </c>
      <c r="AK950" s="46">
        <f t="shared" si="207"/>
        <v>9441</v>
      </c>
      <c r="AL950" s="33">
        <f ca="1">IFERROR(AVERAGEIFS(data_brute!M:M,data_brute!J:J,"&lt;="&amp;AK950),NA())</f>
        <v>25.353524229074896</v>
      </c>
      <c r="AM950" s="46">
        <f t="shared" ca="1" si="208"/>
        <v>9440</v>
      </c>
      <c r="AN950" s="46" t="b">
        <f t="shared" si="209"/>
        <v>0</v>
      </c>
      <c r="AO950" s="50" t="b">
        <f t="shared" si="210"/>
        <v>0</v>
      </c>
    </row>
    <row r="951" spans="21:41" x14ac:dyDescent="0.2">
      <c r="U951" s="46">
        <f t="shared" si="201"/>
        <v>9442</v>
      </c>
      <c r="V951" s="46">
        <f t="shared" si="202"/>
        <v>9451</v>
      </c>
      <c r="W951" s="33" t="e">
        <f>IFERROR(AVERAGEIFS(data_brute!M:M,data_brute!J:J,"&lt;="&amp;V951,data_brute!J:J,"&gt;="&amp;U951),NA())</f>
        <v>#N/A</v>
      </c>
      <c r="X951" s="46" t="e">
        <f t="shared" si="203"/>
        <v>#N/A</v>
      </c>
      <c r="Y951" s="2" t="b">
        <f t="shared" si="204"/>
        <v>0</v>
      </c>
      <c r="Z951" s="2" t="b">
        <f t="shared" si="205"/>
        <v>0</v>
      </c>
      <c r="AE951" s="46">
        <f t="shared" si="198"/>
        <v>9442</v>
      </c>
      <c r="AF951" s="46">
        <f t="shared" si="199"/>
        <v>9451</v>
      </c>
      <c r="AG951" s="33" t="e">
        <f>IFERROR(AVERAGEIFS(data_brute!M:M,data_brute!J:J,"&gt;="&amp;AE951,data_brute!J:J,"&lt;="&amp;AF951),NA())</f>
        <v>#N/A</v>
      </c>
      <c r="AH951" s="46" t="e">
        <f t="shared" si="200"/>
        <v>#N/A</v>
      </c>
      <c r="AJ951" s="46">
        <f t="shared" si="206"/>
        <v>9442</v>
      </c>
      <c r="AK951" s="46">
        <f t="shared" si="207"/>
        <v>9451</v>
      </c>
      <c r="AL951" s="33">
        <f ca="1">IFERROR(AVERAGEIFS(data_brute!M:M,data_brute!J:J,"&lt;="&amp;AK951),NA())</f>
        <v>25.353524229074896</v>
      </c>
      <c r="AM951" s="46">
        <f t="shared" ca="1" si="208"/>
        <v>9450</v>
      </c>
      <c r="AN951" s="46" t="b">
        <f t="shared" si="209"/>
        <v>0</v>
      </c>
      <c r="AO951" s="50" t="b">
        <f t="shared" si="210"/>
        <v>0</v>
      </c>
    </row>
    <row r="952" spans="21:41" x14ac:dyDescent="0.2">
      <c r="U952" s="46">
        <f t="shared" si="201"/>
        <v>9452</v>
      </c>
      <c r="V952" s="46">
        <f t="shared" si="202"/>
        <v>9461</v>
      </c>
      <c r="W952" s="33" t="e">
        <f>IFERROR(AVERAGEIFS(data_brute!M:M,data_brute!J:J,"&lt;="&amp;V952,data_brute!J:J,"&gt;="&amp;U952),NA())</f>
        <v>#N/A</v>
      </c>
      <c r="X952" s="46" t="e">
        <f t="shared" si="203"/>
        <v>#N/A</v>
      </c>
      <c r="Y952" s="2" t="b">
        <f t="shared" si="204"/>
        <v>0</v>
      </c>
      <c r="Z952" s="2" t="b">
        <f t="shared" si="205"/>
        <v>0</v>
      </c>
      <c r="AE952" s="46">
        <f t="shared" si="198"/>
        <v>9452</v>
      </c>
      <c r="AF952" s="46">
        <f t="shared" si="199"/>
        <v>9461</v>
      </c>
      <c r="AG952" s="33" t="e">
        <f>IFERROR(AVERAGEIFS(data_brute!M:M,data_brute!J:J,"&gt;="&amp;AE952,data_brute!J:J,"&lt;="&amp;AF952),NA())</f>
        <v>#N/A</v>
      </c>
      <c r="AH952" s="46" t="e">
        <f t="shared" si="200"/>
        <v>#N/A</v>
      </c>
      <c r="AJ952" s="46">
        <f t="shared" si="206"/>
        <v>9452</v>
      </c>
      <c r="AK952" s="46">
        <f t="shared" si="207"/>
        <v>9461</v>
      </c>
      <c r="AL952" s="33">
        <f ca="1">IFERROR(AVERAGEIFS(data_brute!M:M,data_brute!J:J,"&lt;="&amp;AK952),NA())</f>
        <v>25.353524229074896</v>
      </c>
      <c r="AM952" s="46">
        <f t="shared" ca="1" si="208"/>
        <v>9460</v>
      </c>
      <c r="AN952" s="46" t="b">
        <f t="shared" si="209"/>
        <v>0</v>
      </c>
      <c r="AO952" s="50" t="b">
        <f t="shared" si="210"/>
        <v>0</v>
      </c>
    </row>
    <row r="953" spans="21:41" x14ac:dyDescent="0.2">
      <c r="U953" s="46">
        <f t="shared" si="201"/>
        <v>9462</v>
      </c>
      <c r="V953" s="46">
        <f t="shared" si="202"/>
        <v>9471</v>
      </c>
      <c r="W953" s="33" t="e">
        <f>IFERROR(AVERAGEIFS(data_brute!M:M,data_brute!J:J,"&lt;="&amp;V953,data_brute!J:J,"&gt;="&amp;U953),NA())</f>
        <v>#N/A</v>
      </c>
      <c r="X953" s="46" t="e">
        <f t="shared" si="203"/>
        <v>#N/A</v>
      </c>
      <c r="Y953" s="2" t="b">
        <f t="shared" si="204"/>
        <v>0</v>
      </c>
      <c r="Z953" s="2" t="b">
        <f t="shared" si="205"/>
        <v>0</v>
      </c>
      <c r="AE953" s="46">
        <f t="shared" si="198"/>
        <v>9462</v>
      </c>
      <c r="AF953" s="46">
        <f t="shared" si="199"/>
        <v>9471</v>
      </c>
      <c r="AG953" s="33" t="e">
        <f>IFERROR(AVERAGEIFS(data_brute!M:M,data_brute!J:J,"&gt;="&amp;AE953,data_brute!J:J,"&lt;="&amp;AF953),NA())</f>
        <v>#N/A</v>
      </c>
      <c r="AH953" s="46" t="e">
        <f t="shared" si="200"/>
        <v>#N/A</v>
      </c>
      <c r="AJ953" s="46">
        <f t="shared" si="206"/>
        <v>9462</v>
      </c>
      <c r="AK953" s="46">
        <f t="shared" si="207"/>
        <v>9471</v>
      </c>
      <c r="AL953" s="33">
        <f ca="1">IFERROR(AVERAGEIFS(data_brute!M:M,data_brute!J:J,"&lt;="&amp;AK953),NA())</f>
        <v>25.353524229074896</v>
      </c>
      <c r="AM953" s="46">
        <f t="shared" ca="1" si="208"/>
        <v>9470</v>
      </c>
      <c r="AN953" s="46" t="b">
        <f t="shared" si="209"/>
        <v>0</v>
      </c>
      <c r="AO953" s="50" t="b">
        <f t="shared" si="210"/>
        <v>0</v>
      </c>
    </row>
    <row r="954" spans="21:41" x14ac:dyDescent="0.2">
      <c r="U954" s="46">
        <f t="shared" si="201"/>
        <v>9472</v>
      </c>
      <c r="V954" s="46">
        <f t="shared" si="202"/>
        <v>9481</v>
      </c>
      <c r="W954" s="33" t="e">
        <f>IFERROR(AVERAGEIFS(data_brute!M:M,data_brute!J:J,"&lt;="&amp;V954,data_brute!J:J,"&gt;="&amp;U954),NA())</f>
        <v>#N/A</v>
      </c>
      <c r="X954" s="46" t="e">
        <f t="shared" si="203"/>
        <v>#N/A</v>
      </c>
      <c r="Y954" s="2" t="b">
        <f t="shared" si="204"/>
        <v>0</v>
      </c>
      <c r="Z954" s="2" t="b">
        <f t="shared" si="205"/>
        <v>0</v>
      </c>
      <c r="AE954" s="46">
        <f t="shared" si="198"/>
        <v>9472</v>
      </c>
      <c r="AF954" s="46">
        <f t="shared" si="199"/>
        <v>9481</v>
      </c>
      <c r="AG954" s="33" t="e">
        <f>IFERROR(AVERAGEIFS(data_brute!M:M,data_brute!J:J,"&gt;="&amp;AE954,data_brute!J:J,"&lt;="&amp;AF954),NA())</f>
        <v>#N/A</v>
      </c>
      <c r="AH954" s="46" t="e">
        <f t="shared" si="200"/>
        <v>#N/A</v>
      </c>
      <c r="AJ954" s="46">
        <f t="shared" si="206"/>
        <v>9472</v>
      </c>
      <c r="AK954" s="46">
        <f t="shared" si="207"/>
        <v>9481</v>
      </c>
      <c r="AL954" s="33">
        <f ca="1">IFERROR(AVERAGEIFS(data_brute!M:M,data_brute!J:J,"&lt;="&amp;AK954),NA())</f>
        <v>25.353524229074896</v>
      </c>
      <c r="AM954" s="46">
        <f t="shared" ca="1" si="208"/>
        <v>9480</v>
      </c>
      <c r="AN954" s="46" t="b">
        <f t="shared" si="209"/>
        <v>0</v>
      </c>
      <c r="AO954" s="50" t="b">
        <f t="shared" si="210"/>
        <v>0</v>
      </c>
    </row>
    <row r="955" spans="21:41" x14ac:dyDescent="0.2">
      <c r="U955" s="46">
        <f t="shared" si="201"/>
        <v>9482</v>
      </c>
      <c r="V955" s="46">
        <f t="shared" si="202"/>
        <v>9491</v>
      </c>
      <c r="W955" s="33" t="e">
        <f>IFERROR(AVERAGEIFS(data_brute!M:M,data_brute!J:J,"&lt;="&amp;V955,data_brute!J:J,"&gt;="&amp;U955),NA())</f>
        <v>#N/A</v>
      </c>
      <c r="X955" s="46" t="e">
        <f t="shared" si="203"/>
        <v>#N/A</v>
      </c>
      <c r="Y955" s="2" t="b">
        <f t="shared" si="204"/>
        <v>0</v>
      </c>
      <c r="Z955" s="2" t="b">
        <f t="shared" si="205"/>
        <v>0</v>
      </c>
      <c r="AE955" s="46">
        <f t="shared" si="198"/>
        <v>9482</v>
      </c>
      <c r="AF955" s="46">
        <f t="shared" si="199"/>
        <v>9491</v>
      </c>
      <c r="AG955" s="33" t="e">
        <f>IFERROR(AVERAGEIFS(data_brute!M:M,data_brute!J:J,"&gt;="&amp;AE955,data_brute!J:J,"&lt;="&amp;AF955),NA())</f>
        <v>#N/A</v>
      </c>
      <c r="AH955" s="46" t="e">
        <f t="shared" si="200"/>
        <v>#N/A</v>
      </c>
      <c r="AJ955" s="46">
        <f t="shared" si="206"/>
        <v>9482</v>
      </c>
      <c r="AK955" s="46">
        <f t="shared" si="207"/>
        <v>9491</v>
      </c>
      <c r="AL955" s="33">
        <f ca="1">IFERROR(AVERAGEIFS(data_brute!M:M,data_brute!J:J,"&lt;="&amp;AK955),NA())</f>
        <v>25.353524229074896</v>
      </c>
      <c r="AM955" s="46">
        <f t="shared" ca="1" si="208"/>
        <v>9490</v>
      </c>
      <c r="AN955" s="46" t="b">
        <f t="shared" si="209"/>
        <v>0</v>
      </c>
      <c r="AO955" s="50" t="b">
        <f t="shared" si="210"/>
        <v>0</v>
      </c>
    </row>
    <row r="956" spans="21:41" x14ac:dyDescent="0.2">
      <c r="U956" s="46">
        <f t="shared" si="201"/>
        <v>9492</v>
      </c>
      <c r="V956" s="46">
        <f t="shared" si="202"/>
        <v>9501</v>
      </c>
      <c r="W956" s="33" t="e">
        <f>IFERROR(AVERAGEIFS(data_brute!M:M,data_brute!J:J,"&lt;="&amp;V956,data_brute!J:J,"&gt;="&amp;U956),NA())</f>
        <v>#N/A</v>
      </c>
      <c r="X956" s="46" t="e">
        <f t="shared" si="203"/>
        <v>#N/A</v>
      </c>
      <c r="Y956" s="2" t="b">
        <f t="shared" si="204"/>
        <v>0</v>
      </c>
      <c r="Z956" s="2" t="b">
        <f t="shared" si="205"/>
        <v>0</v>
      </c>
      <c r="AE956" s="46">
        <f t="shared" si="198"/>
        <v>9492</v>
      </c>
      <c r="AF956" s="46">
        <f t="shared" si="199"/>
        <v>9501</v>
      </c>
      <c r="AG956" s="33" t="e">
        <f>IFERROR(AVERAGEIFS(data_brute!M:M,data_brute!J:J,"&gt;="&amp;AE956,data_brute!J:J,"&lt;="&amp;AF956),NA())</f>
        <v>#N/A</v>
      </c>
      <c r="AH956" s="46" t="e">
        <f t="shared" si="200"/>
        <v>#N/A</v>
      </c>
      <c r="AJ956" s="46">
        <f t="shared" si="206"/>
        <v>9492</v>
      </c>
      <c r="AK956" s="46">
        <f t="shared" si="207"/>
        <v>9501</v>
      </c>
      <c r="AL956" s="33">
        <f ca="1">IFERROR(AVERAGEIFS(data_brute!M:M,data_brute!J:J,"&lt;="&amp;AK956),NA())</f>
        <v>25.353524229074896</v>
      </c>
      <c r="AM956" s="46">
        <f t="shared" ca="1" si="208"/>
        <v>9500</v>
      </c>
      <c r="AN956" s="46" t="b">
        <f t="shared" si="209"/>
        <v>0</v>
      </c>
      <c r="AO956" s="50" t="b">
        <f t="shared" si="210"/>
        <v>0</v>
      </c>
    </row>
    <row r="957" spans="21:41" x14ac:dyDescent="0.2">
      <c r="U957" s="46">
        <f t="shared" si="201"/>
        <v>9502</v>
      </c>
      <c r="V957" s="46">
        <f t="shared" si="202"/>
        <v>9511</v>
      </c>
      <c r="W957" s="33" t="e">
        <f>IFERROR(AVERAGEIFS(data_brute!M:M,data_brute!J:J,"&lt;="&amp;V957,data_brute!J:J,"&gt;="&amp;U957),NA())</f>
        <v>#N/A</v>
      </c>
      <c r="X957" s="46" t="e">
        <f t="shared" si="203"/>
        <v>#N/A</v>
      </c>
      <c r="Y957" s="2" t="b">
        <f t="shared" si="204"/>
        <v>0</v>
      </c>
      <c r="Z957" s="2" t="b">
        <f t="shared" si="205"/>
        <v>0</v>
      </c>
      <c r="AE957" s="46">
        <f t="shared" si="198"/>
        <v>9502</v>
      </c>
      <c r="AF957" s="46">
        <f t="shared" si="199"/>
        <v>9511</v>
      </c>
      <c r="AG957" s="33" t="e">
        <f>IFERROR(AVERAGEIFS(data_brute!M:M,data_brute!J:J,"&gt;="&amp;AE957,data_brute!J:J,"&lt;="&amp;AF957),NA())</f>
        <v>#N/A</v>
      </c>
      <c r="AH957" s="46" t="e">
        <f t="shared" si="200"/>
        <v>#N/A</v>
      </c>
      <c r="AJ957" s="46">
        <f t="shared" si="206"/>
        <v>9502</v>
      </c>
      <c r="AK957" s="46">
        <f t="shared" si="207"/>
        <v>9511</v>
      </c>
      <c r="AL957" s="33">
        <f ca="1">IFERROR(AVERAGEIFS(data_brute!M:M,data_brute!J:J,"&lt;="&amp;AK957),NA())</f>
        <v>25.353524229074896</v>
      </c>
      <c r="AM957" s="46">
        <f t="shared" ca="1" si="208"/>
        <v>9510</v>
      </c>
      <c r="AN957" s="46" t="b">
        <f t="shared" si="209"/>
        <v>0</v>
      </c>
      <c r="AO957" s="50" t="b">
        <f t="shared" si="210"/>
        <v>0</v>
      </c>
    </row>
    <row r="958" spans="21:41" x14ac:dyDescent="0.2">
      <c r="U958" s="46">
        <f t="shared" si="201"/>
        <v>9512</v>
      </c>
      <c r="V958" s="46">
        <f t="shared" si="202"/>
        <v>9521</v>
      </c>
      <c r="W958" s="33" t="e">
        <f>IFERROR(AVERAGEIFS(data_brute!M:M,data_brute!J:J,"&lt;="&amp;V958,data_brute!J:J,"&gt;="&amp;U958),NA())</f>
        <v>#N/A</v>
      </c>
      <c r="X958" s="46" t="e">
        <f t="shared" si="203"/>
        <v>#N/A</v>
      </c>
      <c r="Y958" s="2" t="b">
        <f t="shared" si="204"/>
        <v>0</v>
      </c>
      <c r="Z958" s="2" t="b">
        <f t="shared" si="205"/>
        <v>0</v>
      </c>
      <c r="AE958" s="46">
        <f t="shared" si="198"/>
        <v>9512</v>
      </c>
      <c r="AF958" s="46">
        <f t="shared" si="199"/>
        <v>9521</v>
      </c>
      <c r="AG958" s="33" t="e">
        <f>IFERROR(AVERAGEIFS(data_brute!M:M,data_brute!J:J,"&gt;="&amp;AE958,data_brute!J:J,"&lt;="&amp;AF958),NA())</f>
        <v>#N/A</v>
      </c>
      <c r="AH958" s="46" t="e">
        <f t="shared" si="200"/>
        <v>#N/A</v>
      </c>
      <c r="AJ958" s="46">
        <f t="shared" si="206"/>
        <v>9512</v>
      </c>
      <c r="AK958" s="46">
        <f t="shared" si="207"/>
        <v>9521</v>
      </c>
      <c r="AL958" s="33">
        <f ca="1">IFERROR(AVERAGEIFS(data_brute!M:M,data_brute!J:J,"&lt;="&amp;AK958),NA())</f>
        <v>25.353524229074896</v>
      </c>
      <c r="AM958" s="46">
        <f t="shared" ca="1" si="208"/>
        <v>9520</v>
      </c>
      <c r="AN958" s="46" t="b">
        <f t="shared" si="209"/>
        <v>0</v>
      </c>
      <c r="AO958" s="50" t="b">
        <f t="shared" si="210"/>
        <v>0</v>
      </c>
    </row>
    <row r="959" spans="21:41" x14ac:dyDescent="0.2">
      <c r="U959" s="46">
        <f t="shared" si="201"/>
        <v>9522</v>
      </c>
      <c r="V959" s="46">
        <f t="shared" si="202"/>
        <v>9531</v>
      </c>
      <c r="W959" s="33" t="e">
        <f>IFERROR(AVERAGEIFS(data_brute!M:M,data_brute!J:J,"&lt;="&amp;V959,data_brute!J:J,"&gt;="&amp;U959),NA())</f>
        <v>#N/A</v>
      </c>
      <c r="X959" s="46" t="e">
        <f t="shared" si="203"/>
        <v>#N/A</v>
      </c>
      <c r="Y959" s="2" t="b">
        <f t="shared" si="204"/>
        <v>0</v>
      </c>
      <c r="Z959" s="2" t="b">
        <f t="shared" si="205"/>
        <v>0</v>
      </c>
      <c r="AE959" s="46">
        <f t="shared" si="198"/>
        <v>9522</v>
      </c>
      <c r="AF959" s="46">
        <f t="shared" si="199"/>
        <v>9531</v>
      </c>
      <c r="AG959" s="33" t="e">
        <f>IFERROR(AVERAGEIFS(data_brute!M:M,data_brute!J:J,"&gt;="&amp;AE959,data_brute!J:J,"&lt;="&amp;AF959),NA())</f>
        <v>#N/A</v>
      </c>
      <c r="AH959" s="46" t="e">
        <f t="shared" si="200"/>
        <v>#N/A</v>
      </c>
      <c r="AJ959" s="46">
        <f t="shared" si="206"/>
        <v>9522</v>
      </c>
      <c r="AK959" s="46">
        <f t="shared" si="207"/>
        <v>9531</v>
      </c>
      <c r="AL959" s="33">
        <f ca="1">IFERROR(AVERAGEIFS(data_brute!M:M,data_brute!J:J,"&lt;="&amp;AK959),NA())</f>
        <v>25.353524229074896</v>
      </c>
      <c r="AM959" s="46">
        <f t="shared" ca="1" si="208"/>
        <v>9530</v>
      </c>
      <c r="AN959" s="46" t="b">
        <f t="shared" si="209"/>
        <v>0</v>
      </c>
      <c r="AO959" s="50" t="b">
        <f t="shared" si="210"/>
        <v>0</v>
      </c>
    </row>
    <row r="960" spans="21:41" x14ac:dyDescent="0.2">
      <c r="U960" s="46">
        <f t="shared" si="201"/>
        <v>9532</v>
      </c>
      <c r="V960" s="46">
        <f t="shared" si="202"/>
        <v>9541</v>
      </c>
      <c r="W960" s="33" t="e">
        <f>IFERROR(AVERAGEIFS(data_brute!M:M,data_brute!J:J,"&lt;="&amp;V960,data_brute!J:J,"&gt;="&amp;U960),NA())</f>
        <v>#N/A</v>
      </c>
      <c r="X960" s="46" t="e">
        <f t="shared" si="203"/>
        <v>#N/A</v>
      </c>
      <c r="Y960" s="2" t="b">
        <f t="shared" si="204"/>
        <v>0</v>
      </c>
      <c r="Z960" s="2" t="b">
        <f t="shared" si="205"/>
        <v>0</v>
      </c>
      <c r="AE960" s="46">
        <f t="shared" si="198"/>
        <v>9532</v>
      </c>
      <c r="AF960" s="46">
        <f t="shared" si="199"/>
        <v>9541</v>
      </c>
      <c r="AG960" s="33" t="e">
        <f>IFERROR(AVERAGEIFS(data_brute!M:M,data_brute!J:J,"&gt;="&amp;AE960,data_brute!J:J,"&lt;="&amp;AF960),NA())</f>
        <v>#N/A</v>
      </c>
      <c r="AH960" s="46" t="e">
        <f t="shared" si="200"/>
        <v>#N/A</v>
      </c>
      <c r="AJ960" s="46">
        <f t="shared" si="206"/>
        <v>9532</v>
      </c>
      <c r="AK960" s="46">
        <f t="shared" si="207"/>
        <v>9541</v>
      </c>
      <c r="AL960" s="33">
        <f ca="1">IFERROR(AVERAGEIFS(data_brute!M:M,data_brute!J:J,"&lt;="&amp;AK960),NA())</f>
        <v>25.353524229074896</v>
      </c>
      <c r="AM960" s="46">
        <f t="shared" ca="1" si="208"/>
        <v>9540</v>
      </c>
      <c r="AN960" s="46" t="b">
        <f t="shared" si="209"/>
        <v>0</v>
      </c>
      <c r="AO960" s="50" t="b">
        <f t="shared" si="210"/>
        <v>0</v>
      </c>
    </row>
    <row r="961" spans="21:41" x14ac:dyDescent="0.2">
      <c r="U961" s="46">
        <f t="shared" si="201"/>
        <v>9542</v>
      </c>
      <c r="V961" s="46">
        <f t="shared" si="202"/>
        <v>9551</v>
      </c>
      <c r="W961" s="33" t="e">
        <f>IFERROR(AVERAGEIFS(data_brute!M:M,data_brute!J:J,"&lt;="&amp;V961,data_brute!J:J,"&gt;="&amp;U961),NA())</f>
        <v>#N/A</v>
      </c>
      <c r="X961" s="46" t="e">
        <f t="shared" si="203"/>
        <v>#N/A</v>
      </c>
      <c r="Y961" s="2" t="b">
        <f t="shared" si="204"/>
        <v>0</v>
      </c>
      <c r="Z961" s="2" t="b">
        <f t="shared" si="205"/>
        <v>0</v>
      </c>
      <c r="AE961" s="46">
        <f t="shared" si="198"/>
        <v>9542</v>
      </c>
      <c r="AF961" s="46">
        <f t="shared" si="199"/>
        <v>9551</v>
      </c>
      <c r="AG961" s="33" t="e">
        <f>IFERROR(AVERAGEIFS(data_brute!M:M,data_brute!J:J,"&gt;="&amp;AE961,data_brute!J:J,"&lt;="&amp;AF961),NA())</f>
        <v>#N/A</v>
      </c>
      <c r="AH961" s="46" t="e">
        <f t="shared" si="200"/>
        <v>#N/A</v>
      </c>
      <c r="AJ961" s="46">
        <f t="shared" si="206"/>
        <v>9542</v>
      </c>
      <c r="AK961" s="46">
        <f t="shared" si="207"/>
        <v>9551</v>
      </c>
      <c r="AL961" s="33">
        <f ca="1">IFERROR(AVERAGEIFS(data_brute!M:M,data_brute!J:J,"&lt;="&amp;AK961),NA())</f>
        <v>25.353524229074896</v>
      </c>
      <c r="AM961" s="46">
        <f t="shared" ca="1" si="208"/>
        <v>9550</v>
      </c>
      <c r="AN961" s="46" t="b">
        <f t="shared" si="209"/>
        <v>0</v>
      </c>
      <c r="AO961" s="50" t="b">
        <f t="shared" si="210"/>
        <v>0</v>
      </c>
    </row>
    <row r="962" spans="21:41" x14ac:dyDescent="0.2">
      <c r="U962" s="46">
        <f t="shared" si="201"/>
        <v>9552</v>
      </c>
      <c r="V962" s="46">
        <f t="shared" si="202"/>
        <v>9561</v>
      </c>
      <c r="W962" s="33" t="e">
        <f>IFERROR(AVERAGEIFS(data_brute!M:M,data_brute!J:J,"&lt;="&amp;V962,data_brute!J:J,"&gt;="&amp;U962),NA())</f>
        <v>#N/A</v>
      </c>
      <c r="X962" s="46" t="e">
        <f t="shared" si="203"/>
        <v>#N/A</v>
      </c>
      <c r="Y962" s="2" t="b">
        <f t="shared" si="204"/>
        <v>0</v>
      </c>
      <c r="Z962" s="2" t="b">
        <f t="shared" si="205"/>
        <v>0</v>
      </c>
      <c r="AE962" s="46">
        <f t="shared" si="198"/>
        <v>9552</v>
      </c>
      <c r="AF962" s="46">
        <f t="shared" si="199"/>
        <v>9561</v>
      </c>
      <c r="AG962" s="33" t="e">
        <f>IFERROR(AVERAGEIFS(data_brute!M:M,data_brute!J:J,"&gt;="&amp;AE962,data_brute!J:J,"&lt;="&amp;AF962),NA())</f>
        <v>#N/A</v>
      </c>
      <c r="AH962" s="46" t="e">
        <f t="shared" si="200"/>
        <v>#N/A</v>
      </c>
      <c r="AJ962" s="46">
        <f t="shared" si="206"/>
        <v>9552</v>
      </c>
      <c r="AK962" s="46">
        <f t="shared" si="207"/>
        <v>9561</v>
      </c>
      <c r="AL962" s="33">
        <f ca="1">IFERROR(AVERAGEIFS(data_brute!M:M,data_brute!J:J,"&lt;="&amp;AK962),NA())</f>
        <v>25.353524229074896</v>
      </c>
      <c r="AM962" s="46">
        <f t="shared" ca="1" si="208"/>
        <v>9560</v>
      </c>
      <c r="AN962" s="46" t="b">
        <f t="shared" si="209"/>
        <v>0</v>
      </c>
      <c r="AO962" s="50" t="b">
        <f t="shared" si="210"/>
        <v>0</v>
      </c>
    </row>
    <row r="963" spans="21:41" x14ac:dyDescent="0.2">
      <c r="U963" s="46">
        <f t="shared" si="201"/>
        <v>9562</v>
      </c>
      <c r="V963" s="46">
        <f t="shared" si="202"/>
        <v>9571</v>
      </c>
      <c r="W963" s="33" t="e">
        <f>IFERROR(AVERAGEIFS(data_brute!M:M,data_brute!J:J,"&lt;="&amp;V963,data_brute!J:J,"&gt;="&amp;U963),NA())</f>
        <v>#N/A</v>
      </c>
      <c r="X963" s="46" t="e">
        <f t="shared" si="203"/>
        <v>#N/A</v>
      </c>
      <c r="Y963" s="2" t="b">
        <f t="shared" si="204"/>
        <v>0</v>
      </c>
      <c r="Z963" s="2" t="b">
        <f t="shared" si="205"/>
        <v>0</v>
      </c>
      <c r="AE963" s="46">
        <f t="shared" si="198"/>
        <v>9562</v>
      </c>
      <c r="AF963" s="46">
        <f t="shared" si="199"/>
        <v>9571</v>
      </c>
      <c r="AG963" s="33" t="e">
        <f>IFERROR(AVERAGEIFS(data_brute!M:M,data_brute!J:J,"&gt;="&amp;AE963,data_brute!J:J,"&lt;="&amp;AF963),NA())</f>
        <v>#N/A</v>
      </c>
      <c r="AH963" s="46" t="e">
        <f t="shared" si="200"/>
        <v>#N/A</v>
      </c>
      <c r="AJ963" s="46">
        <f t="shared" si="206"/>
        <v>9562</v>
      </c>
      <c r="AK963" s="46">
        <f t="shared" si="207"/>
        <v>9571</v>
      </c>
      <c r="AL963" s="33">
        <f ca="1">IFERROR(AVERAGEIFS(data_brute!M:M,data_brute!J:J,"&lt;="&amp;AK963),NA())</f>
        <v>25.353524229074896</v>
      </c>
      <c r="AM963" s="46">
        <f t="shared" ca="1" si="208"/>
        <v>9570</v>
      </c>
      <c r="AN963" s="46" t="b">
        <f t="shared" si="209"/>
        <v>0</v>
      </c>
      <c r="AO963" s="50" t="b">
        <f t="shared" si="210"/>
        <v>0</v>
      </c>
    </row>
    <row r="964" spans="21:41" x14ac:dyDescent="0.2">
      <c r="U964" s="46">
        <f t="shared" si="201"/>
        <v>9572</v>
      </c>
      <c r="V964" s="46">
        <f t="shared" si="202"/>
        <v>9581</v>
      </c>
      <c r="W964" s="33" t="e">
        <f>IFERROR(AVERAGEIFS(data_brute!M:M,data_brute!J:J,"&lt;="&amp;V964,data_brute!J:J,"&gt;="&amp;U964),NA())</f>
        <v>#N/A</v>
      </c>
      <c r="X964" s="46" t="e">
        <f t="shared" si="203"/>
        <v>#N/A</v>
      </c>
      <c r="Y964" s="2" t="b">
        <f t="shared" si="204"/>
        <v>0</v>
      </c>
      <c r="Z964" s="2" t="b">
        <f t="shared" si="205"/>
        <v>0</v>
      </c>
      <c r="AE964" s="46">
        <f t="shared" si="198"/>
        <v>9572</v>
      </c>
      <c r="AF964" s="46">
        <f t="shared" si="199"/>
        <v>9581</v>
      </c>
      <c r="AG964" s="33" t="e">
        <f>IFERROR(AVERAGEIFS(data_brute!M:M,data_brute!J:J,"&gt;="&amp;AE964,data_brute!J:J,"&lt;="&amp;AF964),NA())</f>
        <v>#N/A</v>
      </c>
      <c r="AH964" s="46" t="e">
        <f t="shared" si="200"/>
        <v>#N/A</v>
      </c>
      <c r="AJ964" s="46">
        <f t="shared" si="206"/>
        <v>9572</v>
      </c>
      <c r="AK964" s="46">
        <f t="shared" si="207"/>
        <v>9581</v>
      </c>
      <c r="AL964" s="33">
        <f ca="1">IFERROR(AVERAGEIFS(data_brute!M:M,data_brute!J:J,"&lt;="&amp;AK964),NA())</f>
        <v>25.353524229074896</v>
      </c>
      <c r="AM964" s="46">
        <f t="shared" ca="1" si="208"/>
        <v>9580</v>
      </c>
      <c r="AN964" s="46" t="b">
        <f t="shared" si="209"/>
        <v>0</v>
      </c>
      <c r="AO964" s="50" t="b">
        <f t="shared" si="210"/>
        <v>0</v>
      </c>
    </row>
    <row r="965" spans="21:41" x14ac:dyDescent="0.2">
      <c r="U965" s="46">
        <f t="shared" si="201"/>
        <v>9582</v>
      </c>
      <c r="V965" s="46">
        <f t="shared" si="202"/>
        <v>9591</v>
      </c>
      <c r="W965" s="33" t="e">
        <f>IFERROR(AVERAGEIFS(data_brute!M:M,data_brute!J:J,"&lt;="&amp;V965,data_brute!J:J,"&gt;="&amp;U965),NA())</f>
        <v>#N/A</v>
      </c>
      <c r="X965" s="46" t="e">
        <f t="shared" si="203"/>
        <v>#N/A</v>
      </c>
      <c r="Y965" s="2" t="b">
        <f t="shared" si="204"/>
        <v>0</v>
      </c>
      <c r="Z965" s="2" t="b">
        <f t="shared" si="205"/>
        <v>0</v>
      </c>
      <c r="AE965" s="46">
        <f t="shared" si="198"/>
        <v>9582</v>
      </c>
      <c r="AF965" s="46">
        <f t="shared" si="199"/>
        <v>9591</v>
      </c>
      <c r="AG965" s="33" t="e">
        <f>IFERROR(AVERAGEIFS(data_brute!M:M,data_brute!J:J,"&gt;="&amp;AE965,data_brute!J:J,"&lt;="&amp;AF965),NA())</f>
        <v>#N/A</v>
      </c>
      <c r="AH965" s="46" t="e">
        <f t="shared" si="200"/>
        <v>#N/A</v>
      </c>
      <c r="AJ965" s="46">
        <f t="shared" si="206"/>
        <v>9582</v>
      </c>
      <c r="AK965" s="46">
        <f t="shared" si="207"/>
        <v>9591</v>
      </c>
      <c r="AL965" s="33">
        <f ca="1">IFERROR(AVERAGEIFS(data_brute!M:M,data_brute!J:J,"&lt;="&amp;AK965),NA())</f>
        <v>25.353524229074896</v>
      </c>
      <c r="AM965" s="46">
        <f t="shared" ca="1" si="208"/>
        <v>9590</v>
      </c>
      <c r="AN965" s="46" t="b">
        <f t="shared" si="209"/>
        <v>0</v>
      </c>
      <c r="AO965" s="50" t="b">
        <f t="shared" si="210"/>
        <v>0</v>
      </c>
    </row>
    <row r="966" spans="21:41" x14ac:dyDescent="0.2">
      <c r="U966" s="46">
        <f t="shared" si="201"/>
        <v>9592</v>
      </c>
      <c r="V966" s="46">
        <f t="shared" si="202"/>
        <v>9601</v>
      </c>
      <c r="W966" s="33" t="e">
        <f>IFERROR(AVERAGEIFS(data_brute!M:M,data_brute!J:J,"&lt;="&amp;V966,data_brute!J:J,"&gt;="&amp;U966),NA())</f>
        <v>#N/A</v>
      </c>
      <c r="X966" s="46" t="e">
        <f t="shared" si="203"/>
        <v>#N/A</v>
      </c>
      <c r="Y966" s="2" t="b">
        <f t="shared" si="204"/>
        <v>0</v>
      </c>
      <c r="Z966" s="2" t="b">
        <f t="shared" si="205"/>
        <v>0</v>
      </c>
      <c r="AE966" s="46">
        <f t="shared" si="198"/>
        <v>9592</v>
      </c>
      <c r="AF966" s="46">
        <f t="shared" si="199"/>
        <v>9601</v>
      </c>
      <c r="AG966" s="33" t="e">
        <f>IFERROR(AVERAGEIFS(data_brute!M:M,data_brute!J:J,"&gt;="&amp;AE966,data_brute!J:J,"&lt;="&amp;AF966),NA())</f>
        <v>#N/A</v>
      </c>
      <c r="AH966" s="46" t="e">
        <f t="shared" si="200"/>
        <v>#N/A</v>
      </c>
      <c r="AJ966" s="46">
        <f t="shared" si="206"/>
        <v>9592</v>
      </c>
      <c r="AK966" s="46">
        <f t="shared" si="207"/>
        <v>9601</v>
      </c>
      <c r="AL966" s="33">
        <f ca="1">IFERROR(AVERAGEIFS(data_brute!M:M,data_brute!J:J,"&lt;="&amp;AK966),NA())</f>
        <v>25.353524229074896</v>
      </c>
      <c r="AM966" s="46">
        <f t="shared" ca="1" si="208"/>
        <v>9600</v>
      </c>
      <c r="AN966" s="46" t="b">
        <f t="shared" si="209"/>
        <v>0</v>
      </c>
      <c r="AO966" s="50" t="b">
        <f t="shared" si="210"/>
        <v>0</v>
      </c>
    </row>
    <row r="967" spans="21:41" x14ac:dyDescent="0.2">
      <c r="U967" s="46">
        <f t="shared" si="201"/>
        <v>9602</v>
      </c>
      <c r="V967" s="46">
        <f t="shared" si="202"/>
        <v>9611</v>
      </c>
      <c r="W967" s="33" t="e">
        <f>IFERROR(AVERAGEIFS(data_brute!M:M,data_brute!J:J,"&lt;="&amp;V967,data_brute!J:J,"&gt;="&amp;U967),NA())</f>
        <v>#N/A</v>
      </c>
      <c r="X967" s="46" t="e">
        <f t="shared" si="203"/>
        <v>#N/A</v>
      </c>
      <c r="Y967" s="2" t="b">
        <f t="shared" si="204"/>
        <v>0</v>
      </c>
      <c r="Z967" s="2" t="b">
        <f t="shared" si="205"/>
        <v>0</v>
      </c>
      <c r="AE967" s="46">
        <f t="shared" si="198"/>
        <v>9602</v>
      </c>
      <c r="AF967" s="46">
        <f t="shared" si="199"/>
        <v>9611</v>
      </c>
      <c r="AG967" s="33" t="e">
        <f>IFERROR(AVERAGEIFS(data_brute!M:M,data_brute!J:J,"&gt;="&amp;AE967,data_brute!J:J,"&lt;="&amp;AF967),NA())</f>
        <v>#N/A</v>
      </c>
      <c r="AH967" s="46" t="e">
        <f t="shared" si="200"/>
        <v>#N/A</v>
      </c>
      <c r="AJ967" s="46">
        <f t="shared" si="206"/>
        <v>9602</v>
      </c>
      <c r="AK967" s="46">
        <f t="shared" si="207"/>
        <v>9611</v>
      </c>
      <c r="AL967" s="33">
        <f ca="1">IFERROR(AVERAGEIFS(data_brute!M:M,data_brute!J:J,"&lt;="&amp;AK967),NA())</f>
        <v>25.353524229074896</v>
      </c>
      <c r="AM967" s="46">
        <f t="shared" ca="1" si="208"/>
        <v>9610</v>
      </c>
      <c r="AN967" s="46" t="b">
        <f t="shared" si="209"/>
        <v>0</v>
      </c>
      <c r="AO967" s="50" t="b">
        <f t="shared" si="210"/>
        <v>0</v>
      </c>
    </row>
    <row r="968" spans="21:41" x14ac:dyDescent="0.2">
      <c r="U968" s="46">
        <f t="shared" si="201"/>
        <v>9612</v>
      </c>
      <c r="V968" s="46">
        <f t="shared" si="202"/>
        <v>9621</v>
      </c>
      <c r="W968" s="33" t="e">
        <f>IFERROR(AVERAGEIFS(data_brute!M:M,data_brute!J:J,"&lt;="&amp;V968,data_brute!J:J,"&gt;="&amp;U968),NA())</f>
        <v>#N/A</v>
      </c>
      <c r="X968" s="46" t="e">
        <f t="shared" si="203"/>
        <v>#N/A</v>
      </c>
      <c r="Y968" s="2" t="b">
        <f t="shared" si="204"/>
        <v>0</v>
      </c>
      <c r="Z968" s="2" t="b">
        <f t="shared" si="205"/>
        <v>0</v>
      </c>
      <c r="AE968" s="46">
        <f t="shared" si="198"/>
        <v>9612</v>
      </c>
      <c r="AF968" s="46">
        <f t="shared" si="199"/>
        <v>9621</v>
      </c>
      <c r="AG968" s="33" t="e">
        <f>IFERROR(AVERAGEIFS(data_brute!M:M,data_brute!J:J,"&gt;="&amp;AE968,data_brute!J:J,"&lt;="&amp;AF968),NA())</f>
        <v>#N/A</v>
      </c>
      <c r="AH968" s="46" t="e">
        <f t="shared" si="200"/>
        <v>#N/A</v>
      </c>
      <c r="AJ968" s="46">
        <f t="shared" si="206"/>
        <v>9612</v>
      </c>
      <c r="AK968" s="46">
        <f t="shared" si="207"/>
        <v>9621</v>
      </c>
      <c r="AL968" s="33">
        <f ca="1">IFERROR(AVERAGEIFS(data_brute!M:M,data_brute!J:J,"&lt;="&amp;AK968),NA())</f>
        <v>25.353524229074896</v>
      </c>
      <c r="AM968" s="46">
        <f t="shared" ca="1" si="208"/>
        <v>9620</v>
      </c>
      <c r="AN968" s="46" t="b">
        <f t="shared" si="209"/>
        <v>0</v>
      </c>
      <c r="AO968" s="50" t="b">
        <f t="shared" si="210"/>
        <v>0</v>
      </c>
    </row>
    <row r="969" spans="21:41" x14ac:dyDescent="0.2">
      <c r="U969" s="46">
        <f t="shared" si="201"/>
        <v>9622</v>
      </c>
      <c r="V969" s="46">
        <f t="shared" si="202"/>
        <v>9631</v>
      </c>
      <c r="W969" s="33" t="e">
        <f>IFERROR(AVERAGEIFS(data_brute!M:M,data_brute!J:J,"&lt;="&amp;V969,data_brute!J:J,"&gt;="&amp;U969),NA())</f>
        <v>#N/A</v>
      </c>
      <c r="X969" s="46" t="e">
        <f t="shared" si="203"/>
        <v>#N/A</v>
      </c>
      <c r="Y969" s="2" t="b">
        <f t="shared" si="204"/>
        <v>0</v>
      </c>
      <c r="Z969" s="2" t="b">
        <f t="shared" si="205"/>
        <v>0</v>
      </c>
      <c r="AE969" s="46">
        <f t="shared" si="198"/>
        <v>9622</v>
      </c>
      <c r="AF969" s="46">
        <f t="shared" si="199"/>
        <v>9631</v>
      </c>
      <c r="AG969" s="33" t="e">
        <f>IFERROR(AVERAGEIFS(data_brute!M:M,data_brute!J:J,"&gt;="&amp;AE969,data_brute!J:J,"&lt;="&amp;AF969),NA())</f>
        <v>#N/A</v>
      </c>
      <c r="AH969" s="46" t="e">
        <f t="shared" si="200"/>
        <v>#N/A</v>
      </c>
      <c r="AJ969" s="46">
        <f t="shared" si="206"/>
        <v>9622</v>
      </c>
      <c r="AK969" s="46">
        <f t="shared" si="207"/>
        <v>9631</v>
      </c>
      <c r="AL969" s="33">
        <f ca="1">IFERROR(AVERAGEIFS(data_brute!M:M,data_brute!J:J,"&lt;="&amp;AK969),NA())</f>
        <v>25.353524229074896</v>
      </c>
      <c r="AM969" s="46">
        <f t="shared" ca="1" si="208"/>
        <v>9630</v>
      </c>
      <c r="AN969" s="46" t="b">
        <f t="shared" si="209"/>
        <v>0</v>
      </c>
      <c r="AO969" s="50" t="b">
        <f t="shared" si="210"/>
        <v>0</v>
      </c>
    </row>
    <row r="970" spans="21:41" x14ac:dyDescent="0.2">
      <c r="U970" s="46">
        <f t="shared" si="201"/>
        <v>9632</v>
      </c>
      <c r="V970" s="46">
        <f t="shared" si="202"/>
        <v>9641</v>
      </c>
      <c r="W970" s="33" t="e">
        <f>IFERROR(AVERAGEIFS(data_brute!M:M,data_brute!J:J,"&lt;="&amp;V970,data_brute!J:J,"&gt;="&amp;U970),NA())</f>
        <v>#N/A</v>
      </c>
      <c r="X970" s="46" t="e">
        <f t="shared" si="203"/>
        <v>#N/A</v>
      </c>
      <c r="Y970" s="2" t="b">
        <f t="shared" si="204"/>
        <v>0</v>
      </c>
      <c r="Z970" s="2" t="b">
        <f t="shared" si="205"/>
        <v>0</v>
      </c>
      <c r="AE970" s="46">
        <f t="shared" si="198"/>
        <v>9632</v>
      </c>
      <c r="AF970" s="46">
        <f t="shared" si="199"/>
        <v>9641</v>
      </c>
      <c r="AG970" s="33" t="e">
        <f>IFERROR(AVERAGEIFS(data_brute!M:M,data_brute!J:J,"&gt;="&amp;AE970,data_brute!J:J,"&lt;="&amp;AF970),NA())</f>
        <v>#N/A</v>
      </c>
      <c r="AH970" s="46" t="e">
        <f t="shared" si="200"/>
        <v>#N/A</v>
      </c>
      <c r="AJ970" s="46">
        <f t="shared" si="206"/>
        <v>9632</v>
      </c>
      <c r="AK970" s="46">
        <f t="shared" si="207"/>
        <v>9641</v>
      </c>
      <c r="AL970" s="33">
        <f ca="1">IFERROR(AVERAGEIFS(data_brute!M:M,data_brute!J:J,"&lt;="&amp;AK970),NA())</f>
        <v>25.353524229074896</v>
      </c>
      <c r="AM970" s="46">
        <f t="shared" ca="1" si="208"/>
        <v>9640</v>
      </c>
      <c r="AN970" s="46" t="b">
        <f t="shared" si="209"/>
        <v>0</v>
      </c>
      <c r="AO970" s="50" t="b">
        <f t="shared" si="210"/>
        <v>0</v>
      </c>
    </row>
    <row r="971" spans="21:41" x14ac:dyDescent="0.2">
      <c r="U971" s="46">
        <f t="shared" si="201"/>
        <v>9642</v>
      </c>
      <c r="V971" s="46">
        <f t="shared" si="202"/>
        <v>9651</v>
      </c>
      <c r="W971" s="33" t="e">
        <f>IFERROR(AVERAGEIFS(data_brute!M:M,data_brute!J:J,"&lt;="&amp;V971,data_brute!J:J,"&gt;="&amp;U971),NA())</f>
        <v>#N/A</v>
      </c>
      <c r="X971" s="46" t="e">
        <f t="shared" si="203"/>
        <v>#N/A</v>
      </c>
      <c r="Y971" s="2" t="b">
        <f t="shared" si="204"/>
        <v>0</v>
      </c>
      <c r="Z971" s="2" t="b">
        <f t="shared" si="205"/>
        <v>0</v>
      </c>
      <c r="AE971" s="46">
        <f t="shared" si="198"/>
        <v>9642</v>
      </c>
      <c r="AF971" s="46">
        <f t="shared" si="199"/>
        <v>9651</v>
      </c>
      <c r="AG971" s="33" t="e">
        <f>IFERROR(AVERAGEIFS(data_brute!M:M,data_brute!J:J,"&gt;="&amp;AE971,data_brute!J:J,"&lt;="&amp;AF971),NA())</f>
        <v>#N/A</v>
      </c>
      <c r="AH971" s="46" t="e">
        <f t="shared" si="200"/>
        <v>#N/A</v>
      </c>
      <c r="AJ971" s="46">
        <f t="shared" si="206"/>
        <v>9642</v>
      </c>
      <c r="AK971" s="46">
        <f t="shared" si="207"/>
        <v>9651</v>
      </c>
      <c r="AL971" s="33">
        <f ca="1">IFERROR(AVERAGEIFS(data_brute!M:M,data_brute!J:J,"&lt;="&amp;AK971),NA())</f>
        <v>25.353524229074896</v>
      </c>
      <c r="AM971" s="46">
        <f t="shared" ca="1" si="208"/>
        <v>9650</v>
      </c>
      <c r="AN971" s="46" t="b">
        <f t="shared" si="209"/>
        <v>0</v>
      </c>
      <c r="AO971" s="50" t="b">
        <f t="shared" si="210"/>
        <v>0</v>
      </c>
    </row>
    <row r="972" spans="21:41" x14ac:dyDescent="0.2">
      <c r="U972" s="46">
        <f t="shared" si="201"/>
        <v>9652</v>
      </c>
      <c r="V972" s="46">
        <f t="shared" si="202"/>
        <v>9661</v>
      </c>
      <c r="W972" s="33" t="e">
        <f>IFERROR(AVERAGEIFS(data_brute!M:M,data_brute!J:J,"&lt;="&amp;V972,data_brute!J:J,"&gt;="&amp;U972),NA())</f>
        <v>#N/A</v>
      </c>
      <c r="X972" s="46" t="e">
        <f t="shared" si="203"/>
        <v>#N/A</v>
      </c>
      <c r="Y972" s="2" t="b">
        <f t="shared" si="204"/>
        <v>0</v>
      </c>
      <c r="Z972" s="2" t="b">
        <f t="shared" si="205"/>
        <v>0</v>
      </c>
      <c r="AE972" s="46">
        <f t="shared" si="198"/>
        <v>9652</v>
      </c>
      <c r="AF972" s="46">
        <f t="shared" si="199"/>
        <v>9661</v>
      </c>
      <c r="AG972" s="33" t="e">
        <f>IFERROR(AVERAGEIFS(data_brute!M:M,data_brute!J:J,"&gt;="&amp;AE972,data_brute!J:J,"&lt;="&amp;AF972),NA())</f>
        <v>#N/A</v>
      </c>
      <c r="AH972" s="46" t="e">
        <f t="shared" si="200"/>
        <v>#N/A</v>
      </c>
      <c r="AJ972" s="46">
        <f t="shared" si="206"/>
        <v>9652</v>
      </c>
      <c r="AK972" s="46">
        <f t="shared" si="207"/>
        <v>9661</v>
      </c>
      <c r="AL972" s="33">
        <f ca="1">IFERROR(AVERAGEIFS(data_brute!M:M,data_brute!J:J,"&lt;="&amp;AK972),NA())</f>
        <v>25.353524229074896</v>
      </c>
      <c r="AM972" s="46">
        <f t="shared" ca="1" si="208"/>
        <v>9660</v>
      </c>
      <c r="AN972" s="46" t="b">
        <f t="shared" si="209"/>
        <v>0</v>
      </c>
      <c r="AO972" s="50" t="b">
        <f t="shared" si="210"/>
        <v>0</v>
      </c>
    </row>
    <row r="973" spans="21:41" x14ac:dyDescent="0.2">
      <c r="U973" s="46">
        <f t="shared" si="201"/>
        <v>9662</v>
      </c>
      <c r="V973" s="46">
        <f t="shared" si="202"/>
        <v>9671</v>
      </c>
      <c r="W973" s="33" t="e">
        <f>IFERROR(AVERAGEIFS(data_brute!M:M,data_brute!J:J,"&lt;="&amp;V973,data_brute!J:J,"&gt;="&amp;U973),NA())</f>
        <v>#N/A</v>
      </c>
      <c r="X973" s="46" t="e">
        <f t="shared" si="203"/>
        <v>#N/A</v>
      </c>
      <c r="Y973" s="2" t="b">
        <f t="shared" si="204"/>
        <v>0</v>
      </c>
      <c r="Z973" s="2" t="b">
        <f t="shared" si="205"/>
        <v>0</v>
      </c>
      <c r="AE973" s="46">
        <f t="shared" si="198"/>
        <v>9662</v>
      </c>
      <c r="AF973" s="46">
        <f t="shared" si="199"/>
        <v>9671</v>
      </c>
      <c r="AG973" s="33" t="e">
        <f>IFERROR(AVERAGEIFS(data_brute!M:M,data_brute!J:J,"&gt;="&amp;AE973,data_brute!J:J,"&lt;="&amp;AF973),NA())</f>
        <v>#N/A</v>
      </c>
      <c r="AH973" s="46" t="e">
        <f t="shared" si="200"/>
        <v>#N/A</v>
      </c>
      <c r="AJ973" s="46">
        <f t="shared" si="206"/>
        <v>9662</v>
      </c>
      <c r="AK973" s="46">
        <f t="shared" si="207"/>
        <v>9671</v>
      </c>
      <c r="AL973" s="33">
        <f ca="1">IFERROR(AVERAGEIFS(data_brute!M:M,data_brute!J:J,"&lt;="&amp;AK973),NA())</f>
        <v>25.353524229074896</v>
      </c>
      <c r="AM973" s="46">
        <f t="shared" ca="1" si="208"/>
        <v>9670</v>
      </c>
      <c r="AN973" s="46" t="b">
        <f t="shared" si="209"/>
        <v>0</v>
      </c>
      <c r="AO973" s="50" t="b">
        <f t="shared" si="210"/>
        <v>0</v>
      </c>
    </row>
    <row r="974" spans="21:41" x14ac:dyDescent="0.2">
      <c r="U974" s="46">
        <f t="shared" si="201"/>
        <v>9672</v>
      </c>
      <c r="V974" s="46">
        <f t="shared" si="202"/>
        <v>9681</v>
      </c>
      <c r="W974" s="33" t="e">
        <f>IFERROR(AVERAGEIFS(data_brute!M:M,data_brute!J:J,"&lt;="&amp;V974,data_brute!J:J,"&gt;="&amp;U974),NA())</f>
        <v>#N/A</v>
      </c>
      <c r="X974" s="46" t="e">
        <f t="shared" si="203"/>
        <v>#N/A</v>
      </c>
      <c r="Y974" s="2" t="b">
        <f t="shared" si="204"/>
        <v>0</v>
      </c>
      <c r="Z974" s="2" t="b">
        <f t="shared" si="205"/>
        <v>0</v>
      </c>
      <c r="AE974" s="46">
        <f t="shared" si="198"/>
        <v>9672</v>
      </c>
      <c r="AF974" s="46">
        <f t="shared" si="199"/>
        <v>9681</v>
      </c>
      <c r="AG974" s="33" t="e">
        <f>IFERROR(AVERAGEIFS(data_brute!M:M,data_brute!J:J,"&gt;="&amp;AE974,data_brute!J:J,"&lt;="&amp;AF974),NA())</f>
        <v>#N/A</v>
      </c>
      <c r="AH974" s="46" t="e">
        <f t="shared" si="200"/>
        <v>#N/A</v>
      </c>
      <c r="AJ974" s="46">
        <f t="shared" si="206"/>
        <v>9672</v>
      </c>
      <c r="AK974" s="46">
        <f t="shared" si="207"/>
        <v>9681</v>
      </c>
      <c r="AL974" s="33">
        <f ca="1">IFERROR(AVERAGEIFS(data_brute!M:M,data_brute!J:J,"&lt;="&amp;AK974),NA())</f>
        <v>25.353524229074896</v>
      </c>
      <c r="AM974" s="46">
        <f t="shared" ca="1" si="208"/>
        <v>9680</v>
      </c>
      <c r="AN974" s="46" t="b">
        <f t="shared" si="209"/>
        <v>0</v>
      </c>
      <c r="AO974" s="50" t="b">
        <f t="shared" si="210"/>
        <v>0</v>
      </c>
    </row>
    <row r="975" spans="21:41" x14ac:dyDescent="0.2">
      <c r="U975" s="46">
        <f t="shared" si="201"/>
        <v>9682</v>
      </c>
      <c r="V975" s="46">
        <f t="shared" si="202"/>
        <v>9691</v>
      </c>
      <c r="W975" s="33" t="e">
        <f>IFERROR(AVERAGEIFS(data_brute!M:M,data_brute!J:J,"&lt;="&amp;V975,data_brute!J:J,"&gt;="&amp;U975),NA())</f>
        <v>#N/A</v>
      </c>
      <c r="X975" s="46" t="e">
        <f t="shared" si="203"/>
        <v>#N/A</v>
      </c>
      <c r="Y975" s="2" t="b">
        <f t="shared" si="204"/>
        <v>0</v>
      </c>
      <c r="Z975" s="2" t="b">
        <f t="shared" si="205"/>
        <v>0</v>
      </c>
      <c r="AE975" s="46">
        <f t="shared" si="198"/>
        <v>9682</v>
      </c>
      <c r="AF975" s="46">
        <f t="shared" si="199"/>
        <v>9691</v>
      </c>
      <c r="AG975" s="33" t="e">
        <f>IFERROR(AVERAGEIFS(data_brute!M:M,data_brute!J:J,"&gt;="&amp;AE975,data_brute!J:J,"&lt;="&amp;AF975),NA())</f>
        <v>#N/A</v>
      </c>
      <c r="AH975" s="46" t="e">
        <f t="shared" si="200"/>
        <v>#N/A</v>
      </c>
      <c r="AJ975" s="46">
        <f t="shared" si="206"/>
        <v>9682</v>
      </c>
      <c r="AK975" s="46">
        <f t="shared" si="207"/>
        <v>9691</v>
      </c>
      <c r="AL975" s="33">
        <f ca="1">IFERROR(AVERAGEIFS(data_brute!M:M,data_brute!J:J,"&lt;="&amp;AK975),NA())</f>
        <v>25.353524229074896</v>
      </c>
      <c r="AM975" s="46">
        <f t="shared" ca="1" si="208"/>
        <v>9690</v>
      </c>
      <c r="AN975" s="46" t="b">
        <f t="shared" si="209"/>
        <v>0</v>
      </c>
      <c r="AO975" s="50" t="b">
        <f t="shared" si="210"/>
        <v>0</v>
      </c>
    </row>
    <row r="976" spans="21:41" x14ac:dyDescent="0.2">
      <c r="U976" s="46">
        <f t="shared" si="201"/>
        <v>9692</v>
      </c>
      <c r="V976" s="46">
        <f t="shared" si="202"/>
        <v>9701</v>
      </c>
      <c r="W976" s="33" t="e">
        <f>IFERROR(AVERAGEIFS(data_brute!M:M,data_brute!J:J,"&lt;="&amp;V976,data_brute!J:J,"&gt;="&amp;U976),NA())</f>
        <v>#N/A</v>
      </c>
      <c r="X976" s="46" t="e">
        <f t="shared" si="203"/>
        <v>#N/A</v>
      </c>
      <c r="Y976" s="2" t="b">
        <f t="shared" si="204"/>
        <v>0</v>
      </c>
      <c r="Z976" s="2" t="b">
        <f t="shared" si="205"/>
        <v>0</v>
      </c>
      <c r="AE976" s="46">
        <f t="shared" si="198"/>
        <v>9692</v>
      </c>
      <c r="AF976" s="46">
        <f t="shared" si="199"/>
        <v>9701</v>
      </c>
      <c r="AG976" s="33" t="e">
        <f>IFERROR(AVERAGEIFS(data_brute!M:M,data_brute!J:J,"&gt;="&amp;AE976,data_brute!J:J,"&lt;="&amp;AF976),NA())</f>
        <v>#N/A</v>
      </c>
      <c r="AH976" s="46" t="e">
        <f t="shared" si="200"/>
        <v>#N/A</v>
      </c>
      <c r="AJ976" s="46">
        <f t="shared" si="206"/>
        <v>9692</v>
      </c>
      <c r="AK976" s="46">
        <f t="shared" si="207"/>
        <v>9701</v>
      </c>
      <c r="AL976" s="33">
        <f ca="1">IFERROR(AVERAGEIFS(data_brute!M:M,data_brute!J:J,"&lt;="&amp;AK976),NA())</f>
        <v>25.353524229074896</v>
      </c>
      <c r="AM976" s="46">
        <f t="shared" ca="1" si="208"/>
        <v>9700</v>
      </c>
      <c r="AN976" s="46" t="b">
        <f t="shared" si="209"/>
        <v>0</v>
      </c>
      <c r="AO976" s="50" t="b">
        <f t="shared" si="210"/>
        <v>0</v>
      </c>
    </row>
    <row r="977" spans="21:41" x14ac:dyDescent="0.2">
      <c r="U977" s="46">
        <f t="shared" si="201"/>
        <v>9702</v>
      </c>
      <c r="V977" s="46">
        <f t="shared" si="202"/>
        <v>9711</v>
      </c>
      <c r="W977" s="33" t="e">
        <f>IFERROR(AVERAGEIFS(data_brute!M:M,data_brute!J:J,"&lt;="&amp;V977,data_brute!J:J,"&gt;="&amp;U977),NA())</f>
        <v>#N/A</v>
      </c>
      <c r="X977" s="46" t="e">
        <f t="shared" si="203"/>
        <v>#N/A</v>
      </c>
      <c r="Y977" s="2" t="b">
        <f t="shared" si="204"/>
        <v>0</v>
      </c>
      <c r="Z977" s="2" t="b">
        <f t="shared" si="205"/>
        <v>0</v>
      </c>
      <c r="AE977" s="46">
        <f t="shared" si="198"/>
        <v>9702</v>
      </c>
      <c r="AF977" s="46">
        <f t="shared" si="199"/>
        <v>9711</v>
      </c>
      <c r="AG977" s="33" t="e">
        <f>IFERROR(AVERAGEIFS(data_brute!M:M,data_brute!J:J,"&gt;="&amp;AE977,data_brute!J:J,"&lt;="&amp;AF977),NA())</f>
        <v>#N/A</v>
      </c>
      <c r="AH977" s="46" t="e">
        <f t="shared" si="200"/>
        <v>#N/A</v>
      </c>
      <c r="AJ977" s="46">
        <f t="shared" si="206"/>
        <v>9702</v>
      </c>
      <c r="AK977" s="46">
        <f t="shared" si="207"/>
        <v>9711</v>
      </c>
      <c r="AL977" s="33">
        <f ca="1">IFERROR(AVERAGEIFS(data_brute!M:M,data_brute!J:J,"&lt;="&amp;AK977),NA())</f>
        <v>25.353524229074896</v>
      </c>
      <c r="AM977" s="46">
        <f t="shared" ca="1" si="208"/>
        <v>9710</v>
      </c>
      <c r="AN977" s="46" t="b">
        <f t="shared" si="209"/>
        <v>0</v>
      </c>
      <c r="AO977" s="50" t="b">
        <f t="shared" si="210"/>
        <v>0</v>
      </c>
    </row>
    <row r="978" spans="21:41" x14ac:dyDescent="0.2">
      <c r="U978" s="46">
        <f t="shared" si="201"/>
        <v>9712</v>
      </c>
      <c r="V978" s="46">
        <f t="shared" si="202"/>
        <v>9721</v>
      </c>
      <c r="W978" s="33" t="e">
        <f>IFERROR(AVERAGEIFS(data_brute!M:M,data_brute!J:J,"&lt;="&amp;V978,data_brute!J:J,"&gt;="&amp;U978),NA())</f>
        <v>#N/A</v>
      </c>
      <c r="X978" s="46" t="e">
        <f t="shared" si="203"/>
        <v>#N/A</v>
      </c>
      <c r="Y978" s="2" t="b">
        <f t="shared" si="204"/>
        <v>0</v>
      </c>
      <c r="Z978" s="2" t="b">
        <f t="shared" si="205"/>
        <v>0</v>
      </c>
      <c r="AE978" s="46">
        <f t="shared" si="198"/>
        <v>9712</v>
      </c>
      <c r="AF978" s="46">
        <f t="shared" si="199"/>
        <v>9721</v>
      </c>
      <c r="AG978" s="33" t="e">
        <f>IFERROR(AVERAGEIFS(data_brute!M:M,data_brute!J:J,"&gt;="&amp;AE978,data_brute!J:J,"&lt;="&amp;AF978),NA())</f>
        <v>#N/A</v>
      </c>
      <c r="AH978" s="46" t="e">
        <f t="shared" si="200"/>
        <v>#N/A</v>
      </c>
      <c r="AJ978" s="46">
        <f t="shared" si="206"/>
        <v>9712</v>
      </c>
      <c r="AK978" s="46">
        <f t="shared" si="207"/>
        <v>9721</v>
      </c>
      <c r="AL978" s="33">
        <f ca="1">IFERROR(AVERAGEIFS(data_brute!M:M,data_brute!J:J,"&lt;="&amp;AK978),NA())</f>
        <v>25.353524229074896</v>
      </c>
      <c r="AM978" s="46">
        <f t="shared" ca="1" si="208"/>
        <v>9720</v>
      </c>
      <c r="AN978" s="46" t="b">
        <f t="shared" si="209"/>
        <v>0</v>
      </c>
      <c r="AO978" s="50" t="b">
        <f t="shared" si="210"/>
        <v>0</v>
      </c>
    </row>
    <row r="979" spans="21:41" x14ac:dyDescent="0.2">
      <c r="U979" s="46">
        <f t="shared" si="201"/>
        <v>9722</v>
      </c>
      <c r="V979" s="46">
        <f t="shared" si="202"/>
        <v>9731</v>
      </c>
      <c r="W979" s="33" t="e">
        <f>IFERROR(AVERAGEIFS(data_brute!M:M,data_brute!J:J,"&lt;="&amp;V979,data_brute!J:J,"&gt;="&amp;U979),NA())</f>
        <v>#N/A</v>
      </c>
      <c r="X979" s="46" t="e">
        <f t="shared" si="203"/>
        <v>#N/A</v>
      </c>
      <c r="Y979" s="2" t="b">
        <f t="shared" si="204"/>
        <v>0</v>
      </c>
      <c r="Z979" s="2" t="b">
        <f t="shared" si="205"/>
        <v>0</v>
      </c>
      <c r="AE979" s="46">
        <f t="shared" si="198"/>
        <v>9722</v>
      </c>
      <c r="AF979" s="46">
        <f t="shared" si="199"/>
        <v>9731</v>
      </c>
      <c r="AG979" s="33" t="e">
        <f>IFERROR(AVERAGEIFS(data_brute!M:M,data_brute!J:J,"&gt;="&amp;AE979,data_brute!J:J,"&lt;="&amp;AF979),NA())</f>
        <v>#N/A</v>
      </c>
      <c r="AH979" s="46" t="e">
        <f t="shared" si="200"/>
        <v>#N/A</v>
      </c>
      <c r="AJ979" s="46">
        <f t="shared" si="206"/>
        <v>9722</v>
      </c>
      <c r="AK979" s="46">
        <f t="shared" si="207"/>
        <v>9731</v>
      </c>
      <c r="AL979" s="33">
        <f ca="1">IFERROR(AVERAGEIFS(data_brute!M:M,data_brute!J:J,"&lt;="&amp;AK979),NA())</f>
        <v>25.353524229074896</v>
      </c>
      <c r="AM979" s="46">
        <f t="shared" ca="1" si="208"/>
        <v>9730</v>
      </c>
      <c r="AN979" s="46" t="b">
        <f t="shared" si="209"/>
        <v>0</v>
      </c>
      <c r="AO979" s="50" t="b">
        <f t="shared" si="210"/>
        <v>0</v>
      </c>
    </row>
    <row r="980" spans="21:41" x14ac:dyDescent="0.2">
      <c r="U980" s="46">
        <f t="shared" si="201"/>
        <v>9732</v>
      </c>
      <c r="V980" s="46">
        <f t="shared" si="202"/>
        <v>9741</v>
      </c>
      <c r="W980" s="33" t="e">
        <f>IFERROR(AVERAGEIFS(data_brute!M:M,data_brute!J:J,"&lt;="&amp;V980,data_brute!J:J,"&gt;="&amp;U980),NA())</f>
        <v>#N/A</v>
      </c>
      <c r="X980" s="46" t="e">
        <f t="shared" si="203"/>
        <v>#N/A</v>
      </c>
      <c r="Y980" s="2" t="b">
        <f t="shared" si="204"/>
        <v>0</v>
      </c>
      <c r="Z980" s="2" t="b">
        <f t="shared" si="205"/>
        <v>0</v>
      </c>
      <c r="AE980" s="46">
        <f t="shared" si="198"/>
        <v>9732</v>
      </c>
      <c r="AF980" s="46">
        <f t="shared" si="199"/>
        <v>9741</v>
      </c>
      <c r="AG980" s="33" t="e">
        <f>IFERROR(AVERAGEIFS(data_brute!M:M,data_brute!J:J,"&gt;="&amp;AE980,data_brute!J:J,"&lt;="&amp;AF980),NA())</f>
        <v>#N/A</v>
      </c>
      <c r="AH980" s="46" t="e">
        <f t="shared" si="200"/>
        <v>#N/A</v>
      </c>
      <c r="AJ980" s="46">
        <f t="shared" si="206"/>
        <v>9732</v>
      </c>
      <c r="AK980" s="46">
        <f t="shared" si="207"/>
        <v>9741</v>
      </c>
      <c r="AL980" s="33">
        <f ca="1">IFERROR(AVERAGEIFS(data_brute!M:M,data_brute!J:J,"&lt;="&amp;AK980),NA())</f>
        <v>25.353524229074896</v>
      </c>
      <c r="AM980" s="46">
        <f t="shared" ca="1" si="208"/>
        <v>9740</v>
      </c>
      <c r="AN980" s="46" t="b">
        <f t="shared" si="209"/>
        <v>0</v>
      </c>
      <c r="AO980" s="50" t="b">
        <f t="shared" si="210"/>
        <v>0</v>
      </c>
    </row>
    <row r="981" spans="21:41" x14ac:dyDescent="0.2">
      <c r="U981" s="46">
        <f t="shared" si="201"/>
        <v>9742</v>
      </c>
      <c r="V981" s="46">
        <f t="shared" si="202"/>
        <v>9751</v>
      </c>
      <c r="W981" s="33" t="e">
        <f>IFERROR(AVERAGEIFS(data_brute!M:M,data_brute!J:J,"&lt;="&amp;V981,data_brute!J:J,"&gt;="&amp;U981),NA())</f>
        <v>#N/A</v>
      </c>
      <c r="X981" s="46" t="e">
        <f t="shared" si="203"/>
        <v>#N/A</v>
      </c>
      <c r="Y981" s="2" t="b">
        <f t="shared" si="204"/>
        <v>0</v>
      </c>
      <c r="Z981" s="2" t="b">
        <f t="shared" si="205"/>
        <v>0</v>
      </c>
      <c r="AE981" s="46">
        <f t="shared" si="198"/>
        <v>9742</v>
      </c>
      <c r="AF981" s="46">
        <f t="shared" si="199"/>
        <v>9751</v>
      </c>
      <c r="AG981" s="33" t="e">
        <f>IFERROR(AVERAGEIFS(data_brute!M:M,data_brute!J:J,"&gt;="&amp;AE981,data_brute!J:J,"&lt;="&amp;AF981),NA())</f>
        <v>#N/A</v>
      </c>
      <c r="AH981" s="46" t="e">
        <f t="shared" si="200"/>
        <v>#N/A</v>
      </c>
      <c r="AJ981" s="46">
        <f t="shared" si="206"/>
        <v>9742</v>
      </c>
      <c r="AK981" s="46">
        <f t="shared" si="207"/>
        <v>9751</v>
      </c>
      <c r="AL981" s="33">
        <f ca="1">IFERROR(AVERAGEIFS(data_brute!M:M,data_brute!J:J,"&lt;="&amp;AK981),NA())</f>
        <v>25.353524229074896</v>
      </c>
      <c r="AM981" s="46">
        <f t="shared" ca="1" si="208"/>
        <v>9750</v>
      </c>
      <c r="AN981" s="46" t="b">
        <f t="shared" si="209"/>
        <v>0</v>
      </c>
      <c r="AO981" s="50" t="b">
        <f t="shared" si="210"/>
        <v>0</v>
      </c>
    </row>
    <row r="982" spans="21:41" x14ac:dyDescent="0.2">
      <c r="U982" s="46">
        <f t="shared" si="201"/>
        <v>9752</v>
      </c>
      <c r="V982" s="46">
        <f t="shared" si="202"/>
        <v>9761</v>
      </c>
      <c r="W982" s="33" t="e">
        <f>IFERROR(AVERAGEIFS(data_brute!M:M,data_brute!J:J,"&lt;="&amp;V982,data_brute!J:J,"&gt;="&amp;U982),NA())</f>
        <v>#N/A</v>
      </c>
      <c r="X982" s="46" t="e">
        <f t="shared" si="203"/>
        <v>#N/A</v>
      </c>
      <c r="Y982" s="2" t="b">
        <f t="shared" si="204"/>
        <v>0</v>
      </c>
      <c r="Z982" s="2" t="b">
        <f t="shared" si="205"/>
        <v>0</v>
      </c>
      <c r="AE982" s="46">
        <f t="shared" si="198"/>
        <v>9752</v>
      </c>
      <c r="AF982" s="46">
        <f t="shared" si="199"/>
        <v>9761</v>
      </c>
      <c r="AG982" s="33" t="e">
        <f>IFERROR(AVERAGEIFS(data_brute!M:M,data_brute!J:J,"&gt;="&amp;AE982,data_brute!J:J,"&lt;="&amp;AF982),NA())</f>
        <v>#N/A</v>
      </c>
      <c r="AH982" s="46" t="e">
        <f t="shared" si="200"/>
        <v>#N/A</v>
      </c>
      <c r="AJ982" s="46">
        <f t="shared" si="206"/>
        <v>9752</v>
      </c>
      <c r="AK982" s="46">
        <f t="shared" si="207"/>
        <v>9761</v>
      </c>
      <c r="AL982" s="33">
        <f ca="1">IFERROR(AVERAGEIFS(data_brute!M:M,data_brute!J:J,"&lt;="&amp;AK982),NA())</f>
        <v>25.353524229074896</v>
      </c>
      <c r="AM982" s="46">
        <f t="shared" ca="1" si="208"/>
        <v>9760</v>
      </c>
      <c r="AN982" s="46" t="b">
        <f t="shared" si="209"/>
        <v>0</v>
      </c>
      <c r="AO982" s="50" t="b">
        <f t="shared" si="210"/>
        <v>0</v>
      </c>
    </row>
    <row r="983" spans="21:41" x14ac:dyDescent="0.2">
      <c r="U983" s="46">
        <f t="shared" si="201"/>
        <v>9762</v>
      </c>
      <c r="V983" s="46">
        <f t="shared" si="202"/>
        <v>9771</v>
      </c>
      <c r="W983" s="33" t="e">
        <f>IFERROR(AVERAGEIFS(data_brute!M:M,data_brute!J:J,"&lt;="&amp;V983,data_brute!J:J,"&gt;="&amp;U983),NA())</f>
        <v>#N/A</v>
      </c>
      <c r="X983" s="46" t="e">
        <f t="shared" si="203"/>
        <v>#N/A</v>
      </c>
      <c r="Y983" s="2" t="b">
        <f t="shared" si="204"/>
        <v>0</v>
      </c>
      <c r="Z983" s="2" t="b">
        <f t="shared" si="205"/>
        <v>0</v>
      </c>
      <c r="AE983" s="46">
        <f t="shared" si="198"/>
        <v>9762</v>
      </c>
      <c r="AF983" s="46">
        <f t="shared" si="199"/>
        <v>9771</v>
      </c>
      <c r="AG983" s="33" t="e">
        <f>IFERROR(AVERAGEIFS(data_brute!M:M,data_brute!J:J,"&gt;="&amp;AE983,data_brute!J:J,"&lt;="&amp;AF983),NA())</f>
        <v>#N/A</v>
      </c>
      <c r="AH983" s="46" t="e">
        <f t="shared" si="200"/>
        <v>#N/A</v>
      </c>
      <c r="AJ983" s="46">
        <f t="shared" si="206"/>
        <v>9762</v>
      </c>
      <c r="AK983" s="46">
        <f t="shared" si="207"/>
        <v>9771</v>
      </c>
      <c r="AL983" s="33">
        <f ca="1">IFERROR(AVERAGEIFS(data_brute!M:M,data_brute!J:J,"&lt;="&amp;AK983),NA())</f>
        <v>25.353524229074896</v>
      </c>
      <c r="AM983" s="46">
        <f t="shared" ca="1" si="208"/>
        <v>9770</v>
      </c>
      <c r="AN983" s="46" t="b">
        <f t="shared" si="209"/>
        <v>0</v>
      </c>
      <c r="AO983" s="50" t="b">
        <f t="shared" si="210"/>
        <v>0</v>
      </c>
    </row>
    <row r="984" spans="21:41" x14ac:dyDescent="0.2">
      <c r="U984" s="46">
        <f t="shared" si="201"/>
        <v>9772</v>
      </c>
      <c r="V984" s="46">
        <f t="shared" si="202"/>
        <v>9781</v>
      </c>
      <c r="W984" s="33" t="e">
        <f>IFERROR(AVERAGEIFS(data_brute!M:M,data_brute!J:J,"&lt;="&amp;V984,data_brute!J:J,"&gt;="&amp;U984),NA())</f>
        <v>#N/A</v>
      </c>
      <c r="X984" s="46" t="e">
        <f t="shared" si="203"/>
        <v>#N/A</v>
      </c>
      <c r="Y984" s="2" t="b">
        <f t="shared" si="204"/>
        <v>0</v>
      </c>
      <c r="Z984" s="2" t="b">
        <f t="shared" si="205"/>
        <v>0</v>
      </c>
      <c r="AE984" s="46">
        <f t="shared" ref="AE984:AE1000" si="211">AF983+1</f>
        <v>9772</v>
      </c>
      <c r="AF984" s="46">
        <f t="shared" ref="AF984:AF1000" si="212">AE984+$AG$2-1</f>
        <v>9781</v>
      </c>
      <c r="AG984" s="33" t="e">
        <f>IFERROR(AVERAGEIFS(data_brute!M:M,data_brute!J:J,"&gt;="&amp;AE984,data_brute!J:J,"&lt;="&amp;AF984),NA())</f>
        <v>#N/A</v>
      </c>
      <c r="AH984" s="46" t="e">
        <f t="shared" ref="AH984:AH1000" si="213">IF(AG984&lt;&gt;"",$AG$2*(ROW()-ROW($AH$6)),NA())</f>
        <v>#N/A</v>
      </c>
      <c r="AJ984" s="46">
        <f t="shared" si="206"/>
        <v>9772</v>
      </c>
      <c r="AK984" s="46">
        <f t="shared" si="207"/>
        <v>9781</v>
      </c>
      <c r="AL984" s="33">
        <f ca="1">IFERROR(AVERAGEIFS(data_brute!M:M,data_brute!J:J,"&lt;="&amp;AK984),NA())</f>
        <v>25.353524229074896</v>
      </c>
      <c r="AM984" s="46">
        <f t="shared" ca="1" si="208"/>
        <v>9780</v>
      </c>
      <c r="AN984" s="46" t="b">
        <f t="shared" si="209"/>
        <v>0</v>
      </c>
      <c r="AO984" s="50" t="b">
        <f t="shared" si="210"/>
        <v>0</v>
      </c>
    </row>
    <row r="985" spans="21:41" x14ac:dyDescent="0.2">
      <c r="U985" s="46">
        <f t="shared" si="201"/>
        <v>9782</v>
      </c>
      <c r="V985" s="46">
        <f t="shared" si="202"/>
        <v>9791</v>
      </c>
      <c r="W985" s="33" t="e">
        <f>IFERROR(AVERAGEIFS(data_brute!M:M,data_brute!J:J,"&lt;="&amp;V985,data_brute!J:J,"&gt;="&amp;U985),NA())</f>
        <v>#N/A</v>
      </c>
      <c r="X985" s="46" t="e">
        <f t="shared" si="203"/>
        <v>#N/A</v>
      </c>
      <c r="Y985" s="2" t="b">
        <f t="shared" si="204"/>
        <v>0</v>
      </c>
      <c r="Z985" s="2" t="b">
        <f t="shared" si="205"/>
        <v>0</v>
      </c>
      <c r="AE985" s="46">
        <f t="shared" si="211"/>
        <v>9782</v>
      </c>
      <c r="AF985" s="46">
        <f t="shared" si="212"/>
        <v>9791</v>
      </c>
      <c r="AG985" s="33" t="e">
        <f>IFERROR(AVERAGEIFS(data_brute!M:M,data_brute!J:J,"&gt;="&amp;AE985,data_brute!J:J,"&lt;="&amp;AF985),NA())</f>
        <v>#N/A</v>
      </c>
      <c r="AH985" s="46" t="e">
        <f t="shared" si="213"/>
        <v>#N/A</v>
      </c>
      <c r="AJ985" s="46">
        <f t="shared" si="206"/>
        <v>9782</v>
      </c>
      <c r="AK985" s="46">
        <f t="shared" si="207"/>
        <v>9791</v>
      </c>
      <c r="AL985" s="33">
        <f ca="1">IFERROR(AVERAGEIFS(data_brute!M:M,data_brute!J:J,"&lt;="&amp;AK985),NA())</f>
        <v>25.353524229074896</v>
      </c>
      <c r="AM985" s="46">
        <f t="shared" ca="1" si="208"/>
        <v>9790</v>
      </c>
      <c r="AN985" s="46" t="b">
        <f t="shared" si="209"/>
        <v>0</v>
      </c>
      <c r="AO985" s="50" t="b">
        <f t="shared" si="210"/>
        <v>0</v>
      </c>
    </row>
    <row r="986" spans="21:41" x14ac:dyDescent="0.2">
      <c r="U986" s="46">
        <f t="shared" si="201"/>
        <v>9792</v>
      </c>
      <c r="V986" s="46">
        <f t="shared" si="202"/>
        <v>9801</v>
      </c>
      <c r="W986" s="33" t="e">
        <f>IFERROR(AVERAGEIFS(data_brute!M:M,data_brute!J:J,"&lt;="&amp;V986,data_brute!J:J,"&gt;="&amp;U986),NA())</f>
        <v>#N/A</v>
      </c>
      <c r="X986" s="46" t="e">
        <f t="shared" si="203"/>
        <v>#N/A</v>
      </c>
      <c r="Y986" s="2" t="b">
        <f t="shared" si="204"/>
        <v>0</v>
      </c>
      <c r="Z986" s="2" t="b">
        <f t="shared" si="205"/>
        <v>0</v>
      </c>
      <c r="AE986" s="46">
        <f t="shared" si="211"/>
        <v>9792</v>
      </c>
      <c r="AF986" s="46">
        <f t="shared" si="212"/>
        <v>9801</v>
      </c>
      <c r="AG986" s="33" t="e">
        <f>IFERROR(AVERAGEIFS(data_brute!M:M,data_brute!J:J,"&gt;="&amp;AE986,data_brute!J:J,"&lt;="&amp;AF986),NA())</f>
        <v>#N/A</v>
      </c>
      <c r="AH986" s="46" t="e">
        <f t="shared" si="213"/>
        <v>#N/A</v>
      </c>
      <c r="AJ986" s="46">
        <f t="shared" si="206"/>
        <v>9792</v>
      </c>
      <c r="AK986" s="46">
        <f t="shared" si="207"/>
        <v>9801</v>
      </c>
      <c r="AL986" s="33">
        <f ca="1">IFERROR(AVERAGEIFS(data_brute!M:M,data_brute!J:J,"&lt;="&amp;AK986),NA())</f>
        <v>25.353524229074896</v>
      </c>
      <c r="AM986" s="46">
        <f t="shared" ca="1" si="208"/>
        <v>9800</v>
      </c>
      <c r="AN986" s="46" t="b">
        <f t="shared" si="209"/>
        <v>0</v>
      </c>
      <c r="AO986" s="50" t="b">
        <f t="shared" si="210"/>
        <v>0</v>
      </c>
    </row>
    <row r="987" spans="21:41" x14ac:dyDescent="0.2">
      <c r="U987" s="46">
        <f t="shared" si="201"/>
        <v>9802</v>
      </c>
      <c r="V987" s="46">
        <f t="shared" si="202"/>
        <v>9811</v>
      </c>
      <c r="W987" s="33" t="e">
        <f>IFERROR(AVERAGEIFS(data_brute!M:M,data_brute!J:J,"&lt;="&amp;V987,data_brute!J:J,"&gt;="&amp;U987),NA())</f>
        <v>#N/A</v>
      </c>
      <c r="X987" s="46" t="e">
        <f t="shared" si="203"/>
        <v>#N/A</v>
      </c>
      <c r="Y987" s="2" t="b">
        <f t="shared" si="204"/>
        <v>0</v>
      </c>
      <c r="Z987" s="2" t="b">
        <f t="shared" si="205"/>
        <v>0</v>
      </c>
      <c r="AE987" s="46">
        <f t="shared" si="211"/>
        <v>9802</v>
      </c>
      <c r="AF987" s="46">
        <f t="shared" si="212"/>
        <v>9811</v>
      </c>
      <c r="AG987" s="33" t="e">
        <f>IFERROR(AVERAGEIFS(data_brute!M:M,data_brute!J:J,"&gt;="&amp;AE987,data_brute!J:J,"&lt;="&amp;AF987),NA())</f>
        <v>#N/A</v>
      </c>
      <c r="AH987" s="46" t="e">
        <f t="shared" si="213"/>
        <v>#N/A</v>
      </c>
      <c r="AJ987" s="46">
        <f t="shared" si="206"/>
        <v>9802</v>
      </c>
      <c r="AK987" s="46">
        <f t="shared" si="207"/>
        <v>9811</v>
      </c>
      <c r="AL987" s="33">
        <f ca="1">IFERROR(AVERAGEIFS(data_brute!M:M,data_brute!J:J,"&lt;="&amp;AK987),NA())</f>
        <v>25.353524229074896</v>
      </c>
      <c r="AM987" s="46">
        <f t="shared" ca="1" si="208"/>
        <v>9810</v>
      </c>
      <c r="AN987" s="46" t="b">
        <f t="shared" si="209"/>
        <v>0</v>
      </c>
      <c r="AO987" s="50" t="b">
        <f t="shared" si="210"/>
        <v>0</v>
      </c>
    </row>
    <row r="988" spans="21:41" x14ac:dyDescent="0.2">
      <c r="U988" s="46">
        <f t="shared" si="201"/>
        <v>9812</v>
      </c>
      <c r="V988" s="46">
        <f t="shared" si="202"/>
        <v>9821</v>
      </c>
      <c r="W988" s="33" t="e">
        <f>IFERROR(AVERAGEIFS(data_brute!M:M,data_brute!J:J,"&lt;="&amp;V988,data_brute!J:J,"&gt;="&amp;U988),NA())</f>
        <v>#N/A</v>
      </c>
      <c r="X988" s="46" t="e">
        <f t="shared" si="203"/>
        <v>#N/A</v>
      </c>
      <c r="Y988" s="2" t="b">
        <f t="shared" si="204"/>
        <v>0</v>
      </c>
      <c r="Z988" s="2" t="b">
        <f t="shared" si="205"/>
        <v>0</v>
      </c>
      <c r="AE988" s="46">
        <f t="shared" si="211"/>
        <v>9812</v>
      </c>
      <c r="AF988" s="46">
        <f t="shared" si="212"/>
        <v>9821</v>
      </c>
      <c r="AG988" s="33" t="e">
        <f>IFERROR(AVERAGEIFS(data_brute!M:M,data_brute!J:J,"&gt;="&amp;AE988,data_brute!J:J,"&lt;="&amp;AF988),NA())</f>
        <v>#N/A</v>
      </c>
      <c r="AH988" s="46" t="e">
        <f t="shared" si="213"/>
        <v>#N/A</v>
      </c>
      <c r="AJ988" s="46">
        <f t="shared" si="206"/>
        <v>9812</v>
      </c>
      <c r="AK988" s="46">
        <f t="shared" si="207"/>
        <v>9821</v>
      </c>
      <c r="AL988" s="33">
        <f ca="1">IFERROR(AVERAGEIFS(data_brute!M:M,data_brute!J:J,"&lt;="&amp;AK988),NA())</f>
        <v>25.353524229074896</v>
      </c>
      <c r="AM988" s="46">
        <f t="shared" ca="1" si="208"/>
        <v>9820</v>
      </c>
      <c r="AN988" s="46" t="b">
        <f t="shared" si="209"/>
        <v>0</v>
      </c>
      <c r="AO988" s="50" t="b">
        <f t="shared" si="210"/>
        <v>0</v>
      </c>
    </row>
    <row r="989" spans="21:41" x14ac:dyDescent="0.2">
      <c r="U989" s="46">
        <f t="shared" si="201"/>
        <v>9822</v>
      </c>
      <c r="V989" s="46">
        <f t="shared" si="202"/>
        <v>9831</v>
      </c>
      <c r="W989" s="33" t="e">
        <f>IFERROR(AVERAGEIFS(data_brute!M:M,data_brute!J:J,"&lt;="&amp;V989,data_brute!J:J,"&gt;="&amp;U989),NA())</f>
        <v>#N/A</v>
      </c>
      <c r="X989" s="46" t="e">
        <f t="shared" si="203"/>
        <v>#N/A</v>
      </c>
      <c r="Y989" s="2" t="b">
        <f t="shared" si="204"/>
        <v>0</v>
      </c>
      <c r="Z989" s="2" t="b">
        <f t="shared" si="205"/>
        <v>0</v>
      </c>
      <c r="AE989" s="46">
        <f t="shared" si="211"/>
        <v>9822</v>
      </c>
      <c r="AF989" s="46">
        <f t="shared" si="212"/>
        <v>9831</v>
      </c>
      <c r="AG989" s="33" t="e">
        <f>IFERROR(AVERAGEIFS(data_brute!M:M,data_brute!J:J,"&gt;="&amp;AE989,data_brute!J:J,"&lt;="&amp;AF989),NA())</f>
        <v>#N/A</v>
      </c>
      <c r="AH989" s="46" t="e">
        <f t="shared" si="213"/>
        <v>#N/A</v>
      </c>
      <c r="AJ989" s="46">
        <f t="shared" si="206"/>
        <v>9822</v>
      </c>
      <c r="AK989" s="46">
        <f t="shared" si="207"/>
        <v>9831</v>
      </c>
      <c r="AL989" s="33">
        <f ca="1">IFERROR(AVERAGEIFS(data_brute!M:M,data_brute!J:J,"&lt;="&amp;AK989),NA())</f>
        <v>25.353524229074896</v>
      </c>
      <c r="AM989" s="46">
        <f t="shared" ca="1" si="208"/>
        <v>9830</v>
      </c>
      <c r="AN989" s="46" t="b">
        <f t="shared" si="209"/>
        <v>0</v>
      </c>
      <c r="AO989" s="50" t="b">
        <f t="shared" si="210"/>
        <v>0</v>
      </c>
    </row>
    <row r="990" spans="21:41" x14ac:dyDescent="0.2">
      <c r="U990" s="46">
        <f t="shared" si="201"/>
        <v>9832</v>
      </c>
      <c r="V990" s="46">
        <f t="shared" si="202"/>
        <v>9841</v>
      </c>
      <c r="W990" s="33" t="e">
        <f>IFERROR(AVERAGEIFS(data_brute!M:M,data_brute!J:J,"&lt;="&amp;V990,data_brute!J:J,"&gt;="&amp;U990),NA())</f>
        <v>#N/A</v>
      </c>
      <c r="X990" s="46" t="e">
        <f t="shared" si="203"/>
        <v>#N/A</v>
      </c>
      <c r="Y990" s="2" t="b">
        <f t="shared" si="204"/>
        <v>0</v>
      </c>
      <c r="Z990" s="2" t="b">
        <f t="shared" si="205"/>
        <v>0</v>
      </c>
      <c r="AE990" s="46">
        <f t="shared" si="211"/>
        <v>9832</v>
      </c>
      <c r="AF990" s="46">
        <f t="shared" si="212"/>
        <v>9841</v>
      </c>
      <c r="AG990" s="33" t="e">
        <f>IFERROR(AVERAGEIFS(data_brute!M:M,data_brute!J:J,"&gt;="&amp;AE990,data_brute!J:J,"&lt;="&amp;AF990),NA())</f>
        <v>#N/A</v>
      </c>
      <c r="AH990" s="46" t="e">
        <f t="shared" si="213"/>
        <v>#N/A</v>
      </c>
      <c r="AJ990" s="46">
        <f t="shared" si="206"/>
        <v>9832</v>
      </c>
      <c r="AK990" s="46">
        <f t="shared" si="207"/>
        <v>9841</v>
      </c>
      <c r="AL990" s="33">
        <f ca="1">IFERROR(AVERAGEIFS(data_brute!M:M,data_brute!J:J,"&lt;="&amp;AK990),NA())</f>
        <v>25.353524229074896</v>
      </c>
      <c r="AM990" s="46">
        <f t="shared" ca="1" si="208"/>
        <v>9840</v>
      </c>
      <c r="AN990" s="46" t="b">
        <f t="shared" si="209"/>
        <v>0</v>
      </c>
      <c r="AO990" s="50" t="b">
        <f t="shared" si="210"/>
        <v>0</v>
      </c>
    </row>
    <row r="991" spans="21:41" x14ac:dyDescent="0.2">
      <c r="U991" s="46">
        <f t="shared" si="201"/>
        <v>9842</v>
      </c>
      <c r="V991" s="46">
        <f t="shared" si="202"/>
        <v>9851</v>
      </c>
      <c r="W991" s="33" t="e">
        <f>IFERROR(AVERAGEIFS(data_brute!M:M,data_brute!J:J,"&lt;="&amp;V991,data_brute!J:J,"&gt;="&amp;U991),NA())</f>
        <v>#N/A</v>
      </c>
      <c r="X991" s="46" t="e">
        <f t="shared" si="203"/>
        <v>#N/A</v>
      </c>
      <c r="Y991" s="2" t="b">
        <f t="shared" si="204"/>
        <v>0</v>
      </c>
      <c r="Z991" s="2" t="b">
        <f t="shared" si="205"/>
        <v>0</v>
      </c>
      <c r="AE991" s="46">
        <f t="shared" si="211"/>
        <v>9842</v>
      </c>
      <c r="AF991" s="46">
        <f t="shared" si="212"/>
        <v>9851</v>
      </c>
      <c r="AG991" s="33" t="e">
        <f>IFERROR(AVERAGEIFS(data_brute!M:M,data_brute!J:J,"&gt;="&amp;AE991,data_brute!J:J,"&lt;="&amp;AF991),NA())</f>
        <v>#N/A</v>
      </c>
      <c r="AH991" s="46" t="e">
        <f t="shared" si="213"/>
        <v>#N/A</v>
      </c>
      <c r="AJ991" s="46">
        <f t="shared" si="206"/>
        <v>9842</v>
      </c>
      <c r="AK991" s="46">
        <f t="shared" si="207"/>
        <v>9851</v>
      </c>
      <c r="AL991" s="33">
        <f ca="1">IFERROR(AVERAGEIFS(data_brute!M:M,data_brute!J:J,"&lt;="&amp;AK991),NA())</f>
        <v>25.353524229074896</v>
      </c>
      <c r="AM991" s="46">
        <f t="shared" ca="1" si="208"/>
        <v>9850</v>
      </c>
      <c r="AN991" s="46" t="b">
        <f t="shared" si="209"/>
        <v>0</v>
      </c>
      <c r="AO991" s="50" t="b">
        <f t="shared" si="210"/>
        <v>0</v>
      </c>
    </row>
    <row r="992" spans="21:41" x14ac:dyDescent="0.2">
      <c r="U992" s="46">
        <f t="shared" si="201"/>
        <v>9852</v>
      </c>
      <c r="V992" s="46">
        <f t="shared" si="202"/>
        <v>9861</v>
      </c>
      <c r="W992" s="33" t="e">
        <f>IFERROR(AVERAGEIFS(data_brute!M:M,data_brute!J:J,"&lt;="&amp;V992,data_brute!J:J,"&gt;="&amp;U992),NA())</f>
        <v>#N/A</v>
      </c>
      <c r="X992" s="46" t="e">
        <f t="shared" si="203"/>
        <v>#N/A</v>
      </c>
      <c r="Y992" s="2" t="b">
        <f t="shared" si="204"/>
        <v>0</v>
      </c>
      <c r="Z992" s="2" t="b">
        <f t="shared" si="205"/>
        <v>0</v>
      </c>
      <c r="AE992" s="46">
        <f t="shared" si="211"/>
        <v>9852</v>
      </c>
      <c r="AF992" s="46">
        <f t="shared" si="212"/>
        <v>9861</v>
      </c>
      <c r="AG992" s="33" t="e">
        <f>IFERROR(AVERAGEIFS(data_brute!M:M,data_brute!J:J,"&gt;="&amp;AE992,data_brute!J:J,"&lt;="&amp;AF992),NA())</f>
        <v>#N/A</v>
      </c>
      <c r="AH992" s="46" t="e">
        <f t="shared" si="213"/>
        <v>#N/A</v>
      </c>
      <c r="AJ992" s="46">
        <f t="shared" si="206"/>
        <v>9852</v>
      </c>
      <c r="AK992" s="46">
        <f t="shared" si="207"/>
        <v>9861</v>
      </c>
      <c r="AL992" s="33">
        <f ca="1">IFERROR(AVERAGEIFS(data_brute!M:M,data_brute!J:J,"&lt;="&amp;AK992),NA())</f>
        <v>25.353524229074896</v>
      </c>
      <c r="AM992" s="46">
        <f t="shared" ca="1" si="208"/>
        <v>9860</v>
      </c>
      <c r="AN992" s="46" t="b">
        <f t="shared" si="209"/>
        <v>0</v>
      </c>
      <c r="AO992" s="50" t="b">
        <f t="shared" si="210"/>
        <v>0</v>
      </c>
    </row>
    <row r="993" spans="21:41" x14ac:dyDescent="0.2">
      <c r="U993" s="46">
        <f t="shared" si="201"/>
        <v>9862</v>
      </c>
      <c r="V993" s="46">
        <f t="shared" si="202"/>
        <v>9871</v>
      </c>
      <c r="W993" s="33" t="e">
        <f>IFERROR(AVERAGEIFS(data_brute!M:M,data_brute!J:J,"&lt;="&amp;V993,data_brute!J:J,"&gt;="&amp;U993),NA())</f>
        <v>#N/A</v>
      </c>
      <c r="X993" s="46" t="e">
        <f t="shared" si="203"/>
        <v>#N/A</v>
      </c>
      <c r="Y993" s="2" t="b">
        <f t="shared" si="204"/>
        <v>0</v>
      </c>
      <c r="Z993" s="2" t="b">
        <f t="shared" si="205"/>
        <v>0</v>
      </c>
      <c r="AE993" s="46">
        <f t="shared" si="211"/>
        <v>9862</v>
      </c>
      <c r="AF993" s="46">
        <f t="shared" si="212"/>
        <v>9871</v>
      </c>
      <c r="AG993" s="33" t="e">
        <f>IFERROR(AVERAGEIFS(data_brute!M:M,data_brute!J:J,"&gt;="&amp;AE993,data_brute!J:J,"&lt;="&amp;AF993),NA())</f>
        <v>#N/A</v>
      </c>
      <c r="AH993" s="46" t="e">
        <f t="shared" si="213"/>
        <v>#N/A</v>
      </c>
      <c r="AJ993" s="46">
        <f t="shared" si="206"/>
        <v>9862</v>
      </c>
      <c r="AK993" s="46">
        <f t="shared" si="207"/>
        <v>9871</v>
      </c>
      <c r="AL993" s="33">
        <f ca="1">IFERROR(AVERAGEIFS(data_brute!M:M,data_brute!J:J,"&lt;="&amp;AK993),NA())</f>
        <v>25.353524229074896</v>
      </c>
      <c r="AM993" s="46">
        <f t="shared" ca="1" si="208"/>
        <v>9870</v>
      </c>
      <c r="AN993" s="46" t="b">
        <f t="shared" si="209"/>
        <v>0</v>
      </c>
      <c r="AO993" s="50" t="b">
        <f t="shared" si="210"/>
        <v>0</v>
      </c>
    </row>
    <row r="994" spans="21:41" x14ac:dyDescent="0.2">
      <c r="U994" s="46">
        <f t="shared" si="201"/>
        <v>9872</v>
      </c>
      <c r="V994" s="46">
        <f t="shared" si="202"/>
        <v>9881</v>
      </c>
      <c r="W994" s="33" t="e">
        <f>IFERROR(AVERAGEIFS(data_brute!M:M,data_brute!J:J,"&lt;="&amp;V994,data_brute!J:J,"&gt;="&amp;U994),NA())</f>
        <v>#N/A</v>
      </c>
      <c r="X994" s="46" t="e">
        <f t="shared" si="203"/>
        <v>#N/A</v>
      </c>
      <c r="Y994" s="2" t="b">
        <f t="shared" si="204"/>
        <v>0</v>
      </c>
      <c r="Z994" s="2" t="b">
        <f t="shared" si="205"/>
        <v>0</v>
      </c>
      <c r="AE994" s="46">
        <f t="shared" si="211"/>
        <v>9872</v>
      </c>
      <c r="AF994" s="46">
        <f t="shared" si="212"/>
        <v>9881</v>
      </c>
      <c r="AG994" s="33" t="e">
        <f>IFERROR(AVERAGEIFS(data_brute!M:M,data_brute!J:J,"&gt;="&amp;AE994,data_brute!J:J,"&lt;="&amp;AF994),NA())</f>
        <v>#N/A</v>
      </c>
      <c r="AH994" s="46" t="e">
        <f t="shared" si="213"/>
        <v>#N/A</v>
      </c>
      <c r="AJ994" s="46">
        <f t="shared" si="206"/>
        <v>9872</v>
      </c>
      <c r="AK994" s="46">
        <f t="shared" si="207"/>
        <v>9881</v>
      </c>
      <c r="AL994" s="33">
        <f ca="1">IFERROR(AVERAGEIFS(data_brute!M:M,data_brute!J:J,"&lt;="&amp;AK994),NA())</f>
        <v>25.353524229074896</v>
      </c>
      <c r="AM994" s="46">
        <f t="shared" ca="1" si="208"/>
        <v>9880</v>
      </c>
      <c r="AN994" s="46" t="b">
        <f t="shared" si="209"/>
        <v>0</v>
      </c>
      <c r="AO994" s="50" t="b">
        <f t="shared" si="210"/>
        <v>0</v>
      </c>
    </row>
    <row r="995" spans="21:41" x14ac:dyDescent="0.2">
      <c r="U995" s="46">
        <f t="shared" ref="U995:U996" si="214">V994+1</f>
        <v>9882</v>
      </c>
      <c r="V995" s="46">
        <f t="shared" ref="V995:V996" si="215">U995+$AG$2-1</f>
        <v>9891</v>
      </c>
      <c r="W995" s="33" t="e">
        <f>IFERROR(AVERAGEIFS(data_brute!M:M,data_brute!J:J,"&lt;="&amp;V995,data_brute!J:J,"&gt;="&amp;U995),NA())</f>
        <v>#N/A</v>
      </c>
      <c r="X995" s="46" t="e">
        <f t="shared" ref="X995:X996" si="216">IF(W995&lt;&gt;"",$AG$2*(ROW()-ROW($AH$6)),NA())</f>
        <v>#N/A</v>
      </c>
      <c r="Y995" s="2" t="b">
        <f t="shared" ref="Y995:Y996" si="217">IF(AND($F$5&gt;=U995,$F$5&lt;=V995,V995=$F$5),TRUE,FALSE)</f>
        <v>0</v>
      </c>
      <c r="Z995" s="2" t="b">
        <f t="shared" ref="Z995:Z996" si="218">IF(AND($F$5&gt;=U995,$F$5&lt;=V995),TRUE,FALSE)</f>
        <v>0</v>
      </c>
      <c r="AE995" s="46">
        <f t="shared" si="211"/>
        <v>9882</v>
      </c>
      <c r="AF995" s="46">
        <f t="shared" si="212"/>
        <v>9891</v>
      </c>
      <c r="AG995" s="33" t="e">
        <f>IFERROR(AVERAGEIFS(data_brute!M:M,data_brute!J:J,"&gt;="&amp;AE995,data_brute!J:J,"&lt;="&amp;AF995),NA())</f>
        <v>#N/A</v>
      </c>
      <c r="AH995" s="46" t="e">
        <f t="shared" si="213"/>
        <v>#N/A</v>
      </c>
      <c r="AJ995" s="46">
        <f t="shared" si="206"/>
        <v>9882</v>
      </c>
      <c r="AK995" s="46">
        <f t="shared" si="207"/>
        <v>9891</v>
      </c>
      <c r="AL995" s="33">
        <f ca="1">IFERROR(AVERAGEIFS(data_brute!M:M,data_brute!J:J,"&lt;="&amp;AK995),NA())</f>
        <v>25.353524229074896</v>
      </c>
      <c r="AM995" s="46">
        <f t="shared" ca="1" si="208"/>
        <v>9890</v>
      </c>
      <c r="AN995" s="46" t="b">
        <f t="shared" si="209"/>
        <v>0</v>
      </c>
      <c r="AO995" s="50" t="b">
        <f t="shared" si="210"/>
        <v>0</v>
      </c>
    </row>
    <row r="996" spans="21:41" x14ac:dyDescent="0.2">
      <c r="U996" s="46">
        <f t="shared" si="214"/>
        <v>9892</v>
      </c>
      <c r="V996" s="46">
        <f t="shared" si="215"/>
        <v>9901</v>
      </c>
      <c r="W996" s="33" t="e">
        <f>IFERROR(AVERAGEIFS(data_brute!M:M,data_brute!J:J,"&lt;="&amp;V996,data_brute!J:J,"&gt;="&amp;U996),NA())</f>
        <v>#N/A</v>
      </c>
      <c r="X996" s="46" t="e">
        <f t="shared" si="216"/>
        <v>#N/A</v>
      </c>
      <c r="Y996" s="2" t="b">
        <f t="shared" si="217"/>
        <v>0</v>
      </c>
      <c r="Z996" s="2" t="b">
        <f t="shared" si="218"/>
        <v>0</v>
      </c>
      <c r="AE996" s="46">
        <f t="shared" si="211"/>
        <v>9892</v>
      </c>
      <c r="AF996" s="46">
        <f t="shared" si="212"/>
        <v>9901</v>
      </c>
      <c r="AG996" s="33" t="e">
        <f>IFERROR(AVERAGEIFS(data_brute!M:M,data_brute!J:J,"&gt;="&amp;AE996,data_brute!J:J,"&lt;="&amp;AF996),NA())</f>
        <v>#N/A</v>
      </c>
      <c r="AH996" s="46" t="e">
        <f t="shared" si="213"/>
        <v>#N/A</v>
      </c>
      <c r="AJ996" s="46">
        <f t="shared" ref="AJ996:AJ1000" si="219">AK995+1</f>
        <v>9892</v>
      </c>
      <c r="AK996" s="46">
        <f t="shared" ref="AK996:AK1000" si="220">AJ996+$AG$2-1</f>
        <v>9901</v>
      </c>
      <c r="AL996" s="33">
        <f ca="1">IFERROR(AVERAGEIFS(data_brute!M:M,data_brute!J:J,"&lt;="&amp;AK996),NA())</f>
        <v>25.353524229074896</v>
      </c>
      <c r="AM996" s="46">
        <f t="shared" ref="AM996:AM1000" ca="1" si="221">IF(AL996&lt;&gt;"",$AG$2*(ROW()-ROW($AH$6)),NA())</f>
        <v>9900</v>
      </c>
      <c r="AN996" s="46" t="b">
        <f t="shared" ref="AN996:AN1000" si="222">IF(AND($F$5&gt;=AJ996,$F$5&lt;=AK996,AK996=$F$5),TRUE,FALSE)</f>
        <v>0</v>
      </c>
      <c r="AO996" s="50" t="b">
        <f t="shared" ref="AO996:AO1000" si="223">IF(AND($F$5&gt;=AJ996,$F$5&lt;=AK996),TRUE,FALSE)</f>
        <v>0</v>
      </c>
    </row>
    <row r="997" spans="21:41" x14ac:dyDescent="0.2">
      <c r="U997" s="46">
        <f t="shared" ref="U997:U1000" si="224">V996+1</f>
        <v>9902</v>
      </c>
      <c r="V997" s="46">
        <f t="shared" ref="V997:V1000" si="225">U997+$AG$2-1</f>
        <v>9911</v>
      </c>
      <c r="W997" s="33" t="e">
        <f>IFERROR(AVERAGEIFS(data_brute!M:M,data_brute!J:J,"&lt;="&amp;V997,data_brute!J:J,"&gt;="&amp;U997),NA())</f>
        <v>#N/A</v>
      </c>
      <c r="X997" s="46" t="e">
        <f t="shared" ref="X997:X1000" si="226">IF(W997&lt;&gt;"",$AG$2*(ROW()-ROW($AH$6)),NA())</f>
        <v>#N/A</v>
      </c>
      <c r="Y997" s="2" t="b">
        <f t="shared" ref="Y997:Y1000" si="227">IF(AND($F$5&gt;=U997,$F$5&lt;=V997,V997=$F$5),TRUE,FALSE)</f>
        <v>0</v>
      </c>
      <c r="Z997" s="2" t="b">
        <f t="shared" ref="Z997:Z1000" si="228">IF(AND($F$5&gt;=U997,$F$5&lt;=V997),TRUE,FALSE)</f>
        <v>0</v>
      </c>
      <c r="AE997" s="46">
        <f t="shared" si="211"/>
        <v>9902</v>
      </c>
      <c r="AF997" s="46">
        <f t="shared" si="212"/>
        <v>9911</v>
      </c>
      <c r="AG997" s="33" t="e">
        <f>IFERROR(AVERAGEIFS(data_brute!M:M,data_brute!J:J,"&gt;="&amp;AE997,data_brute!J:J,"&lt;="&amp;AF997),NA())</f>
        <v>#N/A</v>
      </c>
      <c r="AH997" s="46" t="e">
        <f t="shared" si="213"/>
        <v>#N/A</v>
      </c>
      <c r="AJ997" s="46">
        <f t="shared" si="219"/>
        <v>9902</v>
      </c>
      <c r="AK997" s="46">
        <f t="shared" si="220"/>
        <v>9911</v>
      </c>
      <c r="AL997" s="33">
        <f ca="1">IFERROR(AVERAGEIFS(data_brute!M:M,data_brute!J:J,"&lt;="&amp;AK997),NA())</f>
        <v>25.353524229074896</v>
      </c>
      <c r="AM997" s="46">
        <f t="shared" ca="1" si="221"/>
        <v>9910</v>
      </c>
      <c r="AN997" s="46" t="b">
        <f t="shared" si="222"/>
        <v>0</v>
      </c>
      <c r="AO997" s="50" t="b">
        <f t="shared" si="223"/>
        <v>0</v>
      </c>
    </row>
    <row r="998" spans="21:41" x14ac:dyDescent="0.2">
      <c r="U998" s="46">
        <f t="shared" si="224"/>
        <v>9912</v>
      </c>
      <c r="V998" s="46">
        <f t="shared" si="225"/>
        <v>9921</v>
      </c>
      <c r="W998" s="33" t="e">
        <f>IFERROR(AVERAGEIFS(data_brute!M:M,data_brute!J:J,"&lt;="&amp;V998,data_brute!J:J,"&gt;="&amp;U998),NA())</f>
        <v>#N/A</v>
      </c>
      <c r="X998" s="46" t="e">
        <f t="shared" si="226"/>
        <v>#N/A</v>
      </c>
      <c r="Y998" s="2" t="b">
        <f t="shared" si="227"/>
        <v>0</v>
      </c>
      <c r="Z998" s="2" t="b">
        <f t="shared" si="228"/>
        <v>0</v>
      </c>
      <c r="AE998" s="46">
        <f t="shared" si="211"/>
        <v>9912</v>
      </c>
      <c r="AF998" s="46">
        <f t="shared" si="212"/>
        <v>9921</v>
      </c>
      <c r="AG998" s="33" t="e">
        <f>IFERROR(AVERAGEIFS(data_brute!M:M,data_brute!J:J,"&gt;="&amp;AE998,data_brute!J:J,"&lt;="&amp;AF998),NA())</f>
        <v>#N/A</v>
      </c>
      <c r="AH998" s="46" t="e">
        <f t="shared" si="213"/>
        <v>#N/A</v>
      </c>
    </row>
    <row r="999" spans="21:41" x14ac:dyDescent="0.2">
      <c r="U999" s="46">
        <f t="shared" si="224"/>
        <v>9922</v>
      </c>
      <c r="V999" s="46">
        <f t="shared" si="225"/>
        <v>9931</v>
      </c>
      <c r="W999" s="33" t="e">
        <f>IFERROR(AVERAGEIFS(data_brute!M:M,data_brute!J:J,"&lt;="&amp;V999,data_brute!J:J,"&gt;="&amp;U999),NA())</f>
        <v>#N/A</v>
      </c>
      <c r="X999" s="46" t="e">
        <f t="shared" si="226"/>
        <v>#N/A</v>
      </c>
      <c r="Y999" s="2" t="b">
        <f t="shared" si="227"/>
        <v>0</v>
      </c>
      <c r="Z999" s="2" t="b">
        <f t="shared" si="228"/>
        <v>0</v>
      </c>
      <c r="AE999" s="46">
        <f t="shared" si="211"/>
        <v>9922</v>
      </c>
      <c r="AF999" s="46">
        <f t="shared" si="212"/>
        <v>9931</v>
      </c>
      <c r="AG999" s="33" t="e">
        <f>IFERROR(AVERAGEIFS(data_brute!M:M,data_brute!J:J,"&gt;="&amp;AE999,data_brute!J:J,"&lt;="&amp;AF999),NA())</f>
        <v>#N/A</v>
      </c>
      <c r="AH999" s="46" t="e">
        <f t="shared" si="213"/>
        <v>#N/A</v>
      </c>
    </row>
    <row r="1000" spans="21:41" x14ac:dyDescent="0.2">
      <c r="U1000" s="46">
        <f t="shared" si="224"/>
        <v>9932</v>
      </c>
      <c r="V1000" s="46">
        <f t="shared" si="225"/>
        <v>9941</v>
      </c>
      <c r="W1000" s="33" t="e">
        <f>IFERROR(AVERAGEIFS(data_brute!M:M,data_brute!J:J,"&lt;="&amp;V1000,data_brute!J:J,"&gt;="&amp;U1000),NA())</f>
        <v>#N/A</v>
      </c>
      <c r="X1000" s="46" t="e">
        <f t="shared" si="226"/>
        <v>#N/A</v>
      </c>
      <c r="Y1000" s="2" t="b">
        <f t="shared" si="227"/>
        <v>0</v>
      </c>
      <c r="Z1000" s="2" t="b">
        <f t="shared" si="228"/>
        <v>0</v>
      </c>
      <c r="AE1000" s="46">
        <f t="shared" si="211"/>
        <v>9932</v>
      </c>
      <c r="AF1000" s="46">
        <f t="shared" si="212"/>
        <v>9941</v>
      </c>
      <c r="AG1000" s="33" t="e">
        <f>IFERROR(AVERAGEIFS(data_brute!M:M,data_brute!J:J,"&gt;="&amp;AE1000,data_brute!J:J,"&lt;="&amp;AF1000),NA())</f>
        <v>#N/A</v>
      </c>
      <c r="AH1000" s="46" t="e">
        <f t="shared" si="213"/>
        <v>#N/A</v>
      </c>
    </row>
  </sheetData>
  <sheetProtection algorithmName="SHA-512" hashValue="xEUR/FQP1Y+QOOsiAqiKPUri39BWF9S8dWvUgkXuUtRA0wHSONOyqHH1Omhj50NBkmcwIh8LSUfWNHrmQyWSEQ==" saltValue="hd5kKpovM8EEGgNovyyVdQ==" spinCount="100000" sheet="1" selectLockedCells="1"/>
  <mergeCells count="8">
    <mergeCell ref="O4:R6"/>
    <mergeCell ref="N4:N6"/>
    <mergeCell ref="O9:R9"/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aveOrCopyWorkbook">
                <anchor moveWithCells="1" sizeWithCells="1">
                  <from>
                    <xdr:col>13</xdr:col>
                    <xdr:colOff>469900</xdr:colOff>
                    <xdr:row>9</xdr:row>
                    <xdr:rowOff>101600</xdr:rowOff>
                  </from>
                  <to>
                    <xdr:col>15</xdr:col>
                    <xdr:colOff>215900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workbookViewId="0"/>
  </sheetViews>
  <sheetFormatPr baseColWidth="10" defaultColWidth="10.83203125" defaultRowHeight="16" x14ac:dyDescent="0.2"/>
  <cols>
    <col min="1" max="1" width="7" style="2" customWidth="1"/>
    <col min="2" max="2" width="28.33203125" style="2" bestFit="1" customWidth="1"/>
    <col min="3" max="3" width="66.83203125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37.6640625" style="2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44.1640625" style="2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1" t="s">
        <v>28</v>
      </c>
      <c r="C2" s="41" t="s">
        <v>29</v>
      </c>
      <c r="D2" s="41"/>
      <c r="E2" s="41" t="s">
        <v>30</v>
      </c>
      <c r="F2" s="41" t="s">
        <v>41</v>
      </c>
      <c r="G2" s="41" t="s">
        <v>42</v>
      </c>
      <c r="H2" s="41" t="s">
        <v>45</v>
      </c>
      <c r="I2" s="42" t="s">
        <v>46</v>
      </c>
      <c r="J2" s="42" t="s">
        <v>47</v>
      </c>
      <c r="K2" s="42" t="s">
        <v>48</v>
      </c>
      <c r="L2" s="42" t="s">
        <v>49</v>
      </c>
      <c r="M2" s="42" t="s">
        <v>50</v>
      </c>
    </row>
    <row r="3" spans="2:13" s="25" customFormat="1" ht="221" x14ac:dyDescent="0.2">
      <c r="B3" s="25" t="s">
        <v>79</v>
      </c>
      <c r="C3" s="25" t="s">
        <v>57</v>
      </c>
      <c r="D3" s="39"/>
      <c r="E3" s="39" t="str">
        <f ca="1">IF(interface!M3&gt;=interface!C5, "Fin de lot - PROD conforme (Moyenne Longue : "&amp;ROUND(interface!M3,2)&amp;" - QN : "&amp;interface!C5&amp;")","Fin de lot - PROD non conforme (Moyenne Longue : "&amp;ROUND(interface!M3,2)&amp;" - QN : "&amp;interface!C5&amp;")")</f>
        <v>Fin de lot - PROD conforme (Moyenne Longue : 25,35 - QN : 25)</v>
      </c>
      <c r="F3" s="39" t="s">
        <v>79</v>
      </c>
      <c r="G3" s="39" t="str">
        <f ca="1">IF(interface!M3&gt;=interface!C5, "Fin équipe - PROD conforme (Moyenne Longue : "&amp;ROUND(interface!M3,2)&amp;" - QN : "&amp;interface!C5&amp;")","Fin de lot - PROD non conforme (Moyenne Longue : "&amp;ROUND(interface!M3,2)&amp;" - QN : "&amp;interface!C5&amp;")")</f>
        <v>Fin équipe - PROD conforme (Moyenne Longue : 25,35 - QN : 25)</v>
      </c>
      <c r="H3" s="39" t="s">
        <v>64</v>
      </c>
      <c r="I3" s="39" t="s">
        <v>65</v>
      </c>
      <c r="J3" s="39" t="s">
        <v>65</v>
      </c>
      <c r="K3" s="39" t="s">
        <v>82</v>
      </c>
      <c r="L3" s="39" t="s">
        <v>81</v>
      </c>
      <c r="M3" s="39" t="s">
        <v>51</v>
      </c>
    </row>
    <row r="4" spans="2:13" s="25" customFormat="1" ht="34" x14ac:dyDescent="0.2">
      <c r="B4" s="25" t="s">
        <v>78</v>
      </c>
      <c r="C4" s="39" t="s">
        <v>43</v>
      </c>
      <c r="D4" s="39"/>
      <c r="E4" s="39" t="s">
        <v>85</v>
      </c>
      <c r="F4" s="39" t="s">
        <v>60</v>
      </c>
      <c r="G4" s="39"/>
      <c r="H4" s="39"/>
      <c r="I4" s="39"/>
      <c r="J4" s="39"/>
      <c r="K4" s="39"/>
      <c r="L4" s="39"/>
      <c r="M4" s="39"/>
    </row>
    <row r="5" spans="2:13" s="25" customFormat="1" ht="17" x14ac:dyDescent="0.2">
      <c r="B5" s="25" t="s">
        <v>80</v>
      </c>
      <c r="C5" s="25" t="s">
        <v>58</v>
      </c>
      <c r="D5" s="39"/>
      <c r="E5" s="39"/>
      <c r="F5" s="39" t="s">
        <v>61</v>
      </c>
      <c r="G5" s="39"/>
      <c r="H5" s="39"/>
      <c r="I5" s="39"/>
      <c r="J5" s="39"/>
      <c r="K5" s="39"/>
      <c r="L5" s="39"/>
      <c r="M5" s="39"/>
    </row>
    <row r="6" spans="2:13" s="25" customFormat="1" ht="34" x14ac:dyDescent="0.2">
      <c r="B6" s="39"/>
      <c r="C6" s="39" t="s">
        <v>59</v>
      </c>
      <c r="D6" s="39"/>
      <c r="E6" s="39"/>
      <c r="F6" s="39" t="s">
        <v>78</v>
      </c>
      <c r="G6" s="39"/>
      <c r="H6" s="39"/>
      <c r="I6" s="39"/>
      <c r="J6" s="39"/>
      <c r="K6" s="39"/>
      <c r="L6" s="39"/>
      <c r="M6" s="39"/>
    </row>
    <row r="7" spans="2:13" s="25" customFormat="1" x14ac:dyDescent="0.2">
      <c r="B7" s="39"/>
      <c r="C7" s="25" t="s">
        <v>66</v>
      </c>
      <c r="D7" s="39"/>
      <c r="E7" s="39"/>
      <c r="G7" s="39"/>
      <c r="H7" s="39"/>
      <c r="I7" s="39"/>
      <c r="J7" s="39"/>
      <c r="K7" s="39"/>
      <c r="L7" s="39"/>
      <c r="M7" s="39"/>
    </row>
    <row r="8" spans="2:13" s="25" customFormat="1" ht="18" customHeight="1" x14ac:dyDescent="0.2">
      <c r="B8" s="39"/>
      <c r="C8" s="39" t="s">
        <v>67</v>
      </c>
      <c r="D8" s="39"/>
      <c r="F8" s="25" t="s">
        <v>62</v>
      </c>
      <c r="G8" s="39"/>
      <c r="H8" s="39"/>
      <c r="I8" s="39"/>
      <c r="J8" s="39"/>
      <c r="K8" s="39"/>
      <c r="L8" s="39"/>
      <c r="M8" s="39"/>
    </row>
    <row r="9" spans="2:13" s="25" customFormat="1" ht="34" x14ac:dyDescent="0.2">
      <c r="B9" s="39"/>
      <c r="C9" s="40" t="s">
        <v>44</v>
      </c>
      <c r="D9" s="39"/>
      <c r="E9" s="39"/>
      <c r="F9" s="39" t="s">
        <v>80</v>
      </c>
      <c r="G9" s="39"/>
      <c r="H9" s="39"/>
      <c r="I9" s="39"/>
      <c r="J9" s="39"/>
      <c r="K9" s="39"/>
      <c r="L9" s="39"/>
      <c r="M9" s="39"/>
    </row>
    <row r="10" spans="2:13" s="25" customFormat="1" ht="34" x14ac:dyDescent="0.2">
      <c r="C10" s="25" t="s">
        <v>86</v>
      </c>
      <c r="F10" s="39" t="s">
        <v>63</v>
      </c>
    </row>
  </sheetData>
  <sheetProtection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2025-03-21T07:46:56Z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ize_Factor">
    <vt:lpwstr>Large</vt:lpwstr>
  </property>
  <property fmtid="{D5CDD505-2E9C-101B-9397-08002B2CF9AE}" pid="3" name="LargeurPlage">
    <vt:lpwstr>2,54</vt:lpwstr>
  </property>
</Properties>
</file>