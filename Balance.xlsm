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0F268765-D527-D74C-B5B8-AF51A8FE0A24}" xr6:coauthVersionLast="47" xr6:coauthVersionMax="47" xr10:uidLastSave="{00000000-0000-0000-0000-000000000000}"/>
  <bookViews>
    <workbookView xWindow="-3740" yWindow="-21600" windowWidth="38400" windowHeight="21600" activeTab="1" xr2:uid="{5FB1850A-4562-1941-A4C6-C6D993284B38}"/>
  </bookViews>
  <sheets>
    <sheet name="data_brute" sheetId="10" r:id="rId1"/>
    <sheet name="interface" sheetId="1" r:id="rId2"/>
    <sheet name="calculs_intermediaires" sheetId="3" r:id="rId3"/>
    <sheet name="idea" sheetId="9" r:id="rId4"/>
    <sheet name="test" sheetId="8" r:id="rId5"/>
    <sheet name="draft" sheetId="6" r:id="rId6"/>
    <sheet name="pop_up" sheetId="5" r:id="rId7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0" l="1" a="1"/>
  <c r="D2" i="10" s="1"/>
  <c r="H2" i="10" s="1" a="1"/>
  <c r="H2" i="10" s="1"/>
  <c r="A2" i="10" a="1"/>
  <c r="A2" i="10" s="1"/>
  <c r="V6" i="3"/>
  <c r="W6" i="3"/>
  <c r="X6" i="3"/>
  <c r="Y6" i="3"/>
  <c r="Z6" i="3"/>
  <c r="AA6" i="3"/>
  <c r="AB6" i="3"/>
  <c r="U6" i="3"/>
  <c r="F3" i="3"/>
  <c r="O7" i="3" s="1"/>
  <c r="H10" i="1"/>
  <c r="H9" i="8"/>
  <c r="C9" i="8"/>
  <c r="F9" i="8"/>
  <c r="E3" i="6" a="1"/>
  <c r="E3" i="6" s="1"/>
  <c r="G9" i="8"/>
  <c r="E9" i="8"/>
  <c r="D9" i="8"/>
  <c r="C22" i="3"/>
  <c r="H11" i="1"/>
  <c r="H28" i="3"/>
  <c r="G28" i="3"/>
  <c r="M16" i="1" l="1" a="1"/>
  <c r="M16" i="1" s="1"/>
  <c r="C16" i="1" a="1"/>
  <c r="C16" i="1" s="1"/>
  <c r="E2" i="10" a="1"/>
  <c r="E2" i="10" s="1"/>
  <c r="F4" i="3"/>
  <c r="F5" i="3" s="1"/>
  <c r="N4" i="3"/>
  <c r="P7" i="3" s="1"/>
  <c r="AE7" i="3"/>
  <c r="AF7" i="3" s="1"/>
  <c r="AE8" i="3" s="1"/>
  <c r="AF8" i="3" s="1"/>
  <c r="AE9" i="3" s="1"/>
  <c r="AF9" i="3" s="1"/>
  <c r="AE10" i="3" s="1"/>
  <c r="AF10" i="3" s="1"/>
  <c r="AE11" i="3" s="1"/>
  <c r="C4" i="3"/>
  <c r="F2" i="10" l="1" a="1"/>
  <c r="F2" i="10" s="1"/>
  <c r="G2" i="10" s="1" a="1"/>
  <c r="G2" i="10" s="1"/>
  <c r="AF11" i="3"/>
  <c r="AE12" i="3" s="1"/>
  <c r="Y3" i="3"/>
  <c r="Y2" i="3"/>
  <c r="AG9" i="3"/>
  <c r="AH9" i="3" s="1"/>
  <c r="AG10" i="3"/>
  <c r="AH10" i="3" s="1"/>
  <c r="U7" i="3" a="1"/>
  <c r="AB2" i="3" s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G8" i="3" l="1"/>
  <c r="AH8" i="3" s="1"/>
  <c r="AF12" i="3"/>
  <c r="AE13" i="3" s="1"/>
  <c r="AG12" i="3"/>
  <c r="AH12" i="3" s="1"/>
  <c r="AG11" i="3"/>
  <c r="AH11" i="3" s="1"/>
  <c r="AG7" i="3"/>
  <c r="AH7" i="3" s="1"/>
  <c r="AB3" i="3"/>
  <c r="U7" i="3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F13" i="3" l="1"/>
  <c r="AE14" i="3" s="1"/>
  <c r="K16" i="3" a="1"/>
  <c r="K16" i="3" s="1"/>
  <c r="C6" i="3"/>
  <c r="C18" i="3" s="1" a="1"/>
  <c r="C18" i="3" s="1"/>
  <c r="D11" i="1" s="1"/>
  <c r="I10" i="3" a="1"/>
  <c r="I10" i="3" s="1"/>
  <c r="J10" i="3" s="1"/>
  <c r="K13" i="3" a="1"/>
  <c r="K13" i="3" s="1"/>
  <c r="K14" i="3" a="1"/>
  <c r="K14" i="3" s="1"/>
  <c r="K15" i="3" a="1"/>
  <c r="K15" i="3" s="1"/>
  <c r="AF14" i="3" l="1"/>
  <c r="AE15" i="3" s="1"/>
  <c r="AG13" i="3"/>
  <c r="AH13" i="3" s="1"/>
  <c r="C21" i="3"/>
  <c r="C23" i="3" s="1"/>
  <c r="C19" i="3" a="1"/>
  <c r="C19" i="3" s="1"/>
  <c r="D12" i="1" s="1"/>
  <c r="AF15" i="3" l="1"/>
  <c r="AE16" i="3" s="1"/>
  <c r="AG14" i="3"/>
  <c r="AH14" i="3" s="1"/>
  <c r="C26" i="3"/>
  <c r="C25" i="3"/>
  <c r="AF16" i="3" l="1"/>
  <c r="AE17" i="3" s="1"/>
  <c r="AG15" i="3"/>
  <c r="AH15" i="3" s="1"/>
  <c r="C2" i="1"/>
  <c r="AF17" i="3" l="1"/>
  <c r="AE18" i="3" s="1"/>
  <c r="AG16" i="3"/>
  <c r="AH16" i="3" s="1"/>
  <c r="Q4" i="3"/>
  <c r="AF18" i="3" l="1"/>
  <c r="AE19" i="3" s="1"/>
  <c r="AG17" i="3"/>
  <c r="AH17" i="3" s="1"/>
  <c r="AF19" i="3" l="1"/>
  <c r="AE20" i="3" s="1"/>
  <c r="AG18" i="3"/>
  <c r="AH18" i="3" s="1"/>
  <c r="AF20" i="3" l="1"/>
  <c r="AE21" i="3" s="1"/>
  <c r="AG19" i="3"/>
  <c r="AH19" i="3" s="1"/>
  <c r="AF21" i="3" l="1"/>
  <c r="AE22" i="3" s="1"/>
  <c r="AG20" i="3"/>
  <c r="AH20" i="3" s="1"/>
  <c r="AF22" i="3" l="1"/>
  <c r="AE23" i="3" s="1"/>
  <c r="AG21" i="3"/>
  <c r="AH21" i="3" s="1"/>
  <c r="AF23" i="3" l="1"/>
  <c r="AE24" i="3" s="1"/>
  <c r="AG22" i="3"/>
  <c r="AH22" i="3" s="1"/>
  <c r="AF24" i="3" l="1"/>
  <c r="AE25" i="3" s="1"/>
  <c r="AG23" i="3"/>
  <c r="AH23" i="3" s="1"/>
  <c r="AF25" i="3" l="1"/>
  <c r="AE26" i="3" s="1"/>
  <c r="AG24" i="3"/>
  <c r="AH24" i="3" s="1"/>
  <c r="AF26" i="3" l="1"/>
  <c r="AE27" i="3" s="1"/>
  <c r="AG25" i="3"/>
  <c r="AH25" i="3" s="1"/>
  <c r="AF27" i="3" l="1"/>
  <c r="AE28" i="3" s="1"/>
  <c r="AG26" i="3"/>
  <c r="AH26" i="3" s="1"/>
  <c r="AF28" i="3" l="1"/>
  <c r="AE29" i="3" s="1"/>
  <c r="AG27" i="3"/>
  <c r="AH27" i="3" s="1"/>
  <c r="AF29" i="3" l="1"/>
  <c r="AE30" i="3" s="1"/>
  <c r="AG28" i="3"/>
  <c r="AH28" i="3" s="1"/>
  <c r="AF30" i="3" l="1"/>
  <c r="AE31" i="3" s="1"/>
  <c r="AG29" i="3"/>
  <c r="AH29" i="3" s="1"/>
  <c r="AF31" i="3" l="1"/>
  <c r="AE32" i="3" s="1"/>
  <c r="AG30" i="3"/>
  <c r="AH30" i="3" s="1"/>
  <c r="AF32" i="3" l="1"/>
  <c r="AE33" i="3" s="1"/>
  <c r="AG31" i="3"/>
  <c r="AH31" i="3" s="1"/>
  <c r="AF33" i="3" l="1"/>
  <c r="AE34" i="3" s="1"/>
  <c r="AG32" i="3"/>
  <c r="AH32" i="3" s="1"/>
  <c r="AF34" i="3" l="1"/>
  <c r="AE35" i="3" s="1"/>
  <c r="AG33" i="3"/>
  <c r="AH33" i="3" s="1"/>
  <c r="AF35" i="3" l="1"/>
  <c r="AE36" i="3" s="1"/>
  <c r="AG34" i="3"/>
  <c r="AH34" i="3" s="1"/>
  <c r="AF36" i="3" l="1"/>
  <c r="AE37" i="3" s="1"/>
  <c r="AG35" i="3"/>
  <c r="AH35" i="3" s="1"/>
  <c r="AF37" i="3" l="1"/>
  <c r="AE38" i="3" s="1"/>
  <c r="AG36" i="3"/>
  <c r="AH36" i="3" s="1"/>
  <c r="AF38" i="3" l="1"/>
  <c r="AE39" i="3" s="1"/>
  <c r="AG37" i="3"/>
  <c r="AH37" i="3" s="1"/>
  <c r="AF39" i="3" l="1"/>
  <c r="AE40" i="3" s="1"/>
  <c r="AG38" i="3"/>
  <c r="AH38" i="3" s="1"/>
  <c r="AG39" i="3" l="1"/>
  <c r="AH39" i="3" s="1"/>
  <c r="AF40" i="3"/>
  <c r="AE41" i="3" s="1"/>
  <c r="AF41" i="3" l="1"/>
  <c r="AE42" i="3" s="1"/>
  <c r="AG40" i="3"/>
  <c r="AH40" i="3" s="1"/>
  <c r="AF42" i="3" l="1"/>
  <c r="AG42" i="3" s="1"/>
  <c r="AH42" i="3" s="1"/>
  <c r="AG41" i="3"/>
  <c r="AH41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<sst xmlns="http://schemas.openxmlformats.org/spreadsheetml/2006/main" count="113" uniqueCount="96">
  <si>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</si>
  <si>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</si>
  <si>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</si>
  <si>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</si>
  <si>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</si>
  <si>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</si>
  <si>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</si>
  <si>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</si>
  <si>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</si>
  <si>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</si>
  <si>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</si>
  <si>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</si>
  <si>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</si>
  <si>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</si>
  <si>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</si>
  <si>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</si>
  <si>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</si>
  <si>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</si>
  <si>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</si>
  <si>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</si>
  <si>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</si>
  <si>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</si>
  <si>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</si>
  <si>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</si>
  <si>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</si>
  <si>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</si>
  <si>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</si>
  <si>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Nombre</t>
  </si>
  <si>
    <t>total pesée:</t>
  </si>
  <si>
    <t>Valeur</t>
  </si>
  <si>
    <t>produit_a</t>
  </si>
  <si>
    <t>lot_a</t>
  </si>
  <si>
    <t>Tare</t>
  </si>
  <si>
    <t>AJUSTER TARE</t>
  </si>
  <si>
    <t>Text 2 - TARE</t>
  </si>
  <si>
    <t>Debut OF</t>
  </si>
  <si>
    <t>FIN OF</t>
  </si>
  <si>
    <t>FIN LOT</t>
  </si>
  <si>
    <t>Text 2 - debut OF</t>
  </si>
  <si>
    <t>Text 1 - fin of</t>
  </si>
  <si>
    <t>Bobine</t>
  </si>
  <si>
    <t>value to replicate</t>
  </si>
  <si>
    <t>number times</t>
  </si>
  <si>
    <t>output</t>
  </si>
  <si>
    <t>Hello</t>
  </si>
  <si>
    <t>Ligne debut</t>
  </si>
  <si>
    <t>Ligne fin</t>
  </si>
  <si>
    <t>bobine actuelle:</t>
  </si>
  <si>
    <t>Nb</t>
  </si>
  <si>
    <t>tare associée: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</si>
  <si>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</si>
  <si>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</si>
  <si>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</si>
  <si>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</si>
  <si>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</si>
  <si>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</si>
  <si>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</si>
  <si>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</si>
  <si>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</si>
  <si>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</si>
  <si>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</si>
  <si>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</si>
  <si>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</si>
  <si>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</si>
  <si>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Renseigner le n°lot</t>
  </si>
  <si>
    <t>Appuyer sur le bouton « DEBUT EQUIPE »</t>
  </si>
  <si>
    <t>Appuyer sur « Print OFF ».</t>
  </si>
  <si>
    <t>Régler la balance (bulle, stabilité).</t>
  </si>
  <si>
    <t>Contrôler le poids étalon.</t>
  </si>
  <si>
    <t>Régler les poids.</t>
  </si>
  <si>
    <t>Appuyer sur « Print ON ».</t>
  </si>
  <si>
    <t>Fermer cette fenêtre puis contrôler 10 dosettes à la suite.</t>
  </si>
  <si>
    <t>Moyenne courte &lt; QN</t>
  </si>
  <si>
    <t>Recontrôler 10 dosettes à la suite. 
Si moyenne des 10 est inférieur au poids nominal deux fois de suite, faire un réglage poids + recontrôler 10 dosettes à la suite. 
Recommencer l’opération jusqu’à avoir une moyenne des 10 supérieure ou égale au poids nominal</t>
  </si>
  <si>
    <t>Moyenne courte est &lt;LCI</t>
  </si>
  <si>
    <t>Réglage poids + contrôler 10 dosettes à la suite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</si>
  <si>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</si>
  <si>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</si>
  <si>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</si>
  <si>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</si>
  <si>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</si>
  <si>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</si>
  <si>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</si>
  <si>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</si>
  <si>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Attention dosette en TU1 ! 
- Arrêter la production. Retirer la dosette. 
- Appuyer sur « Print OFF ». 
- Recontrôler le carton précédent à 100%. 
- Répéter cette opération jusqu’à avoir un carton sans TU1/TU2. 
- Appuyer sur « Print ON » et reprendre la production.</t>
  </si>
  <si>
    <t>Attention dosette en TU2 ! 
-Arrêter la production. 
- Alerter une experte ou cheffe d’équipe. 
- Retirer la dosette. 
- Appuyer sur « Print OFF ». 
- Recontrôler le carton précédent à 100%. 
- Répéter cette opération jusqu’à avoir un carton sans TU1/TU2. 
- Appuyer sur « Print ON » et reprendre la production</t>
  </si>
  <si>
    <t>that's where the balance write</t>
  </si>
  <si>
    <t>sheet input</t>
  </si>
  <si>
    <t>sheet interface</t>
  </si>
  <si>
    <t>where we have the button + graph</t>
  </si>
  <si>
    <t>Nb dernières mesures</t>
  </si>
  <si>
    <t>ligne min</t>
  </si>
  <si>
    <t>ligne max</t>
  </si>
  <si>
    <t xml:space="preserve">moyenne longue : </t>
  </si>
  <si>
    <t>moyenne courte:</t>
  </si>
  <si>
    <t>parametre simulation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</si>
</sst>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5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1" fillId="0" borderId="0" xfId="0" applyNumberFormat="1" applyFont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9" xfId="0" applyFill="1" applyBorder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0" xfId="0" applyFill="1" applyAlignment="1">
      <alignment horizontal="center"/>
    </xf>
    <xf numFmtId="14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2" fontId="1" fillId="0" borderId="13" xfId="0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0" xfId="0" applyFill="1" applyBorder="1" applyAlignment="1">
      <alignment horizontal="center"/>
    </xf>
    <xf numFmtId="0" fontId="3" fillId="0" borderId="0" xfId="0" applyFont="1" applyBorder="1" applyAlignment="1">
      <alignment horizontal="center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Spin" dx="15" fmlaLink="$L$2" max="30000" page="10" val="39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520700</xdr:colOff>
          <xdr:row>2</xdr:row>
          <xdr:rowOff>152400</xdr:rowOff>
        </xdr:from>
        <xdr:to>
          <xdr:col>11</xdr:col>
          <xdr:colOff>190500</xdr:colOff>
          <xdr:row>6</xdr:row>
          <xdr:rowOff>139700</xdr:rowOff>
        </xdr:to>
        <xdr:sp macro="" textlink="">
          <xdr:nvSpPr>
            <xdr:cNvPr id="7169" name="Spinner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5D414984-9370-629E-0D69-CF467EE8A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115974</xdr:colOff>
          <xdr:row>3</xdr:row>
          <xdr:rowOff>200549</xdr:rowOff>
        </xdr:from>
        <xdr:to>
          <xdr:col>7</xdr:col>
          <xdr:colOff>527398</xdr:colOff>
          <xdr:row>6</xdr:row>
          <xdr:rowOff>3908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669610</xdr:colOff>
          <xdr:row>3</xdr:row>
          <xdr:rowOff>173893</xdr:rowOff>
        </xdr:from>
        <xdr:to>
          <xdr:col>8</xdr:col>
          <xdr:colOff>848945</xdr:colOff>
          <xdr:row>6</xdr:row>
          <xdr:rowOff>2652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88063</xdr:colOff>
          <xdr:row>1</xdr:row>
          <xdr:rowOff>49544</xdr:rowOff>
        </xdr:from>
        <xdr:to>
          <xdr:col>7</xdr:col>
          <xdr:colOff>499487</xdr:colOff>
          <xdr:row>3</xdr:row>
          <xdr:rowOff>87644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620485</xdr:colOff>
          <xdr:row>1</xdr:row>
          <xdr:rowOff>76200</xdr:rowOff>
        </xdr:from>
        <xdr:to>
          <xdr:col>5</xdr:col>
          <xdr:colOff>789633</xdr:colOff>
          <xdr:row>3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620485</xdr:colOff>
          <xdr:row>3</xdr:row>
          <xdr:rowOff>201805</xdr:rowOff>
        </xdr:from>
        <xdr:to>
          <xdr:col>5</xdr:col>
          <xdr:colOff>789633</xdr:colOff>
          <xdr:row>6</xdr:row>
          <xdr:rowOff>30564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627742</xdr:colOff>
          <xdr:row>1</xdr:row>
          <xdr:rowOff>38100</xdr:rowOff>
        </xdr:from>
        <xdr:to>
          <xdr:col>8</xdr:col>
          <xdr:colOff>870577</xdr:colOff>
          <xdr:row>3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7</v>
    <v>8</v>
    <v>19</v>
    <v>2</v>
  </rv>
  <rv s="0">
    <v>7</v>
    <v>8</v>
    <v>37</v>
    <v>2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L40"/>
  <sheetViews>
    <sheetView showGridLines="0" workbookViewId="0">
      <selection activeCell="J20" sqref="J20"/>
    </sheetView>
  </sheetViews>
  <sheetFormatPr baseColWidth="10" defaultRowHeight="16" x14ac:dyDescent="0.2"/>
  <cols>
    <col min="1" max="3" width="10.83203125" style="2"/>
    <col min="4" max="4" width="10.83203125" style="38"/>
    <col min="5" max="7" width="10.83203125" style="2"/>
    <col min="8" max="8" width="10.83203125" style="38"/>
    <col min="9" max="9" width="8" style="2" customWidth="1"/>
    <col min="10" max="16384" width="10.83203125" style="2"/>
  </cols>
  <sheetData>
    <row r="1" spans="1:12" x14ac:dyDescent="0.2">
      <c r="A1" s="4" t="s">
        <v>3</v>
      </c>
      <c r="B1" s="4" t="s">
        <v>0</v>
      </c>
      <c r="C1" s="4" t="s">
        <v>8</v>
      </c>
      <c r="D1" s="43" t="s">
        <v>4</v>
      </c>
      <c r="E1" s="4" t="s">
        <v>57</v>
      </c>
      <c r="F1" s="4" t="s">
        <v>40</v>
      </c>
      <c r="G1" s="4" t="s">
        <v>32</v>
      </c>
      <c r="H1" s="43" t="s">
        <v>26</v>
      </c>
    </row>
    <row r="2" spans="1:12" x14ac:dyDescent="0.2">
      <c r="A2" s="2" cm="1">
        <f t="array" ref="A2:A40">_xlfn.SEQUENCE(L2)</f>
        <v>1</v>
      </c>
      <c r="D2" s="38" cm="1">
        <f t="array" aca="1" ref="D2:D40" ca="1">_xlfn.RANDARRAY(L2,1,75,85,FALSE)</f>
        <v>80.558474606679098</v>
      </c>
      <c r="E2" s="2" cm="1">
        <f t="array" ref="E2:E40">IF(_xlfn.ANCHORARRAY(A2)&lt;&gt;0,ROW(_xlfn.ANCHORARRAY(A2)))</f>
        <v>2</v>
      </c>
      <c r="F2" s="2" cm="1">
        <f t="array" ref="F2:F40">_xlfn.BYROW(_xlfn.ANCHORARRAY(E2), _xlfn.LAMBDA(_xlpm.row, _xlfn._xlws.FILTER(calculs_intermediaires!$M$7:$M$100, (_xlpm.row&gt;=calculs_intermediaires!O$7:O$100) * (_xlpm.row&lt;=calculs_intermediaires!P$7:P$100), "No Match")))</f>
        <v>1</v>
      </c>
      <c r="G2" s="2" cm="1">
        <f t="array" ref="G2:G40">INDEX(calculs_intermediaires!$N$7:$N$100,MATCH(_xlfn.ANCHORARRAY(F2),calculs_intermediaires!$M$7:$M$100,0))</f>
        <v>5</v>
      </c>
      <c r="H2" s="38" cm="1">
        <f t="array" aca="1" ref="H2:H40" ca="1">_xlfn.ANCHORARRAY(D2)-_xlfn.ANCHORARRAY(G2)</f>
        <v>75.558474606679098</v>
      </c>
      <c r="K2" s="14" t="s">
        <v>95</v>
      </c>
      <c r="L2" s="2">
        <v>39</v>
      </c>
    </row>
    <row r="3" spans="1:12" x14ac:dyDescent="0.2">
      <c r="A3" s="2">
        <v>2</v>
      </c>
      <c r="D3" s="38">
        <f ca="1"/>
        <v>80.645372894428164</v>
      </c>
      <c r="E3" s="2">
        <v>3</v>
      </c>
      <c r="F3" s="2">
        <v>1</v>
      </c>
      <c r="G3" s="2">
        <v>5</v>
      </c>
      <c r="H3" s="38">
        <f ca="1"/>
        <v>75.645372894428164</v>
      </c>
    </row>
    <row r="4" spans="1:12" x14ac:dyDescent="0.2">
      <c r="A4" s="2">
        <v>3</v>
      </c>
      <c r="D4" s="38">
        <f ca="1"/>
        <v>84.10427110704893</v>
      </c>
      <c r="E4" s="2">
        <v>4</v>
      </c>
      <c r="F4" s="2">
        <v>1</v>
      </c>
      <c r="G4" s="2">
        <v>5</v>
      </c>
      <c r="H4" s="38">
        <f ca="1"/>
        <v>79.10427110704893</v>
      </c>
    </row>
    <row r="5" spans="1:12" x14ac:dyDescent="0.2">
      <c r="A5" s="2">
        <v>4</v>
      </c>
      <c r="D5" s="38">
        <f ca="1"/>
        <v>78.124413390336045</v>
      </c>
      <c r="E5" s="2">
        <v>5</v>
      </c>
      <c r="F5" s="2">
        <v>1</v>
      </c>
      <c r="G5" s="2">
        <v>5</v>
      </c>
      <c r="H5" s="38">
        <f ca="1"/>
        <v>73.124413390336045</v>
      </c>
    </row>
    <row r="6" spans="1:12" x14ac:dyDescent="0.2">
      <c r="A6" s="2">
        <v>5</v>
      </c>
      <c r="D6" s="38">
        <f ca="1"/>
        <v>75.412655394814081</v>
      </c>
      <c r="E6" s="2">
        <v>6</v>
      </c>
      <c r="F6" s="2">
        <v>1</v>
      </c>
      <c r="G6" s="2">
        <v>5</v>
      </c>
      <c r="H6" s="38">
        <f ca="1"/>
        <v>70.412655394814081</v>
      </c>
    </row>
    <row r="7" spans="1:12" x14ac:dyDescent="0.2">
      <c r="A7" s="2">
        <v>6</v>
      </c>
      <c r="D7" s="38">
        <f ca="1"/>
        <v>76.948870289020718</v>
      </c>
      <c r="E7" s="2">
        <v>7</v>
      </c>
      <c r="F7" s="2">
        <v>1</v>
      </c>
      <c r="G7" s="2">
        <v>5</v>
      </c>
      <c r="H7" s="38">
        <f ca="1"/>
        <v>71.948870289020718</v>
      </c>
    </row>
    <row r="8" spans="1:12" x14ac:dyDescent="0.2">
      <c r="A8" s="2">
        <v>7</v>
      </c>
      <c r="D8" s="38">
        <f ca="1"/>
        <v>80.126995725198825</v>
      </c>
      <c r="E8" s="2">
        <v>8</v>
      </c>
      <c r="F8" s="2">
        <v>1</v>
      </c>
      <c r="G8" s="2">
        <v>5</v>
      </c>
      <c r="H8" s="38">
        <f ca="1"/>
        <v>75.126995725198825</v>
      </c>
    </row>
    <row r="9" spans="1:12" x14ac:dyDescent="0.2">
      <c r="A9" s="2">
        <v>8</v>
      </c>
      <c r="D9" s="38">
        <f ca="1"/>
        <v>81.469840946062959</v>
      </c>
      <c r="E9" s="2">
        <v>9</v>
      </c>
      <c r="F9" s="2">
        <v>1</v>
      </c>
      <c r="G9" s="2">
        <v>5</v>
      </c>
      <c r="H9" s="38">
        <f ca="1"/>
        <v>76.469840946062959</v>
      </c>
    </row>
    <row r="10" spans="1:12" x14ac:dyDescent="0.2">
      <c r="A10" s="2">
        <v>9</v>
      </c>
      <c r="D10" s="38">
        <f ca="1"/>
        <v>82.839235594183435</v>
      </c>
      <c r="E10" s="2">
        <v>10</v>
      </c>
      <c r="F10" s="2">
        <v>1</v>
      </c>
      <c r="G10" s="2">
        <v>5</v>
      </c>
      <c r="H10" s="38">
        <f ca="1"/>
        <v>77.839235594183435</v>
      </c>
    </row>
    <row r="11" spans="1:12" x14ac:dyDescent="0.2">
      <c r="A11" s="2">
        <v>10</v>
      </c>
      <c r="D11" s="38">
        <f ca="1"/>
        <v>82.437039590487615</v>
      </c>
      <c r="E11" s="2">
        <v>11</v>
      </c>
      <c r="F11" s="2">
        <v>1</v>
      </c>
      <c r="G11" s="2">
        <v>5</v>
      </c>
      <c r="H11" s="38">
        <f ca="1"/>
        <v>77.437039590487615</v>
      </c>
    </row>
    <row r="12" spans="1:12" x14ac:dyDescent="0.2">
      <c r="A12" s="2">
        <v>11</v>
      </c>
      <c r="D12" s="38">
        <f ca="1"/>
        <v>83.806452152508413</v>
      </c>
      <c r="E12" s="2">
        <v>12</v>
      </c>
      <c r="F12" s="2">
        <v>1</v>
      </c>
      <c r="G12" s="2">
        <v>5</v>
      </c>
      <c r="H12" s="38">
        <f ca="1"/>
        <v>78.806452152508413</v>
      </c>
    </row>
    <row r="13" spans="1:12" x14ac:dyDescent="0.2">
      <c r="A13" s="2">
        <v>12</v>
      </c>
      <c r="D13" s="38">
        <f ca="1"/>
        <v>77.624129602722164</v>
      </c>
      <c r="E13" s="2">
        <v>13</v>
      </c>
      <c r="F13" s="2">
        <v>1</v>
      </c>
      <c r="G13" s="2">
        <v>5</v>
      </c>
      <c r="H13" s="38">
        <f ca="1"/>
        <v>72.624129602722164</v>
      </c>
    </row>
    <row r="14" spans="1:12" x14ac:dyDescent="0.2">
      <c r="A14" s="2">
        <v>13</v>
      </c>
      <c r="D14" s="38">
        <f ca="1"/>
        <v>81.711250630755359</v>
      </c>
      <c r="E14" s="2">
        <v>14</v>
      </c>
      <c r="F14" s="2">
        <v>1</v>
      </c>
      <c r="G14" s="2">
        <v>5</v>
      </c>
      <c r="H14" s="38">
        <f ca="1"/>
        <v>76.711250630755359</v>
      </c>
    </row>
    <row r="15" spans="1:12" x14ac:dyDescent="0.2">
      <c r="A15" s="2">
        <v>14</v>
      </c>
      <c r="D15" s="38">
        <f ca="1"/>
        <v>78.69640984761736</v>
      </c>
      <c r="E15" s="2">
        <v>15</v>
      </c>
      <c r="F15" s="2">
        <v>1</v>
      </c>
      <c r="G15" s="2">
        <v>5</v>
      </c>
      <c r="H15" s="38">
        <f ca="1"/>
        <v>73.69640984761736</v>
      </c>
    </row>
    <row r="16" spans="1:12" x14ac:dyDescent="0.2">
      <c r="A16" s="2">
        <v>15</v>
      </c>
      <c r="D16" s="38">
        <f ca="1"/>
        <v>76.671344942058937</v>
      </c>
      <c r="E16" s="2">
        <v>16</v>
      </c>
      <c r="F16" s="2">
        <v>1</v>
      </c>
      <c r="G16" s="2">
        <v>5</v>
      </c>
      <c r="H16" s="38">
        <f ca="1"/>
        <v>71.671344942058937</v>
      </c>
    </row>
    <row r="17" spans="1:8" x14ac:dyDescent="0.2">
      <c r="A17" s="2">
        <v>16</v>
      </c>
      <c r="D17" s="38">
        <f ca="1"/>
        <v>79.672324066998755</v>
      </c>
      <c r="E17" s="2">
        <v>17</v>
      </c>
      <c r="F17" s="2">
        <v>1</v>
      </c>
      <c r="G17" s="2">
        <v>5</v>
      </c>
      <c r="H17" s="38">
        <f ca="1"/>
        <v>74.672324066998755</v>
      </c>
    </row>
    <row r="18" spans="1:8" x14ac:dyDescent="0.2">
      <c r="A18" s="2">
        <v>17</v>
      </c>
      <c r="D18" s="38">
        <f ca="1"/>
        <v>79.713597255847233</v>
      </c>
      <c r="E18" s="2">
        <v>18</v>
      </c>
      <c r="F18" s="2">
        <v>1</v>
      </c>
      <c r="G18" s="2">
        <v>5</v>
      </c>
      <c r="H18" s="38">
        <f ca="1"/>
        <v>74.713597255847233</v>
      </c>
    </row>
    <row r="19" spans="1:8" x14ac:dyDescent="0.2">
      <c r="A19" s="2">
        <v>18</v>
      </c>
      <c r="D19" s="38">
        <f ca="1"/>
        <v>75.054340987710049</v>
      </c>
      <c r="E19" s="2">
        <v>19</v>
      </c>
      <c r="F19" s="2">
        <v>1</v>
      </c>
      <c r="G19" s="2">
        <v>5</v>
      </c>
      <c r="H19" s="38">
        <f ca="1"/>
        <v>70.054340987710049</v>
      </c>
    </row>
    <row r="20" spans="1:8" x14ac:dyDescent="0.2">
      <c r="A20" s="2">
        <v>19</v>
      </c>
      <c r="D20" s="38">
        <f ca="1"/>
        <v>80.271290034230375</v>
      </c>
      <c r="E20" s="2">
        <v>20</v>
      </c>
      <c r="F20" s="2">
        <v>1</v>
      </c>
      <c r="G20" s="2">
        <v>5</v>
      </c>
      <c r="H20" s="38">
        <f ca="1"/>
        <v>75.271290034230375</v>
      </c>
    </row>
    <row r="21" spans="1:8" x14ac:dyDescent="0.2">
      <c r="A21" s="2">
        <v>20</v>
      </c>
      <c r="D21" s="38">
        <f ca="1"/>
        <v>75.327268082740773</v>
      </c>
      <c r="E21" s="2">
        <v>21</v>
      </c>
      <c r="F21" s="2">
        <v>1</v>
      </c>
      <c r="G21" s="2">
        <v>5</v>
      </c>
      <c r="H21" s="38">
        <f ca="1"/>
        <v>70.327268082740773</v>
      </c>
    </row>
    <row r="22" spans="1:8" x14ac:dyDescent="0.2">
      <c r="A22" s="2">
        <v>21</v>
      </c>
      <c r="D22" s="38">
        <f ca="1"/>
        <v>78.75582830240765</v>
      </c>
      <c r="E22" s="2">
        <v>22</v>
      </c>
      <c r="F22" s="2">
        <v>1</v>
      </c>
      <c r="G22" s="2">
        <v>5</v>
      </c>
      <c r="H22" s="38">
        <f ca="1"/>
        <v>73.75582830240765</v>
      </c>
    </row>
    <row r="23" spans="1:8" x14ac:dyDescent="0.2">
      <c r="A23" s="2">
        <v>22</v>
      </c>
      <c r="D23" s="38">
        <f ca="1"/>
        <v>77.055716566628931</v>
      </c>
      <c r="E23" s="2">
        <v>23</v>
      </c>
      <c r="F23" s="2">
        <v>1</v>
      </c>
      <c r="G23" s="2">
        <v>5</v>
      </c>
      <c r="H23" s="38">
        <f ca="1"/>
        <v>72.055716566628931</v>
      </c>
    </row>
    <row r="24" spans="1:8" x14ac:dyDescent="0.2">
      <c r="A24" s="2">
        <v>23</v>
      </c>
      <c r="D24" s="38">
        <f ca="1"/>
        <v>78.606761947829895</v>
      </c>
      <c r="E24" s="2">
        <v>24</v>
      </c>
      <c r="F24" s="2">
        <v>1</v>
      </c>
      <c r="G24" s="2">
        <v>5</v>
      </c>
      <c r="H24" s="38">
        <f ca="1"/>
        <v>73.606761947829895</v>
      </c>
    </row>
    <row r="25" spans="1:8" x14ac:dyDescent="0.2">
      <c r="A25" s="2">
        <v>24</v>
      </c>
      <c r="D25" s="38">
        <f ca="1"/>
        <v>79.199406510047339</v>
      </c>
      <c r="E25" s="2">
        <v>25</v>
      </c>
      <c r="F25" s="2">
        <v>1</v>
      </c>
      <c r="G25" s="2">
        <v>5</v>
      </c>
      <c r="H25" s="38">
        <f ca="1"/>
        <v>74.199406510047339</v>
      </c>
    </row>
    <row r="26" spans="1:8" x14ac:dyDescent="0.2">
      <c r="A26" s="2">
        <v>25</v>
      </c>
      <c r="D26" s="38">
        <f ca="1"/>
        <v>76.56792593797077</v>
      </c>
      <c r="E26" s="2">
        <v>26</v>
      </c>
      <c r="F26" s="2">
        <v>1</v>
      </c>
      <c r="G26" s="2">
        <v>5</v>
      </c>
      <c r="H26" s="38">
        <f ca="1"/>
        <v>71.56792593797077</v>
      </c>
    </row>
    <row r="27" spans="1:8" x14ac:dyDescent="0.2">
      <c r="A27" s="2">
        <v>26</v>
      </c>
      <c r="D27" s="38">
        <f ca="1"/>
        <v>79.14801018431416</v>
      </c>
      <c r="E27" s="2">
        <v>27</v>
      </c>
      <c r="F27" s="2">
        <v>1</v>
      </c>
      <c r="G27" s="2">
        <v>5</v>
      </c>
      <c r="H27" s="38">
        <f ca="1"/>
        <v>74.14801018431416</v>
      </c>
    </row>
    <row r="28" spans="1:8" x14ac:dyDescent="0.2">
      <c r="A28" s="2">
        <v>27</v>
      </c>
      <c r="D28" s="38">
        <f ca="1"/>
        <v>79.132100157425214</v>
      </c>
      <c r="E28" s="2">
        <v>28</v>
      </c>
      <c r="F28" s="2">
        <v>1</v>
      </c>
      <c r="G28" s="2">
        <v>5</v>
      </c>
      <c r="H28" s="38">
        <f ca="1"/>
        <v>74.132100157425214</v>
      </c>
    </row>
    <row r="29" spans="1:8" x14ac:dyDescent="0.2">
      <c r="A29" s="2">
        <v>28</v>
      </c>
      <c r="D29" s="38">
        <f ca="1"/>
        <v>82.063830669797042</v>
      </c>
      <c r="E29" s="2">
        <v>29</v>
      </c>
      <c r="F29" s="2">
        <v>1</v>
      </c>
      <c r="G29" s="2">
        <v>5</v>
      </c>
      <c r="H29" s="38">
        <f ca="1"/>
        <v>77.063830669797042</v>
      </c>
    </row>
    <row r="30" spans="1:8" x14ac:dyDescent="0.2">
      <c r="A30" s="2">
        <v>29</v>
      </c>
      <c r="D30" s="38">
        <f ca="1"/>
        <v>80.169036053716539</v>
      </c>
      <c r="E30" s="2">
        <v>30</v>
      </c>
      <c r="F30" s="2">
        <v>1</v>
      </c>
      <c r="G30" s="2">
        <v>5</v>
      </c>
      <c r="H30" s="38">
        <f ca="1"/>
        <v>75.169036053716539</v>
      </c>
    </row>
    <row r="31" spans="1:8" x14ac:dyDescent="0.2">
      <c r="A31" s="2">
        <v>30</v>
      </c>
      <c r="D31" s="38">
        <f ca="1"/>
        <v>75.324083138006543</v>
      </c>
      <c r="E31" s="2">
        <v>31</v>
      </c>
      <c r="F31" s="2">
        <v>1</v>
      </c>
      <c r="G31" s="2">
        <v>5</v>
      </c>
      <c r="H31" s="38">
        <f ca="1"/>
        <v>70.324083138006543</v>
      </c>
    </row>
    <row r="32" spans="1:8" x14ac:dyDescent="0.2">
      <c r="A32" s="2">
        <v>31</v>
      </c>
      <c r="D32" s="38">
        <f ca="1"/>
        <v>84.201963145301477</v>
      </c>
      <c r="E32" s="2">
        <v>32</v>
      </c>
      <c r="F32" s="2">
        <v>1</v>
      </c>
      <c r="G32" s="2">
        <v>5</v>
      </c>
      <c r="H32" s="38">
        <f ca="1"/>
        <v>79.201963145301477</v>
      </c>
    </row>
    <row r="33" spans="1:8" x14ac:dyDescent="0.2">
      <c r="A33" s="2">
        <v>32</v>
      </c>
      <c r="D33" s="38">
        <f ca="1"/>
        <v>75.79878151713929</v>
      </c>
      <c r="E33" s="2">
        <v>33</v>
      </c>
      <c r="F33" s="2">
        <v>1</v>
      </c>
      <c r="G33" s="2">
        <v>5</v>
      </c>
      <c r="H33" s="38">
        <f ca="1"/>
        <v>70.79878151713929</v>
      </c>
    </row>
    <row r="34" spans="1:8" x14ac:dyDescent="0.2">
      <c r="A34" s="2">
        <v>33</v>
      </c>
      <c r="D34" s="38">
        <f ca="1"/>
        <v>84.392975016154622</v>
      </c>
      <c r="E34" s="2">
        <v>34</v>
      </c>
      <c r="F34" s="2">
        <v>1</v>
      </c>
      <c r="G34" s="2">
        <v>5</v>
      </c>
      <c r="H34" s="38">
        <f ca="1"/>
        <v>79.392975016154622</v>
      </c>
    </row>
    <row r="35" spans="1:8" x14ac:dyDescent="0.2">
      <c r="A35" s="2">
        <v>34</v>
      </c>
      <c r="D35" s="38">
        <f ca="1"/>
        <v>80.023637746655382</v>
      </c>
      <c r="E35" s="2">
        <v>35</v>
      </c>
      <c r="F35" s="2">
        <v>1</v>
      </c>
      <c r="G35" s="2">
        <v>5</v>
      </c>
      <c r="H35" s="38">
        <f ca="1"/>
        <v>75.023637746655382</v>
      </c>
    </row>
    <row r="36" spans="1:8" x14ac:dyDescent="0.2">
      <c r="A36" s="2">
        <v>35</v>
      </c>
      <c r="D36" s="38">
        <f ca="1"/>
        <v>76.567785693407103</v>
      </c>
      <c r="E36" s="2">
        <v>36</v>
      </c>
      <c r="F36" s="2">
        <v>1</v>
      </c>
      <c r="G36" s="2">
        <v>5</v>
      </c>
      <c r="H36" s="38">
        <f ca="1"/>
        <v>71.567785693407103</v>
      </c>
    </row>
    <row r="37" spans="1:8" x14ac:dyDescent="0.2">
      <c r="A37" s="2">
        <v>36</v>
      </c>
      <c r="D37" s="38">
        <f ca="1"/>
        <v>80.384697011724526</v>
      </c>
      <c r="E37" s="2">
        <v>37</v>
      </c>
      <c r="F37" s="2">
        <v>1</v>
      </c>
      <c r="G37" s="2">
        <v>5</v>
      </c>
      <c r="H37" s="38">
        <f ca="1"/>
        <v>75.384697011724526</v>
      </c>
    </row>
    <row r="38" spans="1:8" x14ac:dyDescent="0.2">
      <c r="A38" s="2">
        <v>37</v>
      </c>
      <c r="D38" s="38">
        <f ca="1"/>
        <v>83.041650067513814</v>
      </c>
      <c r="E38" s="2">
        <v>38</v>
      </c>
      <c r="F38" s="2">
        <v>1</v>
      </c>
      <c r="G38" s="2">
        <v>5</v>
      </c>
      <c r="H38" s="38">
        <f ca="1"/>
        <v>78.041650067513814</v>
      </c>
    </row>
    <row r="39" spans="1:8" x14ac:dyDescent="0.2">
      <c r="A39" s="2">
        <v>38</v>
      </c>
      <c r="D39" s="38">
        <f ca="1"/>
        <v>76.691340342848036</v>
      </c>
      <c r="E39" s="2">
        <v>39</v>
      </c>
      <c r="F39" s="2">
        <v>1</v>
      </c>
      <c r="G39" s="2">
        <v>5</v>
      </c>
      <c r="H39" s="38">
        <f ca="1"/>
        <v>71.691340342848036</v>
      </c>
    </row>
    <row r="40" spans="1:8" x14ac:dyDescent="0.2">
      <c r="A40" s="2">
        <v>39</v>
      </c>
      <c r="D40" s="38">
        <f ca="1"/>
        <v>84.760974060835451</v>
      </c>
      <c r="E40" s="2">
        <v>40</v>
      </c>
      <c r="F40" s="2">
        <v>1</v>
      </c>
      <c r="G40" s="2">
        <v>5</v>
      </c>
      <c r="H40" s="38">
        <f ca="1"/>
        <v>79.760974060835451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Spinner 1">
              <controlPr defaultSize="0" autoPict="0">
                <anchor moveWithCells="1" sizeWithCells="1">
                  <from>
                    <xdr:col>9</xdr:col>
                    <xdr:colOff>520700</xdr:colOff>
                    <xdr:row>2</xdr:row>
                    <xdr:rowOff>152400</xdr:rowOff>
                  </from>
                  <to>
                    <xdr:col>11</xdr:col>
                    <xdr:colOff>190500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M35"/>
  <sheetViews>
    <sheetView showGridLines="0" tabSelected="1" topLeftCell="A7" workbookViewId="0">
      <selection activeCell="M16" sqref="M16"/>
    </sheetView>
  </sheetViews>
  <sheetFormatPr baseColWidth="10" defaultRowHeight="16" x14ac:dyDescent="0.2"/>
  <cols>
    <col min="1" max="1" width="7.6640625" style="2" customWidth="1"/>
    <col min="2" max="2" width="10.83203125" style="28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7" customWidth="1"/>
    <col min="11" max="11" width="8" customWidth="1"/>
    <col min="12" max="12" width="14.1640625" bestFit="1" customWidth="1"/>
  </cols>
  <sheetData>
    <row r="1" spans="1:13" x14ac:dyDescent="0.2">
      <c r="B1" s="2"/>
      <c r="I1" s="2"/>
      <c r="J1" s="2"/>
      <c r="K1" s="2"/>
      <c r="L1" s="2"/>
      <c r="M1" s="2"/>
    </row>
    <row r="2" spans="1:13" x14ac:dyDescent="0.2">
      <c r="B2" s="2" t="s">
        <v>0</v>
      </c>
      <c r="C2" s="1">
        <f ca="1">NOW()</f>
        <v>45685.802205902779</v>
      </c>
      <c r="E2" s="28"/>
      <c r="F2" s="28"/>
      <c r="H2" s="28"/>
      <c r="I2" s="2"/>
      <c r="J2" s="2"/>
      <c r="K2" s="2"/>
      <c r="L2" s="14"/>
      <c r="M2" s="34"/>
    </row>
    <row r="3" spans="1:13" x14ac:dyDescent="0.2">
      <c r="B3" s="2" t="s">
        <v>1</v>
      </c>
      <c r="C3" s="21" t="s">
        <v>30</v>
      </c>
      <c r="E3" s="28"/>
      <c r="F3" s="28"/>
      <c r="I3" s="2"/>
      <c r="J3" s="2"/>
      <c r="K3" s="2"/>
      <c r="L3" s="14"/>
      <c r="M3" s="38"/>
    </row>
    <row r="4" spans="1:13" x14ac:dyDescent="0.2">
      <c r="B4" s="2" t="s">
        <v>2</v>
      </c>
      <c r="C4" s="22" t="s">
        <v>31</v>
      </c>
      <c r="E4" s="28"/>
      <c r="F4" s="28"/>
      <c r="I4" s="2"/>
      <c r="J4" s="2"/>
      <c r="K4" s="2"/>
      <c r="L4" s="2"/>
      <c r="M4" s="2"/>
    </row>
    <row r="5" spans="1:13" x14ac:dyDescent="0.2">
      <c r="B5" s="2"/>
      <c r="I5" s="2"/>
      <c r="J5" s="2"/>
      <c r="K5" s="2"/>
      <c r="L5" s="2"/>
      <c r="M5" s="2"/>
    </row>
    <row r="6" spans="1:13" x14ac:dyDescent="0.2">
      <c r="B6" s="2" t="s">
        <v>7</v>
      </c>
      <c r="C6" s="47">
        <v>80</v>
      </c>
      <c r="I6" s="2"/>
      <c r="J6" s="2"/>
      <c r="K6" s="2"/>
      <c r="L6" s="2"/>
      <c r="M6" s="2"/>
    </row>
    <row r="7" spans="1:13" x14ac:dyDescent="0.2">
      <c r="B7" s="2"/>
      <c r="I7" s="2"/>
      <c r="J7" s="2"/>
      <c r="K7" s="2"/>
      <c r="L7" s="2"/>
      <c r="M7" s="2"/>
    </row>
    <row r="8" spans="1:13" x14ac:dyDescent="0.2">
      <c r="B8" s="2"/>
      <c r="I8" s="2"/>
      <c r="J8" s="2"/>
      <c r="K8" s="2"/>
      <c r="L8" s="2"/>
      <c r="M8" s="2"/>
    </row>
    <row r="9" spans="1:13" s="72" customFormat="1" x14ac:dyDescent="0.2">
      <c r="A9" s="70"/>
      <c r="B9" s="64"/>
      <c r="C9" s="71"/>
      <c r="D9" s="71"/>
      <c r="G9" s="71"/>
      <c r="H9" s="71"/>
      <c r="I9" s="64"/>
      <c r="J9" s="64"/>
      <c r="K9" s="64"/>
      <c r="L9" s="64"/>
      <c r="M9" s="64"/>
    </row>
    <row r="10" spans="1:13" x14ac:dyDescent="0.2">
      <c r="A10" s="31"/>
      <c r="B10" s="2"/>
      <c r="C10" s="64"/>
      <c r="D10" s="64" t="s">
        <v>29</v>
      </c>
      <c r="E10" s="73" t="s">
        <v>27</v>
      </c>
      <c r="F10" s="60"/>
      <c r="G10" s="14" t="s">
        <v>47</v>
      </c>
      <c r="H10" s="20">
        <f>INDEX(calculs_intermediaires!$M$7:$M$100,MATCH(TRUE,calculs_intermediaires!$R$7:$R$100,0))</f>
        <v>1</v>
      </c>
      <c r="I10" s="2"/>
      <c r="J10" s="2"/>
      <c r="K10" s="2"/>
      <c r="L10" s="2"/>
      <c r="M10" s="2"/>
    </row>
    <row r="11" spans="1:13" x14ac:dyDescent="0.2">
      <c r="B11" s="2"/>
      <c r="C11" s="64" t="s">
        <v>5</v>
      </c>
      <c r="D11" s="64">
        <f>calculs_intermediaires!C18</f>
        <v>75.5</v>
      </c>
      <c r="E11" s="72"/>
      <c r="G11" s="32" t="s">
        <v>49</v>
      </c>
      <c r="H11" s="28">
        <f>INDEX(calculs_intermediaires!$N$7:$N$100,MATCH(TRUE,calculs_intermediaires!$R$7:$R$100,0))</f>
        <v>5</v>
      </c>
      <c r="I11" s="2"/>
      <c r="J11" s="2"/>
      <c r="K11" s="2"/>
      <c r="L11" s="2"/>
      <c r="M11" s="2"/>
    </row>
    <row r="12" spans="1:13" x14ac:dyDescent="0.2">
      <c r="B12" s="2"/>
      <c r="C12" s="64" t="s">
        <v>9</v>
      </c>
      <c r="D12" s="64">
        <f>calculs_intermediaires!C19</f>
        <v>71</v>
      </c>
      <c r="E12" s="71"/>
      <c r="F12" s="28"/>
      <c r="G12" s="28"/>
      <c r="H12" s="28"/>
      <c r="I12" s="2"/>
      <c r="J12" s="2"/>
      <c r="K12" s="2"/>
      <c r="L12" s="60"/>
      <c r="M12" s="2"/>
    </row>
    <row r="13" spans="1:13" x14ac:dyDescent="0.2">
      <c r="B13" s="2"/>
      <c r="C13" s="28"/>
      <c r="D13" s="28"/>
      <c r="E13" s="28"/>
      <c r="F13" s="28"/>
      <c r="G13" s="28"/>
      <c r="H13" s="28"/>
      <c r="I13" s="2"/>
      <c r="J13" s="2"/>
      <c r="K13" s="2"/>
      <c r="L13" s="2"/>
      <c r="M13" s="2"/>
    </row>
    <row r="14" spans="1:13" x14ac:dyDescent="0.2">
      <c r="B14" s="2"/>
      <c r="C14" s="28"/>
      <c r="D14" s="28"/>
      <c r="E14" s="28"/>
      <c r="F14" s="28"/>
      <c r="G14" s="28"/>
      <c r="H14" s="36"/>
      <c r="I14" s="2"/>
      <c r="J14" s="2"/>
      <c r="K14" s="2"/>
      <c r="L14" s="2"/>
      <c r="M14" s="2"/>
    </row>
    <row r="15" spans="1:13" x14ac:dyDescent="0.2">
      <c r="B15" s="4"/>
      <c r="C15" s="4"/>
      <c r="D15" s="4"/>
      <c r="E15" s="4"/>
      <c r="F15" s="4"/>
      <c r="G15" s="28"/>
      <c r="H15" s="36"/>
      <c r="I15" s="5"/>
      <c r="J15" s="2"/>
      <c r="K15" s="2"/>
      <c r="L15" s="2"/>
      <c r="M15" s="2"/>
    </row>
    <row r="16" spans="1:13" x14ac:dyDescent="0.2">
      <c r="C16" s="28" t="e" cm="1" vm="1">
        <f t="array" aca="1" ref="C16" ca="1">_xlfn._xlws.FILTER(data_brute!A:H,data_brute!H:H&gt;D11,"")</f>
        <v>#VALUE!</v>
      </c>
      <c r="D16" s="74"/>
      <c r="E16" s="28"/>
      <c r="F16" s="28"/>
      <c r="G16" s="28"/>
      <c r="H16" s="36"/>
      <c r="I16" s="2"/>
      <c r="J16" s="2"/>
      <c r="K16" s="2"/>
      <c r="L16" s="2"/>
      <c r="M16" s="2" t="e" cm="1" vm="2">
        <f t="array" aca="1" ref="M16" ca="1">_xlfn._xlws.FILTER(data_brute!A:H,data_brute!H:H&gt;D12,"")</f>
        <v>#VALUE!</v>
      </c>
    </row>
    <row r="17" spans="3:10" x14ac:dyDescent="0.2">
      <c r="C17" s="28"/>
      <c r="D17" s="2"/>
      <c r="E17" s="2"/>
      <c r="F17" s="2"/>
      <c r="G17" s="2"/>
      <c r="H17" s="2"/>
      <c r="I17" s="2"/>
      <c r="J17" s="2"/>
    </row>
    <row r="18" spans="3:10" x14ac:dyDescent="0.2">
      <c r="C18" s="2"/>
      <c r="D18" s="2"/>
      <c r="E18" s="2"/>
      <c r="F18" s="2"/>
      <c r="G18" s="2"/>
      <c r="H18" s="2"/>
      <c r="I18" s="2"/>
      <c r="J18" s="2"/>
    </row>
    <row r="19" spans="3:10" x14ac:dyDescent="0.2">
      <c r="C19" s="2"/>
      <c r="D19" s="2"/>
      <c r="E19" s="2"/>
      <c r="F19" s="2"/>
      <c r="G19" s="2"/>
      <c r="H19" s="2"/>
      <c r="I19" s="2"/>
      <c r="J19" s="2"/>
    </row>
    <row r="20" spans="3:10" x14ac:dyDescent="0.2">
      <c r="C20" s="2"/>
      <c r="D20" s="2"/>
      <c r="E20" s="2"/>
      <c r="F20" s="2"/>
      <c r="G20" s="2"/>
      <c r="H20" s="2"/>
      <c r="I20" s="2"/>
      <c r="J20" s="2"/>
    </row>
    <row r="21" spans="3:10" x14ac:dyDescent="0.2">
      <c r="C21" s="2"/>
      <c r="D21" s="2"/>
      <c r="E21" s="2"/>
      <c r="F21" s="2"/>
      <c r="G21" s="2"/>
      <c r="H21" s="2"/>
      <c r="I21" s="2"/>
      <c r="J21" s="2"/>
    </row>
    <row r="22" spans="3:10" x14ac:dyDescent="0.2">
      <c r="C22" s="2"/>
      <c r="D22" s="2"/>
      <c r="E22" s="2"/>
      <c r="F22" s="2"/>
      <c r="G22" s="2"/>
      <c r="H22" s="2"/>
      <c r="I22" s="2"/>
      <c r="J22" s="2"/>
    </row>
    <row r="23" spans="3:10" x14ac:dyDescent="0.2">
      <c r="C23" s="2"/>
      <c r="D23" s="2"/>
      <c r="E23" s="2"/>
      <c r="F23" s="2"/>
      <c r="G23" s="2"/>
      <c r="H23" s="2"/>
      <c r="I23" s="2"/>
      <c r="J23" s="2"/>
    </row>
    <row r="24" spans="3:10" x14ac:dyDescent="0.2">
      <c r="C24" s="2"/>
      <c r="D24" s="2"/>
      <c r="E24" s="2"/>
      <c r="F24" s="2"/>
      <c r="G24" s="2"/>
      <c r="H24" s="2"/>
      <c r="I24" s="2"/>
      <c r="J24" s="2"/>
    </row>
    <row r="25" spans="3:10" x14ac:dyDescent="0.2">
      <c r="C25" s="2"/>
      <c r="D25" s="2"/>
      <c r="E25" s="2"/>
      <c r="F25" s="2"/>
      <c r="G25" s="2"/>
      <c r="H25" s="2"/>
      <c r="I25" s="2"/>
      <c r="J25" s="2"/>
    </row>
    <row r="26" spans="3:10" x14ac:dyDescent="0.2">
      <c r="C26" s="2"/>
      <c r="D26" s="2"/>
      <c r="E26" s="2"/>
      <c r="F26" s="2"/>
      <c r="G26" s="2"/>
      <c r="H26" s="2"/>
      <c r="I26" s="2"/>
      <c r="J26" s="2"/>
    </row>
    <row r="27" spans="3:10" x14ac:dyDescent="0.2">
      <c r="C27" s="2"/>
      <c r="D27" s="2"/>
      <c r="E27" s="2"/>
      <c r="F27" s="2"/>
      <c r="G27" s="2"/>
      <c r="H27" s="2"/>
      <c r="I27" s="2"/>
      <c r="J27" s="2"/>
    </row>
    <row r="28" spans="3:10" x14ac:dyDescent="0.2">
      <c r="C28" s="2"/>
      <c r="D28" s="2"/>
      <c r="E28" s="2"/>
      <c r="F28" s="2"/>
      <c r="G28" s="2"/>
      <c r="H28" s="2"/>
      <c r="I28" s="2"/>
      <c r="J28" s="2"/>
    </row>
    <row r="29" spans="3:10" x14ac:dyDescent="0.2">
      <c r="C29" s="2"/>
      <c r="D29" s="2"/>
      <c r="E29" s="2"/>
      <c r="F29" s="2"/>
      <c r="G29" s="2"/>
      <c r="H29" s="2"/>
      <c r="I29" s="2"/>
      <c r="J29" s="2"/>
    </row>
    <row r="30" spans="3:10" x14ac:dyDescent="0.2">
      <c r="C30" s="2"/>
      <c r="D30" s="2"/>
      <c r="E30" s="2"/>
      <c r="F30" s="2"/>
      <c r="G30" s="2"/>
      <c r="H30" s="2"/>
      <c r="I30" s="2"/>
      <c r="J30" s="2"/>
    </row>
    <row r="31" spans="3:10" x14ac:dyDescent="0.2">
      <c r="C31" s="2"/>
      <c r="D31" s="2"/>
      <c r="E31" s="2"/>
      <c r="F31" s="2"/>
      <c r="G31" s="2"/>
      <c r="H31" s="2"/>
      <c r="I31" s="2"/>
      <c r="J31" s="2"/>
    </row>
    <row r="32" spans="3:10" x14ac:dyDescent="0.2">
      <c r="C32" s="2"/>
      <c r="D32" s="2"/>
      <c r="E32" s="2"/>
      <c r="F32" s="2"/>
      <c r="G32" s="2"/>
      <c r="H32" s="2"/>
      <c r="I32" s="2"/>
      <c r="J32" s="2"/>
    </row>
    <row r="33" spans="3:10" x14ac:dyDescent="0.2">
      <c r="C33" s="2"/>
      <c r="D33" s="2"/>
      <c r="E33" s="2"/>
      <c r="F33" s="2"/>
      <c r="G33" s="2"/>
      <c r="H33" s="2"/>
      <c r="I33" s="2"/>
      <c r="J33" s="2"/>
    </row>
    <row r="34" spans="3:10" x14ac:dyDescent="0.2">
      <c r="C34" s="2"/>
      <c r="D34" s="2"/>
      <c r="E34" s="2"/>
      <c r="F34" s="2"/>
      <c r="G34" s="2"/>
      <c r="H34" s="2"/>
      <c r="I34" s="2"/>
      <c r="J34" s="2"/>
    </row>
    <row r="35" spans="3:10" x14ac:dyDescent="0.2">
      <c r="C35" s="2"/>
      <c r="D35" s="2"/>
      <c r="E35" s="2"/>
      <c r="F35" s="2"/>
      <c r="G35" s="2"/>
      <c r="H35" s="2"/>
      <c r="I35" s="2"/>
      <c r="J35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6</xdr:col>
                    <xdr:colOff>114300</xdr:colOff>
                    <xdr:row>3</xdr:row>
                    <xdr:rowOff>203200</xdr:rowOff>
                  </from>
                  <to>
                    <xdr:col>7</xdr:col>
                    <xdr:colOff>533400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7</xdr:col>
                    <xdr:colOff>673100</xdr:colOff>
                    <xdr:row>3</xdr:row>
                    <xdr:rowOff>177800</xdr:rowOff>
                  </from>
                  <to>
                    <xdr:col>8</xdr:col>
                    <xdr:colOff>850900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6</xdr:col>
                    <xdr:colOff>88900</xdr:colOff>
                    <xdr:row>1</xdr:row>
                    <xdr:rowOff>50800</xdr:rowOff>
                  </from>
                  <to>
                    <xdr:col>7</xdr:col>
                    <xdr:colOff>495300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DisplayDebutEquipe" altText="TARE">
                <anchor moveWithCells="1" sizeWithCells="1">
                  <from>
                    <xdr:col>4</xdr:col>
                    <xdr:colOff>622300</xdr:colOff>
                    <xdr:row>1</xdr:row>
                    <xdr:rowOff>76200</xdr:rowOff>
                  </from>
                  <to>
                    <xdr:col>5</xdr:col>
                    <xdr:colOff>787400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DisplayDebutOf" altText="TARE">
                <anchor moveWithCells="1" sizeWithCells="1">
                  <from>
                    <xdr:col>4</xdr:col>
                    <xdr:colOff>622300</xdr:colOff>
                    <xdr:row>3</xdr:row>
                    <xdr:rowOff>203200</xdr:rowOff>
                  </from>
                  <to>
                    <xdr:col>5</xdr:col>
                    <xdr:colOff>787400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8" name="Button 35">
              <controlPr defaultSize="0" print="0" autoFill="0" autoPict="0" macro="[0]!update_tar">
                <anchor moveWithCells="1" sizeWithCells="1">
                  <from>
                    <xdr:col>7</xdr:col>
                    <xdr:colOff>622300</xdr:colOff>
                    <xdr:row>1</xdr:row>
                    <xdr:rowOff>38100</xdr:rowOff>
                  </from>
                  <to>
                    <xdr:col>8</xdr:col>
                    <xdr:colOff>876300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I72"/>
  <sheetViews>
    <sheetView showGridLines="0" topLeftCell="S1" zoomScale="106" workbookViewId="0">
      <selection activeCell="AB3" sqref="AB3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13.1640625" bestFit="1" customWidth="1" collapsed="1"/>
    <col min="11" max="11" width="3.83203125" style="33" customWidth="1"/>
    <col min="12" max="12" width="4.33203125" customWidth="1"/>
    <col min="18" max="18" width="12.83203125" bestFit="1" customWidth="1"/>
    <col min="19" max="19" width="7.5" style="33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8"/>
    <col min="29" max="29" width="8.33203125" style="33" customWidth="1"/>
    <col min="30" max="30" width="7.5" customWidth="1"/>
    <col min="33" max="33" width="10.83203125" style="37"/>
  </cols>
  <sheetData>
    <row r="1" spans="2:35" x14ac:dyDescent="0.2">
      <c r="U1"/>
      <c r="V1"/>
      <c r="W1"/>
      <c r="X1"/>
      <c r="Y1"/>
      <c r="Z1"/>
      <c r="AA1"/>
      <c r="AB1" s="37"/>
    </row>
    <row r="2" spans="2:35" x14ac:dyDescent="0.2">
      <c r="B2" s="6" t="s">
        <v>10</v>
      </c>
      <c r="M2" s="5" t="s">
        <v>32</v>
      </c>
      <c r="U2" s="29" t="s">
        <v>90</v>
      </c>
      <c r="V2" s="3">
        <v>10</v>
      </c>
      <c r="X2" s="2" t="s">
        <v>91</v>
      </c>
      <c r="Y2" s="25">
        <f>F5-V2+1</f>
        <v>31</v>
      </c>
      <c r="Z2"/>
      <c r="AA2" s="2" t="s">
        <v>94</v>
      </c>
      <c r="AB2" s="39">
        <f ca="1">AVERAGE(OFFSET($AB$7, 0, 0, V2, 1))</f>
        <v>75.118788773958613</v>
      </c>
      <c r="AE2" s="6" t="s">
        <v>53</v>
      </c>
      <c r="AG2" s="46">
        <v>10</v>
      </c>
    </row>
    <row r="3" spans="2:35" x14ac:dyDescent="0.2">
      <c r="E3" s="14" t="s">
        <v>52</v>
      </c>
      <c r="F3" s="44">
        <f>ROW(data_brute!A2)</f>
        <v>2</v>
      </c>
      <c r="U3"/>
      <c r="V3"/>
      <c r="W3"/>
      <c r="X3" s="2" t="s">
        <v>92</v>
      </c>
      <c r="Y3" s="27">
        <f>F5</f>
        <v>40</v>
      </c>
      <c r="Z3"/>
      <c r="AA3" s="2" t="s">
        <v>93</v>
      </c>
      <c r="AB3" s="38">
        <f ca="1">AVERAGE(data_brute!H:H)</f>
        <v>74.566720031055709</v>
      </c>
    </row>
    <row r="4" spans="2:35" x14ac:dyDescent="0.2">
      <c r="B4" s="2" t="s">
        <v>6</v>
      </c>
      <c r="C4" s="23">
        <f>interface!C6</f>
        <v>80</v>
      </c>
      <c r="E4" s="14" t="s">
        <v>54</v>
      </c>
      <c r="F4" s="45">
        <f>COUNTA(data_brute!A:A)-1</f>
        <v>39</v>
      </c>
      <c r="M4" s="14" t="s">
        <v>28</v>
      </c>
      <c r="N4" s="35">
        <f>F4</f>
        <v>39</v>
      </c>
      <c r="O4" s="14"/>
      <c r="P4" s="14" t="s">
        <v>58</v>
      </c>
      <c r="Q4" s="2">
        <f>N4-SUMIFS(Q7:Q100,R7:R100,FALSE)</f>
        <v>39</v>
      </c>
      <c r="AI4" s="2"/>
    </row>
    <row r="5" spans="2:35" x14ac:dyDescent="0.2">
      <c r="E5" s="14" t="s">
        <v>55</v>
      </c>
      <c r="F5" s="2">
        <f>F3+F4-1</f>
        <v>40</v>
      </c>
    </row>
    <row r="6" spans="2:35" ht="17" thickBot="1" x14ac:dyDescent="0.25">
      <c r="B6" s="29" t="s">
        <v>20</v>
      </c>
      <c r="C6" s="30">
        <f>MATCH(TRUE,$D$10:$D$16,0)</f>
        <v>2</v>
      </c>
      <c r="M6" s="4" t="s">
        <v>40</v>
      </c>
      <c r="N6" s="4" t="s">
        <v>32</v>
      </c>
      <c r="O6" s="4" t="s">
        <v>45</v>
      </c>
      <c r="P6" s="4" t="s">
        <v>46</v>
      </c>
      <c r="Q6" s="4" t="s">
        <v>48</v>
      </c>
      <c r="R6" s="4" t="s">
        <v>16</v>
      </c>
      <c r="U6" s="67" t="str">
        <f>data_brute!A1</f>
        <v>Pesée</v>
      </c>
      <c r="V6" s="67" t="str">
        <f>data_brute!B1</f>
        <v>Date</v>
      </c>
      <c r="W6" s="67" t="str">
        <f>data_brute!C1</f>
        <v>Heure</v>
      </c>
      <c r="X6" s="67" t="str">
        <f>data_brute!D1</f>
        <v>Poids Brut</v>
      </c>
      <c r="Y6" s="67" t="str">
        <f>data_brute!E1</f>
        <v>Ligne</v>
      </c>
      <c r="Z6" s="67" t="str">
        <f>data_brute!F1</f>
        <v>Bobine</v>
      </c>
      <c r="AA6" s="67" t="str">
        <f>data_brute!G1</f>
        <v>Tare</v>
      </c>
      <c r="AB6" s="67" t="str">
        <f>data_brute!H1</f>
        <v>Poids net</v>
      </c>
      <c r="AE6" s="67" t="s">
        <v>51</v>
      </c>
      <c r="AF6" s="67" t="s">
        <v>46</v>
      </c>
      <c r="AG6" s="69" t="s">
        <v>50</v>
      </c>
      <c r="AH6" s="67" t="s">
        <v>56</v>
      </c>
    </row>
    <row r="7" spans="2:35" ht="17" thickTop="1" x14ac:dyDescent="0.2">
      <c r="M7" s="2">
        <v>1</v>
      </c>
      <c r="N7" s="2">
        <v>5</v>
      </c>
      <c r="O7" s="28">
        <f>F3</f>
        <v>2</v>
      </c>
      <c r="P7" s="2">
        <f>O7+N4-1</f>
        <v>40</v>
      </c>
      <c r="Q7" s="2">
        <f>P7-O7+1</f>
        <v>39</v>
      </c>
      <c r="R7" s="2" t="b">
        <v>1</v>
      </c>
      <c r="U7" s="65" cm="1">
        <f t="array" aca="1" ref="U7:AB16" ca="1">_xlfn._xlws.FILTER(data_brute!A:H,(data_brute!E:E&gt;=Y2)*(data_brute!E:E&lt;=Y3),"")</f>
        <v>30</v>
      </c>
      <c r="V7" s="61">
        <f ca="1"/>
        <v>0</v>
      </c>
      <c r="W7" s="62">
        <f ca="1"/>
        <v>0</v>
      </c>
      <c r="X7" s="63">
        <f ca="1"/>
        <v>75.324083138006543</v>
      </c>
      <c r="Y7" s="64">
        <f ca="1"/>
        <v>31</v>
      </c>
      <c r="Z7" s="64">
        <f ca="1"/>
        <v>1</v>
      </c>
      <c r="AA7" s="64">
        <f ca="1"/>
        <v>5</v>
      </c>
      <c r="AB7" s="66">
        <f ca="1"/>
        <v>70.324083138006543</v>
      </c>
      <c r="AE7" s="64">
        <f>F3</f>
        <v>2</v>
      </c>
      <c r="AF7" s="68">
        <f>AE7+$AG$2-1</f>
        <v>11</v>
      </c>
      <c r="AG7" s="38">
        <f ca="1">IFERROR(AVERAGEIFS(data_brute!H:H,data_brute!E:E,"&gt;="&amp;AE7,data_brute!E:E,"&lt;="&amp;AF7),NA())</f>
        <v>75.266716953825977</v>
      </c>
      <c r="AH7" s="68">
        <f ca="1">IF(AG7&lt;&gt;"",$AG$2*(ROW()-ROW($AH$6)),NA())</f>
        <v>10</v>
      </c>
    </row>
    <row r="8" spans="2:35" x14ac:dyDescent="0.2">
      <c r="B8" s="56" t="s">
        <v>6</v>
      </c>
      <c r="C8" s="57"/>
      <c r="D8" s="58" t="s">
        <v>16</v>
      </c>
      <c r="E8" s="56" t="s">
        <v>14</v>
      </c>
      <c r="F8" s="57"/>
      <c r="G8" s="7" t="s">
        <v>17</v>
      </c>
      <c r="H8" s="58" t="s">
        <v>19</v>
      </c>
      <c r="I8" s="56"/>
      <c r="J8" s="57"/>
      <c r="M8" s="2"/>
      <c r="N8" s="2"/>
      <c r="O8" s="2"/>
      <c r="P8" s="2"/>
      <c r="Q8" s="2"/>
      <c r="R8" s="2"/>
      <c r="U8" s="64">
        <f ca="1"/>
        <v>31</v>
      </c>
      <c r="V8" s="61">
        <f ca="1"/>
        <v>0</v>
      </c>
      <c r="W8" s="62">
        <f ca="1"/>
        <v>0</v>
      </c>
      <c r="X8" s="63">
        <f ca="1"/>
        <v>84.201963145301477</v>
      </c>
      <c r="Y8" s="64">
        <f ca="1"/>
        <v>32</v>
      </c>
      <c r="Z8" s="64">
        <f ca="1"/>
        <v>1</v>
      </c>
      <c r="AA8" s="64">
        <f ca="1"/>
        <v>5</v>
      </c>
      <c r="AB8" s="66">
        <f ca="1"/>
        <v>79.201963145301477</v>
      </c>
      <c r="AE8" s="68">
        <f>AF7+1</f>
        <v>12</v>
      </c>
      <c r="AF8" s="68">
        <f>AE8+$AG$2-1</f>
        <v>21</v>
      </c>
      <c r="AG8" s="38">
        <f ca="1">IFERROR(AVERAGEIFS(data_brute!H:H,data_brute!E:E,"&gt;="&amp;AE8,data_brute!E:E,"&lt;="&amp;AF8),NA())</f>
        <v>73.854840760318936</v>
      </c>
      <c r="AH8" s="68">
        <f ca="1">IF(AG8&lt;&gt;"",$AG$2*(ROW()-ROW($AH$6)),NA())</f>
        <v>20</v>
      </c>
    </row>
    <row r="9" spans="2:35" x14ac:dyDescent="0.2">
      <c r="B9" s="18" t="s">
        <v>11</v>
      </c>
      <c r="C9" s="19" t="s">
        <v>12</v>
      </c>
      <c r="D9" s="59"/>
      <c r="E9" s="18" t="s">
        <v>13</v>
      </c>
      <c r="F9" s="19" t="s">
        <v>15</v>
      </c>
      <c r="G9" s="24" t="s">
        <v>18</v>
      </c>
      <c r="H9" s="59"/>
      <c r="I9" s="18" t="s">
        <v>5</v>
      </c>
      <c r="J9" s="19" t="s">
        <v>9</v>
      </c>
      <c r="M9" s="2"/>
      <c r="N9" s="2"/>
      <c r="O9" s="2"/>
      <c r="P9" s="2"/>
      <c r="Q9" s="2"/>
      <c r="R9" s="2"/>
      <c r="U9" s="64">
        <f ca="1"/>
        <v>32</v>
      </c>
      <c r="V9" s="61">
        <f ca="1"/>
        <v>0</v>
      </c>
      <c r="W9" s="62">
        <f ca="1"/>
        <v>0</v>
      </c>
      <c r="X9" s="63">
        <f ca="1"/>
        <v>75.79878151713929</v>
      </c>
      <c r="Y9" s="64">
        <f ca="1"/>
        <v>33</v>
      </c>
      <c r="Z9" s="64">
        <f ca="1"/>
        <v>1</v>
      </c>
      <c r="AA9" s="64">
        <f ca="1"/>
        <v>5</v>
      </c>
      <c r="AB9" s="66">
        <f ca="1"/>
        <v>70.79878151713929</v>
      </c>
      <c r="AE9" s="68">
        <f t="shared" ref="AE9:AE42" si="0">AF8+1</f>
        <v>22</v>
      </c>
      <c r="AF9" s="68">
        <f t="shared" ref="AF9:AF42" si="1">AE9+$AG$2-1</f>
        <v>31</v>
      </c>
      <c r="AG9" s="38">
        <f ca="1">IFERROR(AVERAGEIFS(data_brute!H:H,data_brute!E:E,"&gt;="&amp;AE9,data_brute!E:E,"&lt;="&amp;AF9),NA())</f>
        <v>73.602269946814431</v>
      </c>
      <c r="AH9" s="68">
        <f t="shared" ref="AH9:AH42" ca="1" si="2">IF(AG9&lt;&gt;"",$AG$2*(ROW()-ROW($AH$6)),NA())</f>
        <v>30</v>
      </c>
    </row>
    <row r="10" spans="2:35" x14ac:dyDescent="0.2">
      <c r="B10" s="8">
        <v>5</v>
      </c>
      <c r="C10" s="9">
        <v>50</v>
      </c>
      <c r="D10" s="12" t="b">
        <f t="shared" ref="D10:D16" si="3">IF(AND($C$4&gt;=B10,$C$4&lt;C10),TRUE,FALSE)</f>
        <v>0</v>
      </c>
      <c r="E10" s="15">
        <v>9</v>
      </c>
      <c r="F10" s="16"/>
      <c r="G10" s="25" cm="1">
        <f t="array" ref="G10">_xlfn.IFS(AND(E10&lt;&gt;"",F10=""),1,AND(E10="",F10&lt;&gt;""),2,AND(E10="",F10&lt;&gt;""),0)</f>
        <v>1</v>
      </c>
      <c r="H10" s="25">
        <f>IF(G10=1,E10,F10)</f>
        <v>9</v>
      </c>
      <c r="I10" s="8" t="str" cm="1">
        <f t="array" ref="I10">_xlfn.IFS(AND(D10,G10=1),H10*$C$4/100,AND(D10,G10=2),H10,NOT(D10),"")</f>
        <v/>
      </c>
      <c r="J10" s="9" t="str">
        <f>IF(I10="","",2*I10)</f>
        <v/>
      </c>
      <c r="M10" s="2"/>
      <c r="N10" s="2"/>
      <c r="O10" s="2"/>
      <c r="P10" s="2"/>
      <c r="Q10" s="2"/>
      <c r="R10" s="2"/>
      <c r="U10" s="64">
        <f ca="1"/>
        <v>33</v>
      </c>
      <c r="V10" s="61">
        <f ca="1"/>
        <v>0</v>
      </c>
      <c r="W10" s="62">
        <f ca="1"/>
        <v>0</v>
      </c>
      <c r="X10" s="63">
        <f ca="1"/>
        <v>84.392975016154622</v>
      </c>
      <c r="Y10" s="64">
        <f ca="1"/>
        <v>34</v>
      </c>
      <c r="Z10" s="64">
        <f ca="1"/>
        <v>1</v>
      </c>
      <c r="AA10" s="64">
        <f ca="1"/>
        <v>5</v>
      </c>
      <c r="AB10" s="66">
        <f ca="1"/>
        <v>79.392975016154622</v>
      </c>
      <c r="AE10" s="68">
        <f t="shared" si="0"/>
        <v>32</v>
      </c>
      <c r="AF10" s="68">
        <f t="shared" si="1"/>
        <v>41</v>
      </c>
      <c r="AG10" s="38">
        <f ca="1">IFERROR(AVERAGEIFS(data_brute!H:H,data_brute!E:E,"&gt;="&amp;AE10,data_brute!E:E,"&lt;="&amp;AF10),NA())</f>
        <v>75.651533844619962</v>
      </c>
      <c r="AH10" s="68">
        <f t="shared" ca="1" si="2"/>
        <v>40</v>
      </c>
    </row>
    <row r="11" spans="2:35" x14ac:dyDescent="0.2">
      <c r="B11" s="8">
        <v>50</v>
      </c>
      <c r="C11" s="9">
        <v>100</v>
      </c>
      <c r="D11" s="12" t="b">
        <f t="shared" si="3"/>
        <v>1</v>
      </c>
      <c r="E11" s="8"/>
      <c r="F11" s="9">
        <v>4.5</v>
      </c>
      <c r="G11" s="26" cm="1">
        <f t="array" ref="G11">_xlfn.IFS(AND(E11&lt;&gt;"",F11=""),1,AND(E11="",F11&lt;&gt;""),2,AND(E11="",F11&lt;&gt;""),0)</f>
        <v>2</v>
      </c>
      <c r="H11" s="26">
        <f t="shared" ref="H11:H16" si="4">IF(G11=1,E11,F11)</f>
        <v>4.5</v>
      </c>
      <c r="I11" s="8" cm="1">
        <f t="array" ref="I11">_xlfn.IFS(AND(D11,G11=1),H11*$C$4/100,AND(D11,G11=2),H11,NOT(D11),"")</f>
        <v>4.5</v>
      </c>
      <c r="J11" s="9">
        <f t="shared" ref="J11:J16" si="5">IF(I11="","",2*I11)</f>
        <v>9</v>
      </c>
      <c r="K11" s="9"/>
      <c r="L11" s="2"/>
      <c r="M11" s="2"/>
      <c r="N11" s="2"/>
      <c r="O11" s="2"/>
      <c r="P11" s="2"/>
      <c r="Q11" s="2"/>
      <c r="R11" s="2"/>
      <c r="U11" s="64">
        <f ca="1"/>
        <v>34</v>
      </c>
      <c r="V11" s="61">
        <f ca="1"/>
        <v>0</v>
      </c>
      <c r="W11" s="62">
        <f ca="1"/>
        <v>0</v>
      </c>
      <c r="X11" s="63">
        <f ca="1"/>
        <v>80.023637746655382</v>
      </c>
      <c r="Y11" s="64">
        <f ca="1"/>
        <v>35</v>
      </c>
      <c r="Z11" s="64">
        <f ca="1"/>
        <v>1</v>
      </c>
      <c r="AA11" s="64">
        <f ca="1"/>
        <v>5</v>
      </c>
      <c r="AB11" s="66">
        <f ca="1"/>
        <v>75.023637746655382</v>
      </c>
      <c r="AE11" s="68">
        <f t="shared" si="0"/>
        <v>42</v>
      </c>
      <c r="AF11" s="68">
        <f t="shared" si="1"/>
        <v>51</v>
      </c>
      <c r="AG11" s="38" t="e">
        <f>IFERROR(AVERAGEIFS(data_brute!H:H,data_brute!E:E,"&gt;="&amp;AE11,data_brute!E:E,"&lt;="&amp;AF11),NA())</f>
        <v>#N/A</v>
      </c>
      <c r="AH11" s="68" t="e">
        <f t="shared" si="2"/>
        <v>#N/A</v>
      </c>
    </row>
    <row r="12" spans="2:35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6" cm="1">
        <f t="array" ref="G12">_xlfn.IFS(AND(E12&lt;&gt;"",F12=""),1,AND(E12="",F12&lt;&gt;""),2,AND(E12="",F12&lt;&gt;""),0)</f>
        <v>1</v>
      </c>
      <c r="H12" s="26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64">
        <f ca="1"/>
        <v>35</v>
      </c>
      <c r="V12" s="61">
        <f ca="1"/>
        <v>0</v>
      </c>
      <c r="W12" s="62">
        <f ca="1"/>
        <v>0</v>
      </c>
      <c r="X12" s="63">
        <f ca="1"/>
        <v>76.567785693407103</v>
      </c>
      <c r="Y12" s="64">
        <f ca="1"/>
        <v>36</v>
      </c>
      <c r="Z12" s="64">
        <f ca="1"/>
        <v>1</v>
      </c>
      <c r="AA12" s="64">
        <f ca="1"/>
        <v>5</v>
      </c>
      <c r="AB12" s="66">
        <f ca="1"/>
        <v>71.567785693407103</v>
      </c>
      <c r="AE12" s="68">
        <f t="shared" si="0"/>
        <v>52</v>
      </c>
      <c r="AF12" s="68">
        <f t="shared" si="1"/>
        <v>61</v>
      </c>
      <c r="AG12" s="38" t="e">
        <f>IFERROR(AVERAGEIFS(data_brute!H:H,data_brute!E:E,"&gt;="&amp;AE12,data_brute!E:E,"&lt;="&amp;AF12),NA())</f>
        <v>#N/A</v>
      </c>
      <c r="AH12" s="68" t="e">
        <f t="shared" si="2"/>
        <v>#N/A</v>
      </c>
    </row>
    <row r="13" spans="2:35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6" cm="1">
        <f t="array" ref="G13">_xlfn.IFS(AND(E13&lt;&gt;"",F13=""),1,AND(E13="",F13&lt;&gt;""),2,AND(E13="",F13&lt;&gt;""),0)</f>
        <v>2</v>
      </c>
      <c r="H13" s="26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U13" s="64">
        <f ca="1"/>
        <v>36</v>
      </c>
      <c r="V13" s="61">
        <f ca="1"/>
        <v>0</v>
      </c>
      <c r="W13" s="62">
        <f ca="1"/>
        <v>0</v>
      </c>
      <c r="X13" s="63">
        <f ca="1"/>
        <v>80.384697011724526</v>
      </c>
      <c r="Y13" s="64">
        <f ca="1"/>
        <v>37</v>
      </c>
      <c r="Z13" s="64">
        <f ca="1"/>
        <v>1</v>
      </c>
      <c r="AA13" s="64">
        <f ca="1"/>
        <v>5</v>
      </c>
      <c r="AB13" s="66">
        <f ca="1"/>
        <v>75.384697011724526</v>
      </c>
      <c r="AE13" s="68">
        <f t="shared" si="0"/>
        <v>62</v>
      </c>
      <c r="AF13" s="68">
        <f t="shared" si="1"/>
        <v>71</v>
      </c>
      <c r="AG13" s="38" t="e">
        <f>IFERROR(AVERAGEIFS(data_brute!H:H,data_brute!E:E,"&gt;="&amp;AE13,data_brute!E:E,"&lt;="&amp;AF13),NA())</f>
        <v>#N/A</v>
      </c>
      <c r="AH13" s="68" t="e">
        <f t="shared" si="2"/>
        <v>#N/A</v>
      </c>
    </row>
    <row r="14" spans="2:35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6" cm="1">
        <f t="array" ref="G14">_xlfn.IFS(AND(E14&lt;&gt;"",F14=""),1,AND(E14="",F14&lt;&gt;""),2,AND(E14="",F14&lt;&gt;""),0)</f>
        <v>1</v>
      </c>
      <c r="H14" s="26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U14" s="64">
        <f ca="1"/>
        <v>37</v>
      </c>
      <c r="V14" s="61">
        <f ca="1"/>
        <v>0</v>
      </c>
      <c r="W14" s="62">
        <f ca="1"/>
        <v>0</v>
      </c>
      <c r="X14" s="63">
        <f ca="1"/>
        <v>83.041650067513814</v>
      </c>
      <c r="Y14" s="64">
        <f ca="1"/>
        <v>38</v>
      </c>
      <c r="Z14" s="64">
        <f ca="1"/>
        <v>1</v>
      </c>
      <c r="AA14" s="64">
        <f ca="1"/>
        <v>5</v>
      </c>
      <c r="AB14" s="66">
        <f ca="1"/>
        <v>78.041650067513814</v>
      </c>
      <c r="AE14" s="68">
        <f t="shared" si="0"/>
        <v>72</v>
      </c>
      <c r="AF14" s="68">
        <f t="shared" si="1"/>
        <v>81</v>
      </c>
      <c r="AG14" s="38" t="e">
        <f>IFERROR(AVERAGEIFS(data_brute!H:H,data_brute!E:E,"&gt;="&amp;AE14,data_brute!E:E,"&lt;="&amp;AF14),NA())</f>
        <v>#N/A</v>
      </c>
      <c r="AH14" s="68" t="e">
        <f t="shared" si="2"/>
        <v>#N/A</v>
      </c>
    </row>
    <row r="15" spans="2:35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6" cm="1">
        <f t="array" ref="G15">_xlfn.IFS(AND(E15&lt;&gt;"",F15=""),1,AND(E15="",F15&lt;&gt;""),2,AND(E15="",F15&lt;&gt;""),0)</f>
        <v>2</v>
      </c>
      <c r="H15" s="26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U15" s="64">
        <f ca="1"/>
        <v>38</v>
      </c>
      <c r="V15" s="61">
        <f ca="1"/>
        <v>0</v>
      </c>
      <c r="W15" s="62">
        <f ca="1"/>
        <v>0</v>
      </c>
      <c r="X15" s="63">
        <f ca="1"/>
        <v>76.691340342848036</v>
      </c>
      <c r="Y15" s="64">
        <f ca="1"/>
        <v>39</v>
      </c>
      <c r="Z15" s="64">
        <f ca="1"/>
        <v>1</v>
      </c>
      <c r="AA15" s="64">
        <f ca="1"/>
        <v>5</v>
      </c>
      <c r="AB15" s="66">
        <f ca="1"/>
        <v>71.691340342848036</v>
      </c>
      <c r="AE15" s="68">
        <f t="shared" si="0"/>
        <v>82</v>
      </c>
      <c r="AF15" s="68">
        <f t="shared" si="1"/>
        <v>91</v>
      </c>
      <c r="AG15" s="38" t="e">
        <f>IFERROR(AVERAGEIFS(data_brute!H:H,data_brute!E:E,"&gt;="&amp;AE15,data_brute!E:E,"&lt;="&amp;AF15),NA())</f>
        <v>#N/A</v>
      </c>
      <c r="AH15" s="68" t="e">
        <f t="shared" si="2"/>
        <v>#N/A</v>
      </c>
    </row>
    <row r="16" spans="2:35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7" cm="1">
        <f t="array" ref="G16">_xlfn.IFS(AND(E16&lt;&gt;"",F16=""),1,AND(E16="",F16&lt;&gt;""),2,AND(E16="",F16&lt;&gt;""),0)</f>
        <v>1</v>
      </c>
      <c r="H16" s="27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U16" s="64">
        <f ca="1"/>
        <v>39</v>
      </c>
      <c r="V16" s="61">
        <f ca="1"/>
        <v>0</v>
      </c>
      <c r="W16" s="62">
        <f ca="1"/>
        <v>0</v>
      </c>
      <c r="X16" s="63">
        <f ca="1"/>
        <v>84.760974060835451</v>
      </c>
      <c r="Y16" s="64">
        <f ca="1"/>
        <v>40</v>
      </c>
      <c r="Z16" s="64">
        <f ca="1"/>
        <v>1</v>
      </c>
      <c r="AA16" s="64">
        <f ca="1"/>
        <v>5</v>
      </c>
      <c r="AB16" s="66">
        <f ca="1"/>
        <v>79.760974060835451</v>
      </c>
      <c r="AE16" s="68">
        <f t="shared" si="0"/>
        <v>92</v>
      </c>
      <c r="AF16" s="68">
        <f t="shared" si="1"/>
        <v>101</v>
      </c>
      <c r="AG16" s="38" t="e">
        <f>IFERROR(AVERAGEIFS(data_brute!H:H,data_brute!E:E,"&gt;="&amp;AE16,data_brute!E:E,"&lt;="&amp;AF16),NA())</f>
        <v>#N/A</v>
      </c>
      <c r="AH16" s="68" t="e">
        <f t="shared" si="2"/>
        <v>#N/A</v>
      </c>
    </row>
    <row r="17" spans="2:34" x14ac:dyDescent="0.2">
      <c r="U17" s="5"/>
      <c r="AE17" s="68">
        <f t="shared" si="0"/>
        <v>102</v>
      </c>
      <c r="AF17" s="68">
        <f t="shared" si="1"/>
        <v>111</v>
      </c>
      <c r="AG17" s="38" t="e">
        <f>IFERROR(AVERAGEIFS(data_brute!H:H,data_brute!E:E,"&gt;="&amp;AE17,data_brute!E:E,"&lt;="&amp;AF17),NA())</f>
        <v>#N/A</v>
      </c>
      <c r="AH17" s="68" t="e">
        <f t="shared" si="2"/>
        <v>#N/A</v>
      </c>
    </row>
    <row r="18" spans="2:34" x14ac:dyDescent="0.2">
      <c r="B18" s="15" t="s">
        <v>5</v>
      </c>
      <c r="C18" s="16" cm="1">
        <f t="array" ref="C18">C4-INDEX($I$10:$I$16,$C$6)</f>
        <v>75.5</v>
      </c>
      <c r="AE18" s="68">
        <f t="shared" si="0"/>
        <v>112</v>
      </c>
      <c r="AF18" s="68">
        <f t="shared" si="1"/>
        <v>121</v>
      </c>
      <c r="AG18" s="38" t="e">
        <f>IFERROR(AVERAGEIFS(data_brute!H:H,data_brute!E:E,"&gt;="&amp;AE18,data_brute!E:E,"&lt;="&amp;AF18),NA())</f>
        <v>#N/A</v>
      </c>
      <c r="AH18" s="68" t="e">
        <f t="shared" si="2"/>
        <v>#N/A</v>
      </c>
    </row>
    <row r="19" spans="2:34" x14ac:dyDescent="0.2">
      <c r="B19" s="10" t="s">
        <v>9</v>
      </c>
      <c r="C19" s="11" cm="1">
        <f t="array" ref="C19">C4-INDEX($J$10:$J$16,$C$6)</f>
        <v>71</v>
      </c>
      <c r="AE19" s="68">
        <f t="shared" si="0"/>
        <v>122</v>
      </c>
      <c r="AF19" s="68">
        <f t="shared" si="1"/>
        <v>131</v>
      </c>
      <c r="AG19" s="38" t="e">
        <f>IFERROR(AVERAGEIFS(data_brute!H:H,data_brute!E:E,"&gt;="&amp;AE19,data_brute!E:E,"&lt;="&amp;AF19),NA())</f>
        <v>#N/A</v>
      </c>
      <c r="AH19" s="68" t="e">
        <f t="shared" si="2"/>
        <v>#N/A</v>
      </c>
    </row>
    <row r="20" spans="2:34" x14ac:dyDescent="0.2">
      <c r="AE20" s="68">
        <f t="shared" si="0"/>
        <v>132</v>
      </c>
      <c r="AF20" s="68">
        <f t="shared" si="1"/>
        <v>141</v>
      </c>
      <c r="AG20" s="38" t="e">
        <f>IFERROR(AVERAGEIFS(data_brute!H:H,data_brute!E:E,"&gt;="&amp;AE20,data_brute!E:E,"&lt;="&amp;AF20),NA())</f>
        <v>#N/A</v>
      </c>
      <c r="AH20" s="68" t="e">
        <f t="shared" si="2"/>
        <v>#N/A</v>
      </c>
    </row>
    <row r="21" spans="2:34" x14ac:dyDescent="0.2">
      <c r="B21" s="15" t="s">
        <v>21</v>
      </c>
      <c r="C21" s="16">
        <f>C4-C18</f>
        <v>4.5</v>
      </c>
      <c r="AE21" s="68">
        <f t="shared" si="0"/>
        <v>142</v>
      </c>
      <c r="AF21" s="68">
        <f t="shared" si="1"/>
        <v>151</v>
      </c>
      <c r="AG21" s="38" t="e">
        <f>IFERROR(AVERAGEIFS(data_brute!H:H,data_brute!E:E,"&gt;="&amp;AE21,data_brute!E:E,"&lt;="&amp;AF21),NA())</f>
        <v>#N/A</v>
      </c>
      <c r="AH21" s="68" t="e">
        <f t="shared" si="2"/>
        <v>#N/A</v>
      </c>
    </row>
    <row r="22" spans="2:34" x14ac:dyDescent="0.2">
      <c r="B22" s="8" t="s">
        <v>23</v>
      </c>
      <c r="C22" s="48">
        <f>1/6</f>
        <v>0.16666666666666666</v>
      </c>
      <c r="AE22" s="68">
        <f t="shared" si="0"/>
        <v>152</v>
      </c>
      <c r="AF22" s="68">
        <f t="shared" si="1"/>
        <v>161</v>
      </c>
      <c r="AG22" s="38" t="e">
        <f>IFERROR(AVERAGEIFS(data_brute!H:H,data_brute!E:E,"&gt;="&amp;AE22,data_brute!E:E,"&lt;="&amp;AF22),NA())</f>
        <v>#N/A</v>
      </c>
      <c r="AH22" s="68" t="e">
        <f t="shared" si="2"/>
        <v>#N/A</v>
      </c>
    </row>
    <row r="23" spans="2:34" x14ac:dyDescent="0.2">
      <c r="B23" s="10" t="s">
        <v>22</v>
      </c>
      <c r="C23" s="42">
        <f>C21*C22</f>
        <v>0.75</v>
      </c>
      <c r="AE23" s="68">
        <f t="shared" si="0"/>
        <v>162</v>
      </c>
      <c r="AF23" s="68">
        <f t="shared" si="1"/>
        <v>171</v>
      </c>
      <c r="AG23" s="38" t="e">
        <f>IFERROR(AVERAGEIFS(data_brute!H:H,data_brute!E:E,"&gt;="&amp;AE23,data_brute!E:E,"&lt;="&amp;AF23),NA())</f>
        <v>#N/A</v>
      </c>
      <c r="AH23" s="68" t="e">
        <f t="shared" si="2"/>
        <v>#N/A</v>
      </c>
    </row>
    <row r="24" spans="2:34" x14ac:dyDescent="0.2">
      <c r="AE24" s="68">
        <f t="shared" si="0"/>
        <v>172</v>
      </c>
      <c r="AF24" s="68">
        <f t="shared" si="1"/>
        <v>181</v>
      </c>
      <c r="AG24" s="38" t="e">
        <f>IFERROR(AVERAGEIFS(data_brute!H:H,data_brute!E:E,"&gt;="&amp;AE24,data_brute!E:E,"&lt;="&amp;AF24),NA())</f>
        <v>#N/A</v>
      </c>
      <c r="AH24" s="68" t="e">
        <f t="shared" si="2"/>
        <v>#N/A</v>
      </c>
    </row>
    <row r="25" spans="2:34" x14ac:dyDescent="0.2">
      <c r="B25" s="15" t="s">
        <v>24</v>
      </c>
      <c r="C25" s="17">
        <f>C4-C23</f>
        <v>79.25</v>
      </c>
      <c r="AE25" s="68">
        <f t="shared" si="0"/>
        <v>182</v>
      </c>
      <c r="AF25" s="68">
        <f t="shared" si="1"/>
        <v>191</v>
      </c>
      <c r="AG25" s="38" t="e">
        <f>IFERROR(AVERAGEIFS(data_brute!H:H,data_brute!E:E,"&gt;="&amp;AE25,data_brute!E:E,"&lt;="&amp;AF25),NA())</f>
        <v>#N/A</v>
      </c>
      <c r="AH25" s="68" t="e">
        <f t="shared" si="2"/>
        <v>#N/A</v>
      </c>
    </row>
    <row r="26" spans="2:34" x14ac:dyDescent="0.2">
      <c r="B26" s="10" t="s">
        <v>25</v>
      </c>
      <c r="C26" s="42">
        <f>C4+C23</f>
        <v>80.75</v>
      </c>
      <c r="AE26" s="68">
        <f t="shared" si="0"/>
        <v>192</v>
      </c>
      <c r="AF26" s="68">
        <f t="shared" si="1"/>
        <v>201</v>
      </c>
      <c r="AG26" s="38" t="e">
        <f>IFERROR(AVERAGEIFS(data_brute!H:H,data_brute!E:E,"&gt;="&amp;AE26,data_brute!E:E,"&lt;="&amp;AF26),NA())</f>
        <v>#N/A</v>
      </c>
      <c r="AH26" s="68" t="e">
        <f t="shared" si="2"/>
        <v>#N/A</v>
      </c>
    </row>
    <row r="27" spans="2:34" x14ac:dyDescent="0.2">
      <c r="AE27" s="68">
        <f t="shared" si="0"/>
        <v>202</v>
      </c>
      <c r="AF27" s="68">
        <f t="shared" si="1"/>
        <v>211</v>
      </c>
      <c r="AG27" s="38" t="e">
        <f>IFERROR(AVERAGEIFS(data_brute!H:H,data_brute!E:E,"&gt;="&amp;AE27,data_brute!E:E,"&lt;="&amp;AF27),NA())</f>
        <v>#N/A</v>
      </c>
      <c r="AH27" s="68" t="e">
        <f t="shared" si="2"/>
        <v>#N/A</v>
      </c>
    </row>
    <row r="28" spans="2:34" x14ac:dyDescent="0.2">
      <c r="B28" s="2"/>
      <c r="C28" s="2"/>
      <c r="G28">
        <f>G27+1</f>
        <v>1</v>
      </c>
      <c r="H28">
        <f>$C$17</f>
        <v>0</v>
      </c>
      <c r="AE28" s="68">
        <f t="shared" si="0"/>
        <v>212</v>
      </c>
      <c r="AF28" s="68">
        <f t="shared" si="1"/>
        <v>221</v>
      </c>
      <c r="AG28" s="38" t="e">
        <f>IFERROR(AVERAGEIFS(data_brute!H:H,data_brute!E:E,"&gt;="&amp;AE28,data_brute!E:E,"&lt;="&amp;AF28),NA())</f>
        <v>#N/A</v>
      </c>
      <c r="AH28" s="68" t="e">
        <f t="shared" si="2"/>
        <v>#N/A</v>
      </c>
    </row>
    <row r="29" spans="2:34" x14ac:dyDescent="0.2">
      <c r="B29" s="2"/>
      <c r="C29" s="2"/>
      <c r="AE29" s="68">
        <f t="shared" si="0"/>
        <v>222</v>
      </c>
      <c r="AF29" s="68">
        <f t="shared" si="1"/>
        <v>231</v>
      </c>
      <c r="AG29" s="38" t="e">
        <f>IFERROR(AVERAGEIFS(data_brute!H:H,data_brute!E:E,"&gt;="&amp;AE29,data_brute!E:E,"&lt;="&amp;AF29),NA())</f>
        <v>#N/A</v>
      </c>
      <c r="AH29" s="68" t="e">
        <f t="shared" si="2"/>
        <v>#N/A</v>
      </c>
    </row>
    <row r="30" spans="2:34" x14ac:dyDescent="0.2">
      <c r="AE30" s="68">
        <f t="shared" si="0"/>
        <v>232</v>
      </c>
      <c r="AF30" s="68">
        <f t="shared" si="1"/>
        <v>241</v>
      </c>
      <c r="AG30" s="38" t="e">
        <f>IFERROR(AVERAGEIFS(data_brute!H:H,data_brute!E:E,"&gt;="&amp;AE30,data_brute!E:E,"&lt;="&amp;AF30),NA())</f>
        <v>#N/A</v>
      </c>
      <c r="AH30" s="68" t="e">
        <f t="shared" si="2"/>
        <v>#N/A</v>
      </c>
    </row>
    <row r="31" spans="2:34" x14ac:dyDescent="0.2">
      <c r="B31" s="31"/>
      <c r="AE31" s="68">
        <f t="shared" si="0"/>
        <v>242</v>
      </c>
      <c r="AF31" s="68">
        <f t="shared" si="1"/>
        <v>251</v>
      </c>
      <c r="AG31" s="38" t="e">
        <f>IFERROR(AVERAGEIFS(data_brute!H:H,data_brute!E:E,"&gt;="&amp;AE31,data_brute!E:E,"&lt;="&amp;AF31),NA())</f>
        <v>#N/A</v>
      </c>
      <c r="AH31" s="68" t="e">
        <f t="shared" si="2"/>
        <v>#N/A</v>
      </c>
    </row>
    <row r="32" spans="2:34" x14ac:dyDescent="0.2">
      <c r="AE32" s="68">
        <f t="shared" si="0"/>
        <v>252</v>
      </c>
      <c r="AF32" s="68">
        <f t="shared" si="1"/>
        <v>261</v>
      </c>
      <c r="AG32" s="38" t="e">
        <f>IFERROR(AVERAGEIFS(data_brute!H:H,data_brute!E:E,"&gt;="&amp;AE32,data_brute!E:E,"&lt;="&amp;AF32),NA())</f>
        <v>#N/A</v>
      </c>
      <c r="AH32" s="68" t="e">
        <f t="shared" si="2"/>
        <v>#N/A</v>
      </c>
    </row>
    <row r="33" spans="11:34" x14ac:dyDescent="0.2">
      <c r="AE33" s="68">
        <f t="shared" si="0"/>
        <v>262</v>
      </c>
      <c r="AF33" s="68">
        <f t="shared" si="1"/>
        <v>271</v>
      </c>
      <c r="AG33" s="38" t="e">
        <f>IFERROR(AVERAGEIFS(data_brute!H:H,data_brute!E:E,"&gt;="&amp;AE33,data_brute!E:E,"&lt;="&amp;AF33),NA())</f>
        <v>#N/A</v>
      </c>
      <c r="AH33" s="68" t="e">
        <f t="shared" si="2"/>
        <v>#N/A</v>
      </c>
    </row>
    <row r="34" spans="11:34" s="2" customFormat="1" x14ac:dyDescent="0.2">
      <c r="K34" s="9"/>
      <c r="S34" s="9"/>
      <c r="AB34" s="38"/>
      <c r="AC34" s="9"/>
      <c r="AE34" s="68">
        <f t="shared" si="0"/>
        <v>272</v>
      </c>
      <c r="AF34" s="68">
        <f t="shared" si="1"/>
        <v>281</v>
      </c>
      <c r="AG34" s="38" t="e">
        <f>IFERROR(AVERAGEIFS(data_brute!H:H,data_brute!E:E,"&gt;="&amp;AE34,data_brute!E:E,"&lt;="&amp;AF34),NA())</f>
        <v>#N/A</v>
      </c>
      <c r="AH34" s="68" t="e">
        <f t="shared" si="2"/>
        <v>#N/A</v>
      </c>
    </row>
    <row r="35" spans="11:34" x14ac:dyDescent="0.2">
      <c r="AE35" s="68">
        <f t="shared" si="0"/>
        <v>282</v>
      </c>
      <c r="AF35" s="68">
        <f t="shared" si="1"/>
        <v>291</v>
      </c>
      <c r="AG35" s="38" t="e">
        <f>IFERROR(AVERAGEIFS(data_brute!H:H,data_brute!E:E,"&gt;="&amp;AE35,data_brute!E:E,"&lt;="&amp;AF35),NA())</f>
        <v>#N/A</v>
      </c>
      <c r="AH35" s="68" t="e">
        <f t="shared" si="2"/>
        <v>#N/A</v>
      </c>
    </row>
    <row r="36" spans="11:34" x14ac:dyDescent="0.2">
      <c r="AE36" s="68">
        <f t="shared" si="0"/>
        <v>292</v>
      </c>
      <c r="AF36" s="68">
        <f t="shared" si="1"/>
        <v>301</v>
      </c>
      <c r="AG36" s="38" t="e">
        <f>IFERROR(AVERAGEIFS(data_brute!H:H,data_brute!E:E,"&gt;="&amp;AE36,data_brute!E:E,"&lt;="&amp;AF36),NA())</f>
        <v>#N/A</v>
      </c>
      <c r="AH36" s="68" t="e">
        <f t="shared" si="2"/>
        <v>#N/A</v>
      </c>
    </row>
    <row r="37" spans="11:34" x14ac:dyDescent="0.2">
      <c r="AE37" s="68">
        <f t="shared" si="0"/>
        <v>302</v>
      </c>
      <c r="AF37" s="68">
        <f t="shared" si="1"/>
        <v>311</v>
      </c>
      <c r="AG37" s="38" t="e">
        <f>IFERROR(AVERAGEIFS(data_brute!H:H,data_brute!E:E,"&gt;="&amp;AE37,data_brute!E:E,"&lt;="&amp;AF37),NA())</f>
        <v>#N/A</v>
      </c>
      <c r="AH37" s="68" t="e">
        <f t="shared" si="2"/>
        <v>#N/A</v>
      </c>
    </row>
    <row r="38" spans="11:34" x14ac:dyDescent="0.2">
      <c r="AE38" s="68">
        <f t="shared" si="0"/>
        <v>312</v>
      </c>
      <c r="AF38" s="68">
        <f t="shared" si="1"/>
        <v>321</v>
      </c>
      <c r="AG38" s="38" t="e">
        <f>IFERROR(AVERAGEIFS(data_brute!H:H,data_brute!E:E,"&gt;="&amp;AE38,data_brute!E:E,"&lt;="&amp;AF38),NA())</f>
        <v>#N/A</v>
      </c>
      <c r="AH38" s="68" t="e">
        <f t="shared" si="2"/>
        <v>#N/A</v>
      </c>
    </row>
    <row r="39" spans="11:34" x14ac:dyDescent="0.2">
      <c r="AE39" s="68">
        <f t="shared" si="0"/>
        <v>322</v>
      </c>
      <c r="AF39" s="68">
        <f t="shared" si="1"/>
        <v>331</v>
      </c>
      <c r="AG39" s="38" t="e">
        <f>IFERROR(AVERAGEIFS(data_brute!H:H,data_brute!E:E,"&gt;="&amp;AE39,data_brute!E:E,"&lt;="&amp;AF39),NA())</f>
        <v>#N/A</v>
      </c>
      <c r="AH39" s="68" t="e">
        <f t="shared" si="2"/>
        <v>#N/A</v>
      </c>
    </row>
    <row r="40" spans="11:34" x14ac:dyDescent="0.2">
      <c r="AE40" s="68">
        <f t="shared" si="0"/>
        <v>332</v>
      </c>
      <c r="AF40" s="68">
        <f t="shared" si="1"/>
        <v>341</v>
      </c>
      <c r="AG40" s="38" t="e">
        <f>IFERROR(AVERAGEIFS(data_brute!H:H,data_brute!E:E,"&gt;="&amp;AE40,data_brute!E:E,"&lt;="&amp;AF40),NA())</f>
        <v>#N/A</v>
      </c>
      <c r="AH40" s="68" t="e">
        <f t="shared" si="2"/>
        <v>#N/A</v>
      </c>
    </row>
    <row r="41" spans="11:34" x14ac:dyDescent="0.2">
      <c r="AE41" s="68">
        <f t="shared" si="0"/>
        <v>342</v>
      </c>
      <c r="AF41" s="68">
        <f t="shared" si="1"/>
        <v>351</v>
      </c>
      <c r="AG41" s="38" t="e">
        <f>IFERROR(AVERAGEIFS(data_brute!H:H,data_brute!E:E,"&gt;="&amp;AE41,data_brute!E:E,"&lt;="&amp;AF41),NA())</f>
        <v>#N/A</v>
      </c>
      <c r="AH41" s="68" t="e">
        <f t="shared" si="2"/>
        <v>#N/A</v>
      </c>
    </row>
    <row r="42" spans="11:34" x14ac:dyDescent="0.2">
      <c r="AE42" s="68">
        <f t="shared" si="0"/>
        <v>352</v>
      </c>
      <c r="AF42" s="68">
        <f t="shared" si="1"/>
        <v>361</v>
      </c>
      <c r="AG42" s="38" t="e">
        <f>IFERROR(AVERAGEIFS(data_brute!H:H,data_brute!E:E,"&gt;="&amp;AE42,data_brute!E:E,"&lt;="&amp;AF42),NA())</f>
        <v>#N/A</v>
      </c>
      <c r="AH42" s="68" t="e">
        <f t="shared" si="2"/>
        <v>#N/A</v>
      </c>
    </row>
    <row r="43" spans="11:34" x14ac:dyDescent="0.2">
      <c r="AE43" s="64"/>
      <c r="AF43" s="64"/>
      <c r="AG43" s="66"/>
      <c r="AH43" s="68"/>
    </row>
    <row r="44" spans="11:34" x14ac:dyDescent="0.2">
      <c r="AE44" s="64"/>
      <c r="AF44" s="64"/>
      <c r="AG44" s="66"/>
      <c r="AH44" s="68"/>
    </row>
    <row r="45" spans="11:34" x14ac:dyDescent="0.2">
      <c r="AE45" s="64"/>
      <c r="AF45" s="64"/>
      <c r="AG45" s="66"/>
      <c r="AH45" s="68"/>
    </row>
    <row r="46" spans="11:34" x14ac:dyDescent="0.2">
      <c r="AE46" s="64"/>
      <c r="AF46" s="64"/>
      <c r="AG46" s="66"/>
      <c r="AH46" s="68"/>
    </row>
    <row r="47" spans="11:34" x14ac:dyDescent="0.2">
      <c r="AE47" s="64"/>
      <c r="AF47" s="64"/>
      <c r="AG47" s="66"/>
      <c r="AH47" s="68"/>
    </row>
    <row r="48" spans="11:34" x14ac:dyDescent="0.2">
      <c r="AE48" s="64"/>
      <c r="AF48" s="64"/>
      <c r="AG48" s="66"/>
      <c r="AH48" s="68"/>
    </row>
    <row r="49" spans="31:34" x14ac:dyDescent="0.2">
      <c r="AE49" s="64"/>
      <c r="AF49" s="64"/>
      <c r="AG49" s="66"/>
      <c r="AH49" s="68"/>
    </row>
    <row r="50" spans="31:34" x14ac:dyDescent="0.2">
      <c r="AE50" s="64"/>
      <c r="AF50" s="64"/>
      <c r="AG50" s="66"/>
      <c r="AH50" s="68"/>
    </row>
    <row r="51" spans="31:34" x14ac:dyDescent="0.2">
      <c r="AE51" s="64"/>
      <c r="AF51" s="64"/>
      <c r="AG51" s="66"/>
      <c r="AH51" s="68"/>
    </row>
    <row r="52" spans="31:34" x14ac:dyDescent="0.2">
      <c r="AE52" s="64"/>
      <c r="AF52" s="64"/>
      <c r="AG52" s="66"/>
      <c r="AH52" s="68"/>
    </row>
    <row r="53" spans="31:34" x14ac:dyDescent="0.2">
      <c r="AE53" s="64"/>
      <c r="AF53" s="64"/>
      <c r="AG53" s="66"/>
      <c r="AH53" s="68"/>
    </row>
    <row r="54" spans="31:34" x14ac:dyDescent="0.2">
      <c r="AE54" s="64"/>
      <c r="AF54" s="64"/>
      <c r="AG54" s="66"/>
      <c r="AH54" s="68"/>
    </row>
    <row r="55" spans="31:34" x14ac:dyDescent="0.2">
      <c r="AE55" s="64"/>
      <c r="AF55" s="64"/>
      <c r="AG55" s="66"/>
      <c r="AH55" s="68"/>
    </row>
    <row r="56" spans="31:34" x14ac:dyDescent="0.2">
      <c r="AE56" s="64"/>
      <c r="AF56" s="64"/>
      <c r="AG56" s="66"/>
      <c r="AH56" s="68"/>
    </row>
    <row r="57" spans="31:34" x14ac:dyDescent="0.2">
      <c r="AE57" s="64"/>
      <c r="AF57" s="64"/>
      <c r="AG57" s="66"/>
      <c r="AH57" s="68"/>
    </row>
    <row r="58" spans="31:34" x14ac:dyDescent="0.2">
      <c r="AE58" s="64"/>
      <c r="AF58" s="64"/>
      <c r="AG58" s="66"/>
      <c r="AH58" s="68"/>
    </row>
    <row r="59" spans="31:34" x14ac:dyDescent="0.2">
      <c r="AE59" s="64"/>
      <c r="AF59" s="64"/>
      <c r="AG59" s="66"/>
      <c r="AH59" s="68"/>
    </row>
    <row r="60" spans="31:34" x14ac:dyDescent="0.2">
      <c r="AE60" s="64"/>
      <c r="AF60" s="64"/>
      <c r="AG60" s="66"/>
      <c r="AH60" s="68"/>
    </row>
    <row r="61" spans="31:34" x14ac:dyDescent="0.2">
      <c r="AE61" s="64"/>
      <c r="AF61" s="64"/>
      <c r="AG61" s="66"/>
      <c r="AH61" s="68"/>
    </row>
    <row r="62" spans="31:34" x14ac:dyDescent="0.2">
      <c r="AE62" s="64"/>
      <c r="AF62" s="64"/>
      <c r="AG62" s="66"/>
      <c r="AH62" s="68"/>
    </row>
    <row r="63" spans="31:34" x14ac:dyDescent="0.2">
      <c r="AE63" s="64"/>
      <c r="AF63" s="64"/>
      <c r="AG63" s="66"/>
      <c r="AH63" s="68"/>
    </row>
    <row r="64" spans="31:34" x14ac:dyDescent="0.2">
      <c r="AE64" s="64"/>
      <c r="AF64" s="64"/>
      <c r="AG64" s="66"/>
      <c r="AH64" s="68"/>
    </row>
    <row r="65" spans="31:34" x14ac:dyDescent="0.2">
      <c r="AE65" s="64"/>
      <c r="AF65" s="64"/>
      <c r="AG65" s="66"/>
      <c r="AH65" s="68"/>
    </row>
    <row r="66" spans="31:34" x14ac:dyDescent="0.2">
      <c r="AE66" s="64"/>
      <c r="AF66" s="64"/>
      <c r="AG66" s="66"/>
      <c r="AH66" s="68"/>
    </row>
    <row r="67" spans="31:34" x14ac:dyDescent="0.2">
      <c r="AE67" s="64"/>
      <c r="AF67" s="64"/>
      <c r="AG67" s="66"/>
      <c r="AH67" s="68"/>
    </row>
    <row r="68" spans="31:34" x14ac:dyDescent="0.2">
      <c r="AE68" s="64"/>
      <c r="AF68" s="64"/>
      <c r="AG68" s="66"/>
      <c r="AH68" s="68"/>
    </row>
    <row r="69" spans="31:34" x14ac:dyDescent="0.2">
      <c r="AE69" s="64"/>
      <c r="AF69" s="64"/>
      <c r="AG69" s="66"/>
      <c r="AH69" s="68"/>
    </row>
    <row r="70" spans="31:34" x14ac:dyDescent="0.2">
      <c r="AE70" s="64"/>
      <c r="AF70" s="64"/>
      <c r="AG70" s="66"/>
      <c r="AH70" s="68"/>
    </row>
    <row r="71" spans="31:34" x14ac:dyDescent="0.2">
      <c r="AE71" s="64"/>
      <c r="AF71" s="64"/>
      <c r="AG71" s="66"/>
      <c r="AH71" s="68"/>
    </row>
    <row r="72" spans="31:34" x14ac:dyDescent="0.2">
      <c r="AE72" s="64"/>
      <c r="AF72" s="64"/>
      <c r="AG72" s="66"/>
      <c r="AH72" s="68"/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C408-7D93-FE4B-A91C-96D553B4ECE6}">
  <sheetPr codeName="Sheet5"/>
  <dimension ref="A1:B2"/>
  <sheetViews>
    <sheetView workbookViewId="0">
      <selection activeCell="D4" sqref="D4"/>
    </sheetView>
  </sheetViews>
  <sheetFormatPr baseColWidth="10" defaultRowHeight="16" x14ac:dyDescent="0.2"/>
  <cols>
    <col min="1" max="1" width="13.33203125" bestFit="1" customWidth="1"/>
    <col min="2" max="2" width="28.33203125" bestFit="1" customWidth="1"/>
  </cols>
  <sheetData>
    <row r="1" spans="1:2" x14ac:dyDescent="0.2">
      <c r="A1" s="2" t="s">
        <v>87</v>
      </c>
      <c r="B1" s="2" t="s">
        <v>86</v>
      </c>
    </row>
    <row r="2" spans="1:2" x14ac:dyDescent="0.2">
      <c r="A2" s="2" t="s">
        <v>88</v>
      </c>
      <c r="B2" s="2" t="s">
        <v>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1:H11"/>
  <sheetViews>
    <sheetView showGridLines="0" zoomScale="131" workbookViewId="0">
      <selection activeCell="C3" sqref="C3"/>
    </sheetView>
  </sheetViews>
  <sheetFormatPr baseColWidth="10" defaultRowHeight="16" x14ac:dyDescent="0.2"/>
  <cols>
    <col min="1" max="1" width="7.6640625" customWidth="1"/>
    <col min="2" max="2" width="14.1640625" bestFit="1" customWidth="1"/>
    <col min="3" max="3" width="12" customWidth="1"/>
  </cols>
  <sheetData>
    <row r="1" spans="2:8" x14ac:dyDescent="0.2">
      <c r="C1" s="2"/>
      <c r="D1" s="2"/>
      <c r="E1" s="2"/>
      <c r="F1" s="2"/>
    </row>
    <row r="2" spans="2:8" x14ac:dyDescent="0.2">
      <c r="B2" s="15" t="s">
        <v>6</v>
      </c>
      <c r="C2" s="54">
        <v>10</v>
      </c>
      <c r="D2" s="40"/>
      <c r="E2" s="40"/>
      <c r="F2" s="40"/>
      <c r="G2" s="40"/>
      <c r="H2" s="55">
        <v>11</v>
      </c>
    </row>
    <row r="3" spans="2:8" x14ac:dyDescent="0.2">
      <c r="B3" s="8" t="s">
        <v>81</v>
      </c>
      <c r="C3" s="2">
        <v>9</v>
      </c>
      <c r="D3" s="3">
        <v>10</v>
      </c>
      <c r="E3" s="3">
        <v>8</v>
      </c>
      <c r="F3" s="2"/>
      <c r="G3" s="2"/>
      <c r="H3" s="9"/>
    </row>
    <row r="4" spans="2:8" x14ac:dyDescent="0.2">
      <c r="B4" s="8" t="s">
        <v>83</v>
      </c>
      <c r="C4" s="2"/>
      <c r="D4" s="2"/>
      <c r="E4" s="2"/>
      <c r="F4" s="2"/>
      <c r="G4" s="2"/>
      <c r="H4" s="9">
        <v>11</v>
      </c>
    </row>
    <row r="5" spans="2:8" x14ac:dyDescent="0.2">
      <c r="B5" s="8" t="s">
        <v>24</v>
      </c>
      <c r="C5" s="2"/>
      <c r="D5" s="2">
        <v>10</v>
      </c>
      <c r="E5" s="2"/>
      <c r="F5" s="2"/>
      <c r="G5" s="2"/>
      <c r="H5" s="9"/>
    </row>
    <row r="6" spans="2:8" x14ac:dyDescent="0.2">
      <c r="B6" s="8" t="s">
        <v>25</v>
      </c>
      <c r="C6" s="2"/>
      <c r="D6" s="2"/>
      <c r="E6" s="2">
        <v>8</v>
      </c>
      <c r="F6" s="2"/>
      <c r="G6" s="2"/>
      <c r="H6" s="9"/>
    </row>
    <row r="7" spans="2:8" x14ac:dyDescent="0.2">
      <c r="B7" s="8" t="s">
        <v>5</v>
      </c>
      <c r="C7" s="2"/>
      <c r="D7" s="2"/>
      <c r="E7" s="2"/>
      <c r="F7" s="2" t="b">
        <v>0</v>
      </c>
      <c r="G7" s="2"/>
      <c r="H7" s="9"/>
    </row>
    <row r="8" spans="2:8" x14ac:dyDescent="0.2">
      <c r="B8" s="10" t="s">
        <v>9</v>
      </c>
      <c r="C8" s="41"/>
      <c r="D8" s="41"/>
      <c r="E8" s="41"/>
      <c r="F8" s="41"/>
      <c r="G8" s="41" t="b">
        <v>0</v>
      </c>
      <c r="H8" s="11"/>
    </row>
    <row r="9" spans="2:8" x14ac:dyDescent="0.2">
      <c r="B9" s="2" t="s">
        <v>82</v>
      </c>
      <c r="C9" s="2" t="b">
        <f>C3&lt;C2</f>
        <v>1</v>
      </c>
      <c r="D9" s="2" t="b">
        <f>D3&lt;D5</f>
        <v>0</v>
      </c>
      <c r="E9" s="2" t="b">
        <f>E3&gt;E6</f>
        <v>0</v>
      </c>
      <c r="F9" s="2" t="b">
        <f>F7</f>
        <v>0</v>
      </c>
      <c r="G9" s="2" t="b">
        <f>G8</f>
        <v>0</v>
      </c>
      <c r="H9" s="2" t="b">
        <f>H4&lt;H2</f>
        <v>0</v>
      </c>
    </row>
    <row r="11" spans="2:8" x14ac:dyDescent="0.2">
      <c r="B11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B9507-58A9-C746-98E0-6AA745535215}">
  <sheetPr codeName="Sheet3">
    <tabColor theme="8" tint="0.79998168889431442"/>
  </sheetPr>
  <dimension ref="B2:E12"/>
  <sheetViews>
    <sheetView showGridLines="0" workbookViewId="0">
      <selection activeCell="F25" sqref="F25"/>
    </sheetView>
  </sheetViews>
  <sheetFormatPr baseColWidth="10" defaultRowHeight="16" x14ac:dyDescent="0.2"/>
  <cols>
    <col min="2" max="2" width="15.1640625" bestFit="1" customWidth="1"/>
    <col min="4" max="4" width="5" customWidth="1"/>
    <col min="5" max="5" width="10.83203125" style="2"/>
  </cols>
  <sheetData>
    <row r="2" spans="2:5" x14ac:dyDescent="0.2">
      <c r="B2" s="2" t="s">
        <v>41</v>
      </c>
      <c r="C2" s="25" t="s">
        <v>44</v>
      </c>
      <c r="E2" s="4" t="s">
        <v>43</v>
      </c>
    </row>
    <row r="3" spans="2:5" x14ac:dyDescent="0.2">
      <c r="B3" s="2" t="s">
        <v>42</v>
      </c>
      <c r="C3" s="27">
        <v>10</v>
      </c>
      <c r="E3" s="2" t="str" cm="1">
        <f t="array" ref="E3:E12">IF(_xlfn.SEQUENCE($C$3,1,1), $C$2, "")</f>
        <v>Hello</v>
      </c>
    </row>
    <row r="4" spans="2:5" x14ac:dyDescent="0.2">
      <c r="E4" s="2" t="str">
        <v>Hello</v>
      </c>
    </row>
    <row r="5" spans="2:5" x14ac:dyDescent="0.2">
      <c r="E5" s="2" t="str">
        <v>Hello</v>
      </c>
    </row>
    <row r="6" spans="2:5" x14ac:dyDescent="0.2">
      <c r="E6" s="2" t="str">
        <v>Hello</v>
      </c>
    </row>
    <row r="7" spans="2:5" x14ac:dyDescent="0.2">
      <c r="E7" s="2" t="str">
        <v>Hello</v>
      </c>
    </row>
    <row r="8" spans="2:5" x14ac:dyDescent="0.2">
      <c r="E8" s="2" t="str">
        <v>Hello</v>
      </c>
    </row>
    <row r="9" spans="2:5" x14ac:dyDescent="0.2">
      <c r="E9" s="2" t="str">
        <v>Hello</v>
      </c>
    </row>
    <row r="10" spans="2:5" x14ac:dyDescent="0.2">
      <c r="E10" s="2" t="str">
        <v>Hello</v>
      </c>
    </row>
    <row r="11" spans="2:5" x14ac:dyDescent="0.2">
      <c r="E11" s="2" t="str">
        <v>Hello</v>
      </c>
    </row>
    <row r="12" spans="2:5" x14ac:dyDescent="0.2">
      <c r="E12" s="2" t="str">
        <v>Hello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9"/>
  <sheetViews>
    <sheetView showGridLines="0" topLeftCell="F1" zoomScale="117" workbookViewId="0">
      <selection activeCell="L4" sqref="L4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6384" width="10.83203125" style="2"/>
  </cols>
  <sheetData>
    <row r="2" spans="2:13" ht="17" x14ac:dyDescent="0.2">
      <c r="B2" s="52" t="s">
        <v>33</v>
      </c>
      <c r="C2" s="52" t="s">
        <v>35</v>
      </c>
      <c r="D2" s="52" t="s">
        <v>36</v>
      </c>
      <c r="E2" s="52" t="s">
        <v>37</v>
      </c>
      <c r="F2" s="52" t="s">
        <v>59</v>
      </c>
      <c r="G2" s="52" t="s">
        <v>60</v>
      </c>
      <c r="H2" s="52" t="s">
        <v>72</v>
      </c>
      <c r="I2" s="53" t="s">
        <v>74</v>
      </c>
      <c r="J2" s="53" t="s">
        <v>76</v>
      </c>
      <c r="K2" s="53" t="s">
        <v>77</v>
      </c>
      <c r="L2" s="53" t="s">
        <v>78</v>
      </c>
      <c r="M2" s="53" t="s">
        <v>79</v>
      </c>
    </row>
    <row r="3" spans="2:13" ht="409.6" x14ac:dyDescent="0.2">
      <c r="B3" s="49" t="s">
        <v>62</v>
      </c>
      <c r="C3" s="49" t="s">
        <v>63</v>
      </c>
      <c r="D3" s="49" t="s">
        <v>39</v>
      </c>
      <c r="E3" s="49" t="s">
        <v>38</v>
      </c>
      <c r="F3" s="49" t="s">
        <v>66</v>
      </c>
      <c r="G3" s="49" t="s">
        <v>61</v>
      </c>
      <c r="H3" s="49" t="s">
        <v>73</v>
      </c>
      <c r="I3" s="49" t="s">
        <v>75</v>
      </c>
      <c r="J3" s="49" t="s">
        <v>75</v>
      </c>
      <c r="K3" s="49" t="s">
        <v>84</v>
      </c>
      <c r="L3" s="49" t="s">
        <v>85</v>
      </c>
      <c r="M3" s="49" t="s">
        <v>80</v>
      </c>
    </row>
    <row r="4" spans="2:13" ht="17" x14ac:dyDescent="0.2">
      <c r="B4" s="49" t="s">
        <v>34</v>
      </c>
      <c r="C4" s="49" t="s">
        <v>64</v>
      </c>
      <c r="D4" s="49"/>
      <c r="E4" s="49"/>
      <c r="F4" s="49" t="s">
        <v>67</v>
      </c>
      <c r="G4" s="49"/>
      <c r="H4" s="49"/>
      <c r="I4" s="49"/>
      <c r="J4" s="49"/>
      <c r="K4" s="49"/>
      <c r="L4" s="49"/>
      <c r="M4" s="49"/>
    </row>
    <row r="5" spans="2:13" ht="17" x14ac:dyDescent="0.2">
      <c r="B5" s="49"/>
      <c r="C5" s="50" t="s">
        <v>65</v>
      </c>
      <c r="D5" s="49"/>
      <c r="E5" s="49"/>
      <c r="F5" s="49" t="s">
        <v>68</v>
      </c>
      <c r="G5" s="49"/>
      <c r="H5" s="49"/>
      <c r="I5" s="49"/>
      <c r="J5" s="49"/>
      <c r="K5" s="49"/>
      <c r="L5" s="49"/>
      <c r="M5" s="49"/>
    </row>
    <row r="6" spans="2:13" ht="17" x14ac:dyDescent="0.2">
      <c r="B6" s="49"/>
      <c r="C6" s="49"/>
      <c r="D6" s="49"/>
      <c r="E6" s="49"/>
      <c r="F6" s="49" t="s">
        <v>69</v>
      </c>
      <c r="G6" s="49"/>
      <c r="H6" s="49"/>
      <c r="I6" s="49"/>
      <c r="J6" s="49"/>
      <c r="K6" s="49"/>
      <c r="L6" s="49"/>
      <c r="M6" s="49"/>
    </row>
    <row r="7" spans="2:13" ht="17" x14ac:dyDescent="0.2">
      <c r="B7" s="49"/>
      <c r="C7" s="49"/>
      <c r="D7" s="49"/>
      <c r="E7" s="49"/>
      <c r="F7" s="49" t="s">
        <v>70</v>
      </c>
      <c r="G7" s="49"/>
      <c r="H7" s="49"/>
      <c r="I7" s="49"/>
      <c r="J7" s="49"/>
      <c r="K7" s="49"/>
      <c r="L7" s="49"/>
      <c r="M7" s="49"/>
    </row>
    <row r="8" spans="2:13" ht="34" x14ac:dyDescent="0.2">
      <c r="B8" s="49"/>
      <c r="C8" s="49"/>
      <c r="D8" s="49"/>
      <c r="E8" s="49"/>
      <c r="F8" s="49" t="s">
        <v>71</v>
      </c>
      <c r="G8" s="49"/>
      <c r="H8" s="49"/>
      <c r="I8" s="49"/>
      <c r="J8" s="49"/>
      <c r="K8" s="49"/>
      <c r="L8" s="49"/>
      <c r="M8" s="49"/>
    </row>
    <row r="9" spans="2:13" x14ac:dyDescent="0.2"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data_brute</vt:lpstr>
      <vt:lpstr>interface</vt:lpstr>
      <vt:lpstr>calculs_intermediaires</vt:lpstr>
      <vt:lpstr>idea</vt:lpstr>
      <vt:lpstr>test</vt:lpstr>
      <vt:lpstr>draft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2025-01-28T19:15:10Z</dcterms:modified>
</cp:coreProperties>
</file>