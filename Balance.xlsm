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08829FEB-8DB3-A64C-A3D5-0D1FD94F7DD3}" xr6:coauthVersionLast="47" xr6:coauthVersionMax="47" xr10:uidLastSave="{00000000-0000-0000-0000-000000000000}"/>
  <bookViews>
    <workbookView xWindow="0" yWindow="760" windowWidth="30240" windowHeight="17540" activeTab="1" xr2:uid="{10B1970C-EF6C-0443-891C-2CF0240F7FC0}"/>
    <workbookView xWindow="0" yWindow="760" windowWidth="16680" windowHeight="16600" xr2:uid="{88FCDA26-8286-1749-A1CD-ABB883BDC8EA}"/>
  </bookViews>
  <sheets>
    <sheet name="data_brute" sheetId="10" r:id="rId1"/>
    <sheet name="interface" sheetId="1" r:id="rId2"/>
    <sheet name="calculs_intermediaires" sheetId="3" r:id="rId3"/>
    <sheet name="pop_up" sheetId="5" r:id="rId4"/>
  </sheets>
  <functionGroups builtInGroupCount="19"/>
  <definedNames>
    <definedName name="_xleta.FILTER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echantillon">OFFSET(data_brute!#REF!,0,0,COUNTA(data_brute!#REF!)-1,1)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3" l="1"/>
  <c r="D9" i="1"/>
  <c r="BK7" i="3" l="1"/>
  <c r="BL7" i="3"/>
  <c r="BM7" i="3"/>
  <c r="BN7" i="3"/>
  <c r="BJ7" i="3"/>
  <c r="BA7" i="3"/>
  <c r="BH7" i="3"/>
  <c r="BI7" i="3"/>
  <c r="BG7" i="3"/>
  <c r="AX7" i="3"/>
  <c r="BB7" i="3"/>
  <c r="BC7" i="3"/>
  <c r="BD7" i="3"/>
  <c r="BE7" i="3"/>
  <c r="BA3" i="3" s="1"/>
  <c r="BA4" i="3" s="1"/>
  <c r="X6" i="3"/>
  <c r="AY7" i="3"/>
  <c r="AZ7" i="3"/>
  <c r="U6" i="3"/>
  <c r="Y6" i="3"/>
  <c r="Z6" i="3"/>
  <c r="AA6" i="3"/>
  <c r="AB6" i="3"/>
  <c r="V6" i="3"/>
  <c r="W6" i="3"/>
  <c r="F4" i="3"/>
  <c r="AS4" i="3" s="1"/>
  <c r="I2" i="10" a="1"/>
  <c r="I2" i="10" s="1"/>
  <c r="A2" i="10" l="1" a="1"/>
  <c r="A2" i="10" s="1"/>
  <c r="F3" i="3"/>
  <c r="AK7" i="3" s="1"/>
  <c r="AL7" i="3" s="1"/>
  <c r="AK8" i="3" s="1"/>
  <c r="AL8" i="3" s="1"/>
  <c r="AK9" i="3" s="1"/>
  <c r="AL9" i="3" s="1"/>
  <c r="AK10" i="3" s="1"/>
  <c r="AL10" i="3" s="1"/>
  <c r="AK11" i="3" s="1"/>
  <c r="AL11" i="3" s="1"/>
  <c r="AK12" i="3" s="1"/>
  <c r="AL12" i="3" s="1"/>
  <c r="D8" i="1"/>
  <c r="C22" i="3"/>
  <c r="J2" i="10" l="1" a="1"/>
  <c r="J2" i="10" s="1"/>
  <c r="AK13" i="3"/>
  <c r="AL13" i="3" s="1"/>
  <c r="AE7" i="3"/>
  <c r="C4" i="3"/>
  <c r="AR6" i="3" s="1"/>
  <c r="AU6" i="3" l="1"/>
  <c r="AK14" i="3"/>
  <c r="AL14" i="3" s="1"/>
  <c r="AF7" i="3"/>
  <c r="AE8" i="3" s="1"/>
  <c r="AF8" i="3" s="1"/>
  <c r="AE9" i="3" s="1"/>
  <c r="AF9" i="3" s="1"/>
  <c r="AE10" i="3" s="1"/>
  <c r="AF10" i="3" s="1"/>
  <c r="AE11" i="3" s="1"/>
  <c r="AF11" i="3" s="1"/>
  <c r="AE12" i="3" s="1"/>
  <c r="F5" i="3"/>
  <c r="N4" i="3"/>
  <c r="O8" i="3" s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AK15" i="3" l="1"/>
  <c r="AL15" i="3" s="1"/>
  <c r="Y3" i="3"/>
  <c r="Y2" i="3"/>
  <c r="AF12" i="3"/>
  <c r="AE13" i="3" s="1"/>
  <c r="Q7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U7" i="3" l="1" a="1"/>
  <c r="U7" i="3" s="1"/>
  <c r="AK16" i="3"/>
  <c r="AL16" i="3" s="1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AK17" i="3" l="1"/>
  <c r="AL17" i="3" s="1"/>
  <c r="C18" i="3" a="1"/>
  <c r="C18" i="3" s="1"/>
  <c r="AF14" i="3"/>
  <c r="AE15" i="3" s="1"/>
  <c r="C19" i="3" a="1"/>
  <c r="C19" i="3" s="1"/>
  <c r="BJ2" i="3" s="1"/>
  <c r="C21" i="3" l="1"/>
  <c r="C23" i="3" s="1"/>
  <c r="C25" i="3" s="1"/>
  <c r="AS9" i="3" s="1"/>
  <c r="BA2" i="3"/>
  <c r="AK18" i="3"/>
  <c r="AL18" i="3" s="1"/>
  <c r="AF15" i="3"/>
  <c r="AE16" i="3" s="1"/>
  <c r="C26" i="3" l="1"/>
  <c r="AT10" i="3" s="1"/>
  <c r="AK19" i="3"/>
  <c r="AL19" i="3" s="1"/>
  <c r="AF16" i="3"/>
  <c r="AE17" i="3" s="1"/>
  <c r="C2" i="1"/>
  <c r="AK20" i="3" l="1"/>
  <c r="AL20" i="3" s="1"/>
  <c r="AF17" i="3"/>
  <c r="AE18" i="3" s="1"/>
  <c r="AK21" i="3" l="1"/>
  <c r="AL21" i="3" s="1"/>
  <c r="AF18" i="3"/>
  <c r="AE19" i="3" s="1"/>
  <c r="AK22" i="3" l="1"/>
  <c r="AL22" i="3" s="1"/>
  <c r="AF19" i="3"/>
  <c r="AE20" i="3" s="1"/>
  <c r="AG18" i="3"/>
  <c r="AH18" i="3" s="1"/>
  <c r="AK23" i="3" l="1"/>
  <c r="AL23" i="3" s="1"/>
  <c r="AF20" i="3"/>
  <c r="AE21" i="3" s="1"/>
  <c r="AG19" i="3"/>
  <c r="AH19" i="3" s="1"/>
  <c r="AK24" i="3" l="1"/>
  <c r="AL24" i="3" s="1"/>
  <c r="AF21" i="3"/>
  <c r="AE22" i="3" s="1"/>
  <c r="AG20" i="3"/>
  <c r="AH20" i="3" s="1"/>
  <c r="AK25" i="3" l="1"/>
  <c r="AL25" i="3" s="1"/>
  <c r="AF22" i="3"/>
  <c r="AE23" i="3" s="1"/>
  <c r="AG21" i="3"/>
  <c r="AH21" i="3" s="1"/>
  <c r="AK26" i="3" l="1"/>
  <c r="AL26" i="3" s="1"/>
  <c r="AF23" i="3"/>
  <c r="AE24" i="3" s="1"/>
  <c r="AG22" i="3"/>
  <c r="AH22" i="3" s="1"/>
  <c r="AK27" i="3" l="1"/>
  <c r="AL27" i="3" s="1"/>
  <c r="AF24" i="3"/>
  <c r="AE25" i="3" s="1"/>
  <c r="AG23" i="3"/>
  <c r="AH23" i="3" s="1"/>
  <c r="AK28" i="3" l="1"/>
  <c r="AL28" i="3" s="1"/>
  <c r="AF25" i="3"/>
  <c r="AE26" i="3" s="1"/>
  <c r="AG24" i="3"/>
  <c r="AH24" i="3" s="1"/>
  <c r="AK29" i="3" l="1"/>
  <c r="AL29" i="3" s="1"/>
  <c r="AF26" i="3"/>
  <c r="AE27" i="3" s="1"/>
  <c r="AG25" i="3"/>
  <c r="AH25" i="3" s="1"/>
  <c r="AK30" i="3" l="1"/>
  <c r="AL30" i="3" s="1"/>
  <c r="AF27" i="3"/>
  <c r="AE28" i="3" s="1"/>
  <c r="AG26" i="3"/>
  <c r="AH26" i="3" s="1"/>
  <c r="AK31" i="3" l="1"/>
  <c r="AL31" i="3" s="1"/>
  <c r="AF28" i="3"/>
  <c r="AE29" i="3" s="1"/>
  <c r="AG27" i="3"/>
  <c r="AH27" i="3" s="1"/>
  <c r="AK32" i="3" l="1"/>
  <c r="AL32" i="3" s="1"/>
  <c r="AF29" i="3"/>
  <c r="AE30" i="3" s="1"/>
  <c r="AG28" i="3"/>
  <c r="AH28" i="3" s="1"/>
  <c r="AK33" i="3" l="1"/>
  <c r="AL33" i="3" s="1"/>
  <c r="AF30" i="3"/>
  <c r="AE31" i="3" s="1"/>
  <c r="AG29" i="3"/>
  <c r="AH29" i="3" s="1"/>
  <c r="AK34" i="3" l="1"/>
  <c r="AL34" i="3" s="1"/>
  <c r="AF31" i="3"/>
  <c r="AE32" i="3" s="1"/>
  <c r="AG30" i="3"/>
  <c r="AH30" i="3" s="1"/>
  <c r="AK35" i="3" l="1"/>
  <c r="AL35" i="3" s="1"/>
  <c r="AF32" i="3"/>
  <c r="AE33" i="3" s="1"/>
  <c r="AG31" i="3"/>
  <c r="AH31" i="3" s="1"/>
  <c r="AK36" i="3" l="1"/>
  <c r="AL36" i="3" s="1"/>
  <c r="AF33" i="3"/>
  <c r="AE34" i="3" s="1"/>
  <c r="AG32" i="3"/>
  <c r="AH32" i="3" s="1"/>
  <c r="AK37" i="3" l="1"/>
  <c r="AL37" i="3" s="1"/>
  <c r="AF34" i="3"/>
  <c r="AE35" i="3" s="1"/>
  <c r="AG33" i="3"/>
  <c r="AH33" i="3" s="1"/>
  <c r="AK38" i="3" l="1"/>
  <c r="AL38" i="3" s="1"/>
  <c r="AF35" i="3"/>
  <c r="AE36" i="3" s="1"/>
  <c r="AG34" i="3"/>
  <c r="AH34" i="3" s="1"/>
  <c r="AK39" i="3" l="1"/>
  <c r="AL39" i="3" s="1"/>
  <c r="AF36" i="3"/>
  <c r="AE37" i="3" s="1"/>
  <c r="AG35" i="3"/>
  <c r="AH35" i="3" s="1"/>
  <c r="AK40" i="3" l="1"/>
  <c r="AL40" i="3" s="1"/>
  <c r="AF37" i="3"/>
  <c r="AE38" i="3" s="1"/>
  <c r="AG36" i="3"/>
  <c r="AH36" i="3" s="1"/>
  <c r="AK41" i="3" l="1"/>
  <c r="AL41" i="3" s="1"/>
  <c r="AF38" i="3"/>
  <c r="AE39" i="3" s="1"/>
  <c r="AG37" i="3"/>
  <c r="AH37" i="3" s="1"/>
  <c r="AK42" i="3" l="1"/>
  <c r="AL42" i="3" s="1"/>
  <c r="AF39" i="3"/>
  <c r="AE40" i="3" s="1"/>
  <c r="AG38" i="3"/>
  <c r="AH38" i="3" s="1"/>
  <c r="AG39" i="3" l="1"/>
  <c r="AH39" i="3" s="1"/>
  <c r="AF40" i="3"/>
  <c r="AE41" i="3" s="1"/>
  <c r="AF41" i="3" l="1"/>
  <c r="AE42" i="3" s="1"/>
  <c r="AG40" i="3"/>
  <c r="AH40" i="3" s="1"/>
  <c r="AF42" i="3" l="1"/>
  <c r="AG42" i="3" s="1"/>
  <c r="AH42" i="3" s="1"/>
  <c r="AG41" i="3"/>
  <c r="AH41" i="3" s="1"/>
  <c r="Q4" i="3" l="1"/>
  <c r="P8" i="3" s="1"/>
  <c r="Q8" i="3" s="1"/>
  <c r="K2" i="10" a="1"/>
  <c r="K2" i="10" s="1"/>
  <c r="L2" i="10" l="1" a="1"/>
  <c r="L2" i="10" l="1"/>
  <c r="M2" i="10" s="1" a="1"/>
  <c r="AG16" i="3" l="1"/>
  <c r="AH16" i="3" s="1"/>
  <c r="AG17" i="3"/>
  <c r="AH17" i="3" s="1"/>
  <c r="AG14" i="3"/>
  <c r="AH14" i="3" s="1"/>
  <c r="AG15" i="3"/>
  <c r="AH15" i="3" s="1"/>
  <c r="AG12" i="3"/>
  <c r="AH12" i="3" s="1"/>
  <c r="AG13" i="3"/>
  <c r="AH13" i="3" s="1"/>
  <c r="AG9" i="3"/>
  <c r="AH9" i="3" s="1"/>
  <c r="AG11" i="3"/>
  <c r="AH11" i="3" s="1"/>
  <c r="AG10" i="3"/>
  <c r="AH10" i="3" s="1"/>
  <c r="AG8" i="3"/>
  <c r="AH8" i="3" s="1"/>
  <c r="M2" i="10"/>
  <c r="BG8" i="3" l="1" a="1"/>
  <c r="BG8" i="3" s="1"/>
  <c r="AX8" i="3" a="1"/>
  <c r="AX8" i="3" s="1"/>
  <c r="BA8" i="3" a="1"/>
  <c r="K4" i="1" s="1"/>
  <c r="BJ8" i="3" a="1"/>
  <c r="BJ3" i="3" s="1"/>
  <c r="BJ4" i="3" s="1"/>
  <c r="AM7" i="3"/>
  <c r="AN7" i="3" s="1"/>
  <c r="AB3" i="3"/>
  <c r="AU8" i="3" s="1"/>
  <c r="AU13" i="3" s="1"/>
  <c r="AM8" i="3"/>
  <c r="AN8" i="3" s="1"/>
  <c r="AM9" i="3"/>
  <c r="AN9" i="3" s="1"/>
  <c r="AM10" i="3"/>
  <c r="AN10" i="3" s="1"/>
  <c r="AM11" i="3"/>
  <c r="AN11" i="3" s="1"/>
  <c r="AM12" i="3"/>
  <c r="AN12" i="3" s="1"/>
  <c r="AM13" i="3"/>
  <c r="AN13" i="3" s="1"/>
  <c r="AM14" i="3"/>
  <c r="AN14" i="3" s="1"/>
  <c r="AM15" i="3"/>
  <c r="AN15" i="3" s="1"/>
  <c r="AM16" i="3"/>
  <c r="AN16" i="3" s="1"/>
  <c r="AM17" i="3"/>
  <c r="AN17" i="3" s="1"/>
  <c r="AM18" i="3"/>
  <c r="AN18" i="3" s="1"/>
  <c r="AM19" i="3"/>
  <c r="AN19" i="3" s="1"/>
  <c r="AM20" i="3"/>
  <c r="AN20" i="3" s="1"/>
  <c r="AM21" i="3"/>
  <c r="AN21" i="3" s="1"/>
  <c r="AM22" i="3"/>
  <c r="AN22" i="3" s="1"/>
  <c r="AM23" i="3"/>
  <c r="AN23" i="3" s="1"/>
  <c r="AM24" i="3"/>
  <c r="AN24" i="3" s="1"/>
  <c r="AM25" i="3"/>
  <c r="AN25" i="3" s="1"/>
  <c r="AM26" i="3"/>
  <c r="AN26" i="3" s="1"/>
  <c r="AM27" i="3"/>
  <c r="AN27" i="3" s="1"/>
  <c r="AM28" i="3"/>
  <c r="AN28" i="3" s="1"/>
  <c r="AM29" i="3"/>
  <c r="AN29" i="3" s="1"/>
  <c r="AM30" i="3"/>
  <c r="AN30" i="3" s="1"/>
  <c r="AM31" i="3"/>
  <c r="AN31" i="3" s="1"/>
  <c r="AM32" i="3"/>
  <c r="AN32" i="3" s="1"/>
  <c r="AM33" i="3"/>
  <c r="AN33" i="3" s="1"/>
  <c r="AM34" i="3"/>
  <c r="AN34" i="3" s="1"/>
  <c r="AM35" i="3"/>
  <c r="AN35" i="3" s="1"/>
  <c r="AM36" i="3"/>
  <c r="AN36" i="3" s="1"/>
  <c r="AM37" i="3"/>
  <c r="AN37" i="3" s="1"/>
  <c r="AM38" i="3"/>
  <c r="AN38" i="3" s="1"/>
  <c r="AM39" i="3"/>
  <c r="AN39" i="3" s="1"/>
  <c r="AM40" i="3"/>
  <c r="AN40" i="3" s="1"/>
  <c r="AM41" i="3"/>
  <c r="AN41" i="3" s="1"/>
  <c r="AM42" i="3"/>
  <c r="AN42" i="3" s="1"/>
  <c r="AG7" i="3"/>
  <c r="AH7" i="3" s="1"/>
  <c r="R2" i="10" s="1" a="1"/>
  <c r="R2" i="10" s="1"/>
  <c r="X7" i="3" a="1"/>
  <c r="AB2" i="3" s="1"/>
  <c r="BA8" i="3" l="1"/>
  <c r="AS7" i="3"/>
  <c r="AS13" i="3" s="1"/>
  <c r="AT7" i="3"/>
  <c r="AT13" i="3" s="1"/>
  <c r="AR7" i="3"/>
  <c r="AR13" i="3" s="1"/>
  <c r="BJ8" i="3"/>
  <c r="K5" i="1"/>
  <c r="K3" i="1"/>
  <c r="E3" i="5" s="1"/>
  <c r="K2" i="1"/>
  <c r="X7" i="3"/>
  <c r="Q2" i="10" a="1"/>
  <c r="Q2" i="10" s="1"/>
  <c r="N2" i="10" l="1" a="1"/>
  <c r="N2" i="10" s="1"/>
  <c r="O2" i="10" a="1"/>
  <c r="O2" i="10" s="1"/>
  <c r="P2" i="10" a="1"/>
  <c r="P2" i="1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<sst xmlns="http://schemas.openxmlformats.org/spreadsheetml/2006/main" count="542" uniqueCount="117">
  <si>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</si>
  <si>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</si>
  <si>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</si>
  <si>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</si>
  <si>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</si>
  <si>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</si>
  <si>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</si>
  <si>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</si>
  <si>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</si>
  <si>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</si>
  <si>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</si>
  <si>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</si>
  <si>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</si>
  <si>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</si>
  <si>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</si>
  <si>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</si>
  <si>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</si>
  <si>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</si>
  <si>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</si>
  <si>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</si>
  <si>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</si>
  <si>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</si>
  <si>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</si>
  <si>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</si>
  <si>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</si>
  <si>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</si>
  <si>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</si>
  <si>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total pesée:</t>
  </si>
  <si>
    <t>Tare</t>
  </si>
  <si>
    <t>AJUSTER TARE</t>
  </si>
  <si>
    <t>Debut OF</t>
  </si>
  <si>
    <t>FIN OF</t>
  </si>
  <si>
    <t>Bobine</t>
  </si>
  <si>
    <t>Ligne debut</t>
  </si>
  <si>
    <t>Ligne fin</t>
  </si>
  <si>
    <t>bobine actuelle:</t>
  </si>
  <si>
    <t>Nb</t>
  </si>
  <si>
    <t>tare associée: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</si>
  <si>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</si>
  <si>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</si>
  <si>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</si>
  <si>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</si>
  <si>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</si>
  <si>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</si>
  <si>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</si>
  <si>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</si>
  <si>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</si>
  <si>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</si>
  <si>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</si>
  <si>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</si>
  <si>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</si>
  <si>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</si>
  <si>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Appuyer sur le bouton « DEBUT EQUIPE »</t>
  </si>
  <si>
    <t>Appuyer sur « Print OFF ».</t>
  </si>
  <si>
    <t>Appuyer sur « Print ON ».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</si>
  <si>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</si>
  <si>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</si>
  <si>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</si>
  <si>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</si>
  <si>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</si>
  <si>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</si>
  <si>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</si>
  <si>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</si>
  <si>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</si>
  <si>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</si>
  <si>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</si>
  <si>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>ligne min</t>
  </si>
  <si>
    <t>ligne max</t>
  </si>
  <si>
    <t xml:space="preserve">moyenne longue : </t>
  </si>
  <si>
    <t>moyenne courte:</t>
  </si>
  <si>
    <t>Moyenne Longue</t>
  </si>
  <si>
    <t>Initialiser tare</t>
  </si>
  <si>
    <t>Renseigner la Tare (en g)</t>
  </si>
  <si>
    <t>Code article</t>
  </si>
  <si>
    <t>N° lot</t>
  </si>
  <si>
    <t>Renseigner le n° lot</t>
  </si>
  <si>
    <t xml:space="preserve">N         </t>
  </si>
  <si>
    <t>o</t>
  </si>
  <si>
    <t xml:space="preserve">29,7 ( 0 ) </t>
  </si>
  <si>
    <t>g</t>
  </si>
  <si>
    <t>Appuyer sur "Print OFF"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</si>
  <si>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</si>
  <si>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</si>
  <si>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</si>
  <si>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</si>
  <si>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</si>
  <si>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</si>
  <si>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Attention dosette en TU1 ! 
- Arreter la production. Retirer la dosette. 
- Appuyer sur « Print OFF ». 
- Recontroler le carton precedent a 100%. 
- Repeter cette operation jusqu’a avoir un carton sans TU1/TU2. 
- Appuyer sur « Print ON » et reprendre la production.</t>
  </si>
  <si>
    <t>Attention dosette en TU2 ! 
-Arreter la production. 
- Alerter une experte ou cheffe d’equipe. 
- Retirer la dosette. 
- Appuyer sur « Print OFF ». 
- Recontroler le carton precedent a 100%. 
- Repeter cette operation jusqu’a avoir un carton sans TU1/TU2. 
- Appuyer sur « Print ON » et reprendre la production</t>
  </si>
  <si>
    <t>Poids Nominal</t>
  </si>
  <si>
    <t>Renseigner le poids nominal</t>
  </si>
  <si>
    <t xml:space="preserve">29,8 ( 0 ) </t>
  </si>
  <si>
    <t>Moyenne 10E</t>
  </si>
  <si>
    <t>moyenne longue</t>
  </si>
  <si>
    <t>moyenne 10 dernières mesures</t>
  </si>
  <si>
    <t>Alertes</t>
  </si>
  <si>
    <t>Activation</t>
  </si>
  <si>
    <t>TU1 et TU2</t>
  </si>
  <si>
    <t>nb</t>
  </si>
  <si>
    <t xml:space="preserve">29,7 ( 7 ) </t>
  </si>
  <si>
    <t xml:space="preserve">29,7 ( 6 ) </t>
  </si>
  <si>
    <t xml:space="preserve">29,7 ( 2 ) </t>
  </si>
  <si>
    <t xml:space="preserve">29,7 ( 3 ) </t>
  </si>
  <si>
    <t xml:space="preserve">29,6 ( 9 ) </t>
  </si>
  <si>
    <t xml:space="preserve">29,7 ( 1 ) </t>
  </si>
  <si>
    <t xml:space="preserve">29,7 ( 8 ) </t>
  </si>
  <si>
    <t xml:space="preserve">29,6 ( 8 ) </t>
  </si>
  <si>
    <t xml:space="preserve">22,6 ( 4 ) </t>
  </si>
  <si>
    <t xml:space="preserve">22,6 ( 3 ) </t>
  </si>
  <si>
    <t xml:space="preserve">11,3 ( 0 ) </t>
  </si>
  <si>
    <t xml:space="preserve">22,6 ( 1 ) </t>
  </si>
  <si>
    <t xml:space="preserve">22,6 ( 2 ) </t>
  </si>
  <si>
    <t>chemin</t>
  </si>
  <si>
    <t>test</t>
  </si>
  <si>
    <t>consideration globale</t>
  </si>
  <si>
    <t>produit_a</t>
  </si>
  <si>
    <t>lot_A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</si>
</sst>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9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5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0" xfId="0" applyNumberFormat="1"/>
    <xf numFmtId="14" fontId="1" fillId="0" borderId="13" xfId="0" applyNumberFormat="1" applyFont="1" applyBorder="1" applyAlignment="1">
      <alignment horizontal="center"/>
    </xf>
    <xf numFmtId="165" fontId="0" fillId="0" borderId="0" xfId="0" applyNumberFormat="1"/>
    <xf numFmtId="165" fontId="1" fillId="0" borderId="13" xfId="0" applyNumberFormat="1" applyFont="1" applyBorder="1" applyAlignment="1">
      <alignment horizontal="center"/>
    </xf>
    <xf numFmtId="0" fontId="1" fillId="6" borderId="0" xfId="0" applyFont="1" applyFill="1" applyAlignment="1" applyProtection="1">
      <alignment horizontal="center" vertical="center"/>
      <protection locked="0"/>
    </xf>
    <xf numFmtId="14" fontId="0" fillId="6" borderId="0" xfId="0" applyNumberFormat="1" applyFill="1" applyAlignment="1" applyProtection="1">
      <alignment horizontal="center"/>
      <protection locked="0"/>
    </xf>
    <xf numFmtId="0" fontId="0" fillId="6" borderId="0" xfId="0" applyFill="1" applyAlignment="1" applyProtection="1">
      <alignment horizontal="center"/>
      <protection locked="0"/>
    </xf>
    <xf numFmtId="0" fontId="8" fillId="6" borderId="0" xfId="0" applyFont="1" applyFill="1" applyAlignment="1" applyProtection="1">
      <alignment horizontal="center"/>
      <protection locked="0"/>
    </xf>
    <xf numFmtId="14" fontId="1" fillId="6" borderId="0" xfId="0" applyNumberFormat="1" applyFont="1" applyFill="1" applyAlignment="1" applyProtection="1">
      <alignment horizontal="center" vertical="center"/>
      <protection locked="0"/>
    </xf>
    <xf numFmtId="165" fontId="1" fillId="6" borderId="0" xfId="0" applyNumberFormat="1" applyFont="1" applyFill="1" applyAlignment="1" applyProtection="1">
      <alignment horizontal="center" vertical="center"/>
      <protection locked="0"/>
    </xf>
    <xf numFmtId="165" fontId="0" fillId="6" borderId="0" xfId="0" applyNumberFormat="1" applyFill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0" xfId="0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[0]!y_qn</c:f>
              <c:numCache>
                <c:formatCode>General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20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20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20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20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F2-8240-9B8F-A02BDAE81F9C}"/>
            </c:ext>
          </c:extLst>
        </c:ser>
        <c:ser>
          <c:idx val="1"/>
          <c:order val="1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[0]!y_lci</c:f>
              <c:numCache>
                <c:formatCode>General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19.7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19.7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19.7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19.7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19.7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19.7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19.7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19.7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19.7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19.7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F2-8240-9B8F-A02BDAE81F9C}"/>
            </c:ext>
          </c:extLst>
        </c:ser>
        <c:ser>
          <c:idx val="2"/>
          <c:order val="2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[0]!y_lcs</c:f>
              <c:numCache>
                <c:formatCode>General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20.3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20.3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20.3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20.3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20.3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20.3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20.3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20.3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20.3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20.3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F2-8240-9B8F-A02BDAE81F9C}"/>
            </c:ext>
          </c:extLst>
        </c:ser>
        <c:ser>
          <c:idx val="3"/>
          <c:order val="3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[0]!y_moyenne_longue</c:f>
              <c:numCache>
                <c:formatCode>0.00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21.679999999999996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21.679999999999996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20.730000000000004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19.980000000000008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20.032000000000011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20.30500000000001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19.981428571428577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19.996250000000003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19.776666666666667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19.809000000000001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2-8240-9B8F-A02BDAE81F9C}"/>
            </c:ext>
          </c:extLst>
        </c:ser>
        <c:ser>
          <c:idx val="4"/>
          <c:order val="4"/>
          <c:tx>
            <c:strRef>
              <c:f>data_brute!$R$1</c:f>
              <c:strCache>
                <c:ptCount val="1"/>
                <c:pt idx="0">
                  <c:v>Moyenne 10E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[0]!y_moyenne_courte</c:f>
              <c:numCache>
                <c:formatCode>0.00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21.679999999999996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21.679999999999996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18.829999999999995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17.729999999999997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20.239999999999998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21.669999999999995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18.04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20.100000000000001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18.020000000000003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20.100000000000001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81-9846-856C-CEE11B511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337472"/>
        <c:axId val="890295264"/>
      </c:scatterChart>
      <c:valAx>
        <c:axId val="118233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0295264"/>
        <c:crosses val="autoZero"/>
        <c:crossBetween val="midCat"/>
      </c:valAx>
      <c:valAx>
        <c:axId val="89029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2337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0</xdr:row>
          <xdr:rowOff>165100</xdr:rowOff>
        </xdr:from>
        <xdr:to>
          <xdr:col>20</xdr:col>
          <xdr:colOff>571500</xdr:colOff>
          <xdr:row>4</xdr:row>
          <xdr:rowOff>152400</xdr:rowOff>
        </xdr:to>
        <xdr:sp macro="" textlink="">
          <xdr:nvSpPr>
            <xdr:cNvPr id="7170" name="Button 2" descr="Clea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406400</xdr:colOff>
          <xdr:row>3</xdr:row>
          <xdr:rowOff>177800</xdr:rowOff>
        </xdr:from>
        <xdr:to>
          <xdr:col>5</xdr:col>
          <xdr:colOff>762000</xdr:colOff>
          <xdr:row>5</xdr:row>
          <xdr:rowOff>177800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406400</xdr:colOff>
          <xdr:row>1</xdr:row>
          <xdr:rowOff>76200</xdr:rowOff>
        </xdr:from>
        <xdr:to>
          <xdr:col>5</xdr:col>
          <xdr:colOff>749300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7</xdr:col>
          <xdr:colOff>368300</xdr:colOff>
          <xdr:row>3</xdr:row>
          <xdr:rowOff>101600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3</xdr:row>
          <xdr:rowOff>152400</xdr:rowOff>
        </xdr:from>
        <xdr:to>
          <xdr:col>7</xdr:col>
          <xdr:colOff>355600</xdr:colOff>
          <xdr:row>5</xdr:row>
          <xdr:rowOff>177800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1</xdr:row>
          <xdr:rowOff>38100</xdr:rowOff>
        </xdr:from>
        <xdr:to>
          <xdr:col>8</xdr:col>
          <xdr:colOff>876300</xdr:colOff>
          <xdr:row>3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3</xdr:row>
          <xdr:rowOff>139700</xdr:rowOff>
        </xdr:from>
        <xdr:to>
          <xdr:col>8</xdr:col>
          <xdr:colOff>889000</xdr:colOff>
          <xdr:row>5</xdr:row>
          <xdr:rowOff>165100</xdr:rowOff>
        </xdr:to>
        <xdr:sp macro="" textlink="">
          <xdr:nvSpPr>
            <xdr:cNvPr id="1060" name="Button 36" descr="TAR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10</xdr:row>
      <xdr:rowOff>0</xdr:rowOff>
    </xdr:from>
    <xdr:to>
      <xdr:col>14</xdr:col>
      <xdr:colOff>10746</xdr:colOff>
      <xdr:row>44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2EDFDA-460A-644E-BA36-45B9C6826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104"/>
  <sheetViews>
    <sheetView showGridLines="0" topLeftCell="A68" zoomScale="107" zoomScaleNormal="100" workbookViewId="0">
      <selection activeCell="B104" sqref="B104"/>
    </sheetView>
    <sheetView tabSelected="1" topLeftCell="A86" workbookViewId="1">
      <selection activeCell="B104" sqref="B104"/>
    </sheetView>
  </sheetViews>
  <sheetFormatPr baseColWidth="10" defaultRowHeight="16" x14ac:dyDescent="0.2"/>
  <cols>
    <col min="1" max="1" width="10.83203125" style="2"/>
    <col min="2" max="2" width="11.6640625" style="72" bestFit="1" customWidth="1"/>
    <col min="3" max="3" width="10.83203125" style="77"/>
    <col min="4" max="8" width="10.83203125" style="73"/>
    <col min="9" max="9" width="10.83203125" style="36"/>
    <col min="10" max="12" width="10.83203125" style="2"/>
    <col min="13" max="13" width="10.83203125" style="36"/>
    <col min="14" max="14" width="5.5" style="2" bestFit="1" customWidth="1"/>
    <col min="15" max="15" width="7.5" style="2" customWidth="1"/>
    <col min="16" max="16" width="7.1640625" style="2" customWidth="1"/>
    <col min="17" max="18" width="14.83203125" style="36" customWidth="1"/>
    <col min="19" max="16384" width="10.83203125" style="2"/>
  </cols>
  <sheetData>
    <row r="1" spans="1:26" x14ac:dyDescent="0.2">
      <c r="A1" s="46" t="s">
        <v>3</v>
      </c>
      <c r="B1" s="75" t="s">
        <v>0</v>
      </c>
      <c r="C1" s="76" t="s">
        <v>8</v>
      </c>
      <c r="D1" s="71"/>
      <c r="E1" s="71"/>
      <c r="F1" s="71"/>
      <c r="G1" s="71"/>
      <c r="H1" s="71"/>
      <c r="I1" s="54" t="s">
        <v>4</v>
      </c>
      <c r="J1" s="46" t="s">
        <v>45</v>
      </c>
      <c r="K1" s="46" t="s">
        <v>32</v>
      </c>
      <c r="L1" s="46" t="s">
        <v>28</v>
      </c>
      <c r="M1" s="54" t="s">
        <v>26</v>
      </c>
      <c r="N1" s="46" t="s">
        <v>6</v>
      </c>
      <c r="O1" s="46" t="s">
        <v>24</v>
      </c>
      <c r="P1" s="46" t="s">
        <v>25</v>
      </c>
      <c r="Q1" s="54" t="s">
        <v>70</v>
      </c>
      <c r="R1" s="54" t="s">
        <v>92</v>
      </c>
    </row>
    <row r="2" spans="1:26" x14ac:dyDescent="0.2">
      <c r="A2" s="26" cm="1">
        <f t="array" ref="A2:A104">_xlfn.SEQUENCE(calculs_intermediaires!F4)</f>
        <v>1</v>
      </c>
      <c r="B2" s="72">
        <v>45693</v>
      </c>
      <c r="C2" s="77">
        <v>0.42581018518518521</v>
      </c>
      <c r="D2" s="73" t="s">
        <v>76</v>
      </c>
      <c r="E2" s="73" t="s">
        <v>77</v>
      </c>
      <c r="G2" s="73" t="s">
        <v>99</v>
      </c>
      <c r="H2" s="73" t="s">
        <v>79</v>
      </c>
      <c r="I2" s="2" t="str" cm="1">
        <f t="array" aca="1" ref="I2:I104" ca="1">LEFT(poids_brute_balance,4)</f>
        <v>29,7</v>
      </c>
      <c r="J2" s="26" cm="1">
        <f t="array" ref="J2:J104">IF(_xlfn.ANCHORARRAY(A2)&lt;&gt;0,ROW(_xlfn.ANCHORARRAY(A2)))</f>
        <v>2</v>
      </c>
      <c r="K2" s="26" cm="1">
        <f t="array" ref="K2:K104">_xlfn.BYROW(_xlfn.ANCHORARRAY(J2), _xlfn.LAMBDA(_xlpm.row, _xlfn._xlws.FILTER(calculs_intermediaires!$M$7:$M$100, (_xlpm.row&gt;=calculs_intermediaires!O$7:O$100) * (_xlpm.row&lt;=calculs_intermediaires!P$7:P$100), "No Match")))</f>
        <v>1</v>
      </c>
      <c r="L2" s="26" cm="1">
        <f t="array" ref="L2:L104">INDEX(calculs_intermediaires!$N$7:$N$100,MATCH(_xlfn.ANCHORARRAY(K2),calculs_intermediaires!$M$7:$M$100,0))</f>
        <v>8</v>
      </c>
      <c r="M2" s="34" cm="1">
        <f t="array" aca="1" ref="M2:M104" ca="1">IFERROR(_xlfn.ANCHORARRAY(I2)-_xlfn.ANCHORARRAY(L2),"")</f>
        <v>21.7</v>
      </c>
      <c r="N2" s="26" t="e" cm="1">
        <f t="array" aca="1" ref="N2:N104" ca="1">IF(ISERROR(y_moyenne_longue),NA(),IF(_xlfn.SEQUENCE(calculs_intermediaires!F4,1,1), interface!C5, ""))</f>
        <v>#N/A</v>
      </c>
      <c r="O2" s="26" t="e" cm="1">
        <f t="array" aca="1" ref="O2:O104" ca="1">IF(ISERROR(y_moyenne_courte),NA(),IF(_xlfn.SEQUENCE(calculs_intermediaires!F4,1,1),calculs_intermediaires!C25,""))</f>
        <v>#N/A</v>
      </c>
      <c r="P2" s="26" t="e" cm="1">
        <f t="array" aca="1" ref="P2:P104" ca="1">IF(ISERROR(y_moyenne_courte),NA(),IF(_xlfn.SEQUENCE(calculs_intermediaires!F4,1,1),calculs_intermediaires!C26,""))</f>
        <v>#N/A</v>
      </c>
      <c r="Q2" s="34" t="e" cm="1">
        <f t="array" aca="1" ref="Q2:Q104" ca="1">INDEX(calculs_intermediaires!AM:AM,MATCH(_xlfn.ANCHORARRAY(A2),calculs_intermediaires!AN:AN,0))</f>
        <v>#N/A</v>
      </c>
      <c r="R2" s="34" t="e" cm="1">
        <f t="array" aca="1" ref="R2:R104" ca="1">INDEX(calculs_intermediaires!AG:AG,MATCH(_xlfn.ANCHORARRAY(A2),calculs_intermediaires!AH:AH,0))</f>
        <v>#N/A</v>
      </c>
      <c r="T2" s="14"/>
      <c r="V2" s="26"/>
      <c r="W2" s="26"/>
      <c r="X2" s="26"/>
      <c r="Y2" s="34"/>
      <c r="Z2" s="34"/>
    </row>
    <row r="3" spans="1:26" x14ac:dyDescent="0.2">
      <c r="A3" s="26">
        <v>2</v>
      </c>
      <c r="B3" s="72">
        <v>45693</v>
      </c>
      <c r="C3" s="77">
        <v>0.42591435185185184</v>
      </c>
      <c r="D3" s="73" t="s">
        <v>76</v>
      </c>
      <c r="E3" s="73" t="s">
        <v>77</v>
      </c>
      <c r="G3" s="73" t="s">
        <v>100</v>
      </c>
      <c r="H3" s="73" t="s">
        <v>79</v>
      </c>
      <c r="I3" s="34" t="str">
        <f ca="1"/>
        <v>29,7</v>
      </c>
      <c r="J3" s="26">
        <v>3</v>
      </c>
      <c r="K3" s="26">
        <v>1</v>
      </c>
      <c r="L3" s="26">
        <v>8</v>
      </c>
      <c r="M3" s="34">
        <f ca="1"/>
        <v>21.7</v>
      </c>
      <c r="N3" s="26" t="e">
        <f ca="1"/>
        <v>#N/A</v>
      </c>
      <c r="O3" s="26" t="e">
        <f ca="1"/>
        <v>#N/A</v>
      </c>
      <c r="P3" s="26" t="e">
        <f ca="1"/>
        <v>#N/A</v>
      </c>
      <c r="Q3" s="34" t="e">
        <f ca="1"/>
        <v>#N/A</v>
      </c>
      <c r="R3" s="34" t="e">
        <f ca="1"/>
        <v>#N/A</v>
      </c>
      <c r="Z3"/>
    </row>
    <row r="4" spans="1:26" x14ac:dyDescent="0.2">
      <c r="A4" s="26">
        <v>3</v>
      </c>
      <c r="B4" s="72">
        <v>45693</v>
      </c>
      <c r="C4" s="77">
        <v>0.42598379629629629</v>
      </c>
      <c r="D4" s="73" t="s">
        <v>76</v>
      </c>
      <c r="E4" s="73" t="s">
        <v>77</v>
      </c>
      <c r="G4" s="73" t="s">
        <v>101</v>
      </c>
      <c r="H4" s="73" t="s">
        <v>79</v>
      </c>
      <c r="I4" s="34" t="str">
        <f ca="1"/>
        <v>29,7</v>
      </c>
      <c r="J4" s="26">
        <v>4</v>
      </c>
      <c r="K4" s="26">
        <v>1</v>
      </c>
      <c r="L4" s="26">
        <v>8</v>
      </c>
      <c r="M4" s="34">
        <f ca="1"/>
        <v>21.7</v>
      </c>
      <c r="N4" s="26" t="e">
        <f ca="1"/>
        <v>#N/A</v>
      </c>
      <c r="O4" s="26" t="e">
        <f ca="1"/>
        <v>#N/A</v>
      </c>
      <c r="P4" s="26" t="e">
        <f ca="1"/>
        <v>#N/A</v>
      </c>
      <c r="Q4" s="34" t="e">
        <f ca="1"/>
        <v>#N/A</v>
      </c>
      <c r="R4" s="34" t="e">
        <f ca="1"/>
        <v>#N/A</v>
      </c>
      <c r="Z4"/>
    </row>
    <row r="5" spans="1:26" x14ac:dyDescent="0.2">
      <c r="A5" s="26">
        <v>4</v>
      </c>
      <c r="B5" s="72">
        <v>45693</v>
      </c>
      <c r="C5" s="77">
        <v>0.42605324074074075</v>
      </c>
      <c r="D5" s="73" t="s">
        <v>76</v>
      </c>
      <c r="E5" s="73" t="s">
        <v>77</v>
      </c>
      <c r="G5" s="73" t="s">
        <v>102</v>
      </c>
      <c r="H5" s="73" t="s">
        <v>79</v>
      </c>
      <c r="I5" s="34" t="str">
        <f ca="1"/>
        <v>29,7</v>
      </c>
      <c r="J5" s="26">
        <v>5</v>
      </c>
      <c r="K5" s="26">
        <v>1</v>
      </c>
      <c r="L5" s="26">
        <v>8</v>
      </c>
      <c r="M5" s="34">
        <f ca="1"/>
        <v>21.7</v>
      </c>
      <c r="N5" s="26" t="e">
        <f ca="1"/>
        <v>#N/A</v>
      </c>
      <c r="O5" s="26" t="e">
        <f ca="1"/>
        <v>#N/A</v>
      </c>
      <c r="P5" s="26" t="e">
        <f ca="1"/>
        <v>#N/A</v>
      </c>
      <c r="Q5" s="34" t="e">
        <f ca="1"/>
        <v>#N/A</v>
      </c>
      <c r="R5" s="34" t="e">
        <f ca="1"/>
        <v>#N/A</v>
      </c>
    </row>
    <row r="6" spans="1:26" x14ac:dyDescent="0.2">
      <c r="A6" s="26">
        <v>5</v>
      </c>
      <c r="B6" s="72">
        <v>45693</v>
      </c>
      <c r="C6" s="77">
        <v>0.42627314814814815</v>
      </c>
      <c r="D6" s="73" t="s">
        <v>76</v>
      </c>
      <c r="E6" s="73" t="s">
        <v>77</v>
      </c>
      <c r="G6" s="73" t="s">
        <v>103</v>
      </c>
      <c r="H6" s="73" t="s">
        <v>79</v>
      </c>
      <c r="I6" s="34" t="str">
        <f ca="1"/>
        <v>29,6</v>
      </c>
      <c r="J6" s="26">
        <v>6</v>
      </c>
      <c r="K6" s="26">
        <v>1</v>
      </c>
      <c r="L6" s="26">
        <v>8</v>
      </c>
      <c r="M6" s="34">
        <f ca="1"/>
        <v>21.6</v>
      </c>
      <c r="N6" s="26" t="e">
        <f ca="1"/>
        <v>#N/A</v>
      </c>
      <c r="O6" s="26" t="e">
        <f ca="1"/>
        <v>#N/A</v>
      </c>
      <c r="P6" s="26" t="e">
        <f ca="1"/>
        <v>#N/A</v>
      </c>
      <c r="Q6" s="34" t="e">
        <f ca="1"/>
        <v>#N/A</v>
      </c>
      <c r="R6" s="34" t="e">
        <f ca="1"/>
        <v>#N/A</v>
      </c>
    </row>
    <row r="7" spans="1:26" x14ac:dyDescent="0.2">
      <c r="A7" s="26">
        <v>6</v>
      </c>
      <c r="B7" s="72">
        <v>45693</v>
      </c>
      <c r="C7" s="77">
        <v>0.42635416666666665</v>
      </c>
      <c r="D7" s="73" t="s">
        <v>76</v>
      </c>
      <c r="E7" s="73" t="s">
        <v>77</v>
      </c>
      <c r="G7" s="73" t="s">
        <v>104</v>
      </c>
      <c r="H7" s="73" t="s">
        <v>79</v>
      </c>
      <c r="I7" s="34" t="str">
        <f ca="1"/>
        <v>29,7</v>
      </c>
      <c r="J7" s="26">
        <v>7</v>
      </c>
      <c r="K7" s="26">
        <v>1</v>
      </c>
      <c r="L7" s="26">
        <v>8</v>
      </c>
      <c r="M7" s="34">
        <f ca="1"/>
        <v>21.7</v>
      </c>
      <c r="N7" s="26" t="e">
        <f ca="1"/>
        <v>#N/A</v>
      </c>
      <c r="O7" s="26" t="e">
        <f ca="1"/>
        <v>#N/A</v>
      </c>
      <c r="P7" s="26" t="e">
        <f ca="1"/>
        <v>#N/A</v>
      </c>
      <c r="Q7" s="34" t="e">
        <f ca="1"/>
        <v>#N/A</v>
      </c>
      <c r="R7" s="34" t="e">
        <f ca="1"/>
        <v>#N/A</v>
      </c>
    </row>
    <row r="8" spans="1:26" x14ac:dyDescent="0.2">
      <c r="A8" s="26">
        <v>7</v>
      </c>
      <c r="B8" s="72">
        <v>45693</v>
      </c>
      <c r="C8" s="77">
        <v>0.4264236111111111</v>
      </c>
      <c r="D8" s="73" t="s">
        <v>76</v>
      </c>
      <c r="E8" s="73" t="s">
        <v>77</v>
      </c>
      <c r="G8" s="73" t="s">
        <v>103</v>
      </c>
      <c r="H8" s="73" t="s">
        <v>79</v>
      </c>
      <c r="I8" s="34" t="str">
        <f ca="1"/>
        <v>29,6</v>
      </c>
      <c r="J8" s="26">
        <v>8</v>
      </c>
      <c r="K8" s="26">
        <v>1</v>
      </c>
      <c r="L8" s="26">
        <v>8</v>
      </c>
      <c r="M8" s="34">
        <f ca="1"/>
        <v>21.6</v>
      </c>
      <c r="N8" s="26" t="e">
        <f ca="1"/>
        <v>#N/A</v>
      </c>
      <c r="O8" s="26" t="e">
        <f ca="1"/>
        <v>#N/A</v>
      </c>
      <c r="P8" s="26" t="e">
        <f ca="1"/>
        <v>#N/A</v>
      </c>
      <c r="Q8" s="34" t="e">
        <f ca="1"/>
        <v>#N/A</v>
      </c>
      <c r="R8" s="34" t="e">
        <f ca="1"/>
        <v>#N/A</v>
      </c>
    </row>
    <row r="9" spans="1:26" x14ac:dyDescent="0.2">
      <c r="A9" s="26">
        <v>8</v>
      </c>
      <c r="B9" s="72">
        <v>45693</v>
      </c>
      <c r="C9" s="77">
        <v>0.42649305555555556</v>
      </c>
      <c r="D9" s="73" t="s">
        <v>76</v>
      </c>
      <c r="E9" s="73" t="s">
        <v>77</v>
      </c>
      <c r="G9" s="73" t="s">
        <v>101</v>
      </c>
      <c r="H9" s="73" t="s">
        <v>79</v>
      </c>
      <c r="I9" s="34" t="str">
        <f ca="1"/>
        <v>29,7</v>
      </c>
      <c r="J9" s="26">
        <v>9</v>
      </c>
      <c r="K9" s="26">
        <v>1</v>
      </c>
      <c r="L9" s="26">
        <v>8</v>
      </c>
      <c r="M9" s="34">
        <f ca="1"/>
        <v>21.7</v>
      </c>
      <c r="N9" s="26" t="e">
        <f ca="1"/>
        <v>#N/A</v>
      </c>
      <c r="O9" s="26" t="e">
        <f ca="1"/>
        <v>#N/A</v>
      </c>
      <c r="P9" s="26" t="e">
        <f ca="1"/>
        <v>#N/A</v>
      </c>
      <c r="Q9" s="34" t="e">
        <f ca="1"/>
        <v>#N/A</v>
      </c>
      <c r="R9" s="34" t="e">
        <f ca="1"/>
        <v>#N/A</v>
      </c>
    </row>
    <row r="10" spans="1:26" x14ac:dyDescent="0.2">
      <c r="A10" s="26">
        <v>9</v>
      </c>
      <c r="B10" s="72">
        <v>45693</v>
      </c>
      <c r="C10" s="77">
        <v>0.42655092592592592</v>
      </c>
      <c r="D10" s="73" t="s">
        <v>76</v>
      </c>
      <c r="E10" s="73" t="s">
        <v>77</v>
      </c>
      <c r="G10" s="73" t="s">
        <v>99</v>
      </c>
      <c r="H10" s="73" t="s">
        <v>79</v>
      </c>
      <c r="I10" s="34" t="str">
        <f ca="1"/>
        <v>29,7</v>
      </c>
      <c r="J10" s="26">
        <v>10</v>
      </c>
      <c r="K10" s="26">
        <v>1</v>
      </c>
      <c r="L10" s="26">
        <v>8</v>
      </c>
      <c r="M10" s="34">
        <f ca="1"/>
        <v>21.7</v>
      </c>
      <c r="N10" s="26" t="e">
        <f ca="1"/>
        <v>#N/A</v>
      </c>
      <c r="O10" s="26" t="e">
        <f ca="1"/>
        <v>#N/A</v>
      </c>
      <c r="P10" s="26" t="e">
        <f ca="1"/>
        <v>#N/A</v>
      </c>
      <c r="Q10" s="34" t="e">
        <f ca="1"/>
        <v>#N/A</v>
      </c>
      <c r="R10" s="34" t="e">
        <f ca="1"/>
        <v>#N/A</v>
      </c>
    </row>
    <row r="11" spans="1:26" x14ac:dyDescent="0.2">
      <c r="A11" s="26">
        <v>10</v>
      </c>
      <c r="B11" s="72">
        <v>45693</v>
      </c>
      <c r="C11" s="77">
        <v>0.42663194444444447</v>
      </c>
      <c r="D11" s="73" t="s">
        <v>76</v>
      </c>
      <c r="E11" s="73" t="s">
        <v>77</v>
      </c>
      <c r="G11" s="73" t="s">
        <v>105</v>
      </c>
      <c r="H11" s="73" t="s">
        <v>79</v>
      </c>
      <c r="I11" s="34" t="str">
        <f ca="1"/>
        <v>29,7</v>
      </c>
      <c r="J11" s="26">
        <v>11</v>
      </c>
      <c r="K11" s="26">
        <v>1</v>
      </c>
      <c r="L11" s="26">
        <v>8</v>
      </c>
      <c r="M11" s="34">
        <f ca="1"/>
        <v>21.7</v>
      </c>
      <c r="N11" s="26">
        <f ca="1"/>
        <v>20</v>
      </c>
      <c r="O11" s="26">
        <f ca="1"/>
        <v>19.7</v>
      </c>
      <c r="P11" s="26">
        <f ca="1"/>
        <v>20.3</v>
      </c>
      <c r="Q11" s="34">
        <f ca="1"/>
        <v>21.679999999999996</v>
      </c>
      <c r="R11" s="34">
        <f ca="1"/>
        <v>21.679999999999996</v>
      </c>
    </row>
    <row r="12" spans="1:26" x14ac:dyDescent="0.2">
      <c r="A12" s="26">
        <v>11</v>
      </c>
      <c r="B12" s="72">
        <v>45693</v>
      </c>
      <c r="C12" s="77">
        <v>0.42674768518518519</v>
      </c>
      <c r="D12" s="73" t="s">
        <v>76</v>
      </c>
      <c r="E12" s="73" t="s">
        <v>77</v>
      </c>
      <c r="G12" s="73" t="s">
        <v>105</v>
      </c>
      <c r="H12" s="73" t="s">
        <v>79</v>
      </c>
      <c r="I12" s="34" t="str">
        <f ca="1"/>
        <v>29,7</v>
      </c>
      <c r="J12" s="26">
        <v>12</v>
      </c>
      <c r="K12" s="26">
        <v>1</v>
      </c>
      <c r="L12" s="26">
        <v>8</v>
      </c>
      <c r="M12" s="34">
        <f ca="1"/>
        <v>21.7</v>
      </c>
      <c r="N12" s="26" t="e">
        <f ca="1"/>
        <v>#N/A</v>
      </c>
      <c r="O12" s="26" t="e">
        <f ca="1"/>
        <v>#N/A</v>
      </c>
      <c r="P12" s="26" t="e">
        <f ca="1"/>
        <v>#N/A</v>
      </c>
      <c r="Q12" s="34" t="e">
        <f ca="1"/>
        <v>#N/A</v>
      </c>
      <c r="R12" s="34" t="e">
        <f ca="1"/>
        <v>#N/A</v>
      </c>
    </row>
    <row r="13" spans="1:26" x14ac:dyDescent="0.2">
      <c r="A13" s="26">
        <v>12</v>
      </c>
      <c r="B13" s="72">
        <v>45693</v>
      </c>
      <c r="C13" s="77">
        <v>0.42682870370370368</v>
      </c>
      <c r="D13" s="73" t="s">
        <v>76</v>
      </c>
      <c r="E13" s="73" t="s">
        <v>77</v>
      </c>
      <c r="G13" s="73" t="s">
        <v>106</v>
      </c>
      <c r="H13" s="73" t="s">
        <v>79</v>
      </c>
      <c r="I13" s="34" t="str">
        <f ca="1"/>
        <v>29,6</v>
      </c>
      <c r="J13" s="26">
        <v>13</v>
      </c>
      <c r="K13" s="26">
        <v>1</v>
      </c>
      <c r="L13" s="26">
        <v>8</v>
      </c>
      <c r="M13" s="34">
        <f ca="1"/>
        <v>21.6</v>
      </c>
      <c r="N13" s="26" t="e">
        <f ca="1"/>
        <v>#N/A</v>
      </c>
      <c r="O13" s="26" t="e">
        <f ca="1"/>
        <v>#N/A</v>
      </c>
      <c r="P13" s="26" t="e">
        <f ca="1"/>
        <v>#N/A</v>
      </c>
      <c r="Q13" s="34" t="e">
        <f ca="1"/>
        <v>#N/A</v>
      </c>
      <c r="R13" s="34" t="e">
        <f ca="1"/>
        <v>#N/A</v>
      </c>
    </row>
    <row r="14" spans="1:26" x14ac:dyDescent="0.2">
      <c r="A14" s="26">
        <v>13</v>
      </c>
      <c r="B14" s="72">
        <v>45693</v>
      </c>
      <c r="C14" s="77">
        <v>0.426875</v>
      </c>
      <c r="D14" s="73" t="s">
        <v>76</v>
      </c>
      <c r="E14" s="73" t="s">
        <v>77</v>
      </c>
      <c r="G14" s="73" t="s">
        <v>78</v>
      </c>
      <c r="H14" s="73" t="s">
        <v>79</v>
      </c>
      <c r="I14" s="34" t="str">
        <f ca="1"/>
        <v>29,7</v>
      </c>
      <c r="J14" s="26">
        <v>14</v>
      </c>
      <c r="K14" s="26">
        <v>1</v>
      </c>
      <c r="L14" s="26">
        <v>8</v>
      </c>
      <c r="M14" s="34">
        <f ca="1"/>
        <v>21.7</v>
      </c>
      <c r="N14" s="26" t="e">
        <f ca="1"/>
        <v>#N/A</v>
      </c>
      <c r="O14" s="26" t="e">
        <f ca="1"/>
        <v>#N/A</v>
      </c>
      <c r="P14" s="26" t="e">
        <f ca="1"/>
        <v>#N/A</v>
      </c>
      <c r="Q14" s="34" t="e">
        <f ca="1"/>
        <v>#N/A</v>
      </c>
      <c r="R14" s="34" t="e">
        <f ca="1"/>
        <v>#N/A</v>
      </c>
    </row>
    <row r="15" spans="1:26" x14ac:dyDescent="0.2">
      <c r="A15" s="26">
        <v>14</v>
      </c>
      <c r="B15" s="72">
        <v>45693</v>
      </c>
      <c r="C15" s="77">
        <v>0.42693287037037037</v>
      </c>
      <c r="D15" s="73" t="s">
        <v>76</v>
      </c>
      <c r="E15" s="73" t="s">
        <v>77</v>
      </c>
      <c r="G15" s="73" t="s">
        <v>105</v>
      </c>
      <c r="H15" s="74" t="s">
        <v>79</v>
      </c>
      <c r="I15" s="34" t="str">
        <f ca="1"/>
        <v>29,7</v>
      </c>
      <c r="J15" s="26">
        <v>15</v>
      </c>
      <c r="K15" s="26">
        <v>1</v>
      </c>
      <c r="L15" s="26">
        <v>8</v>
      </c>
      <c r="M15" s="34">
        <f ca="1"/>
        <v>21.7</v>
      </c>
      <c r="N15" s="26" t="e">
        <f ca="1"/>
        <v>#N/A</v>
      </c>
      <c r="O15" s="26" t="e">
        <f ca="1"/>
        <v>#N/A</v>
      </c>
      <c r="P15" s="26" t="e">
        <f ca="1"/>
        <v>#N/A</v>
      </c>
      <c r="Q15" s="34" t="e">
        <f ca="1"/>
        <v>#N/A</v>
      </c>
      <c r="R15" s="34" t="e">
        <f ca="1"/>
        <v>#N/A</v>
      </c>
    </row>
    <row r="16" spans="1:26" x14ac:dyDescent="0.2">
      <c r="A16" s="26">
        <v>15</v>
      </c>
      <c r="B16" s="72">
        <v>45693</v>
      </c>
      <c r="C16" s="77">
        <v>0.42697916666666669</v>
      </c>
      <c r="D16" s="73" t="s">
        <v>76</v>
      </c>
      <c r="E16" s="73" t="s">
        <v>77</v>
      </c>
      <c r="G16" s="73" t="s">
        <v>102</v>
      </c>
      <c r="H16" s="73" t="s">
        <v>79</v>
      </c>
      <c r="I16" s="34" t="str">
        <f ca="1"/>
        <v>29,7</v>
      </c>
      <c r="J16" s="26">
        <v>16</v>
      </c>
      <c r="K16" s="26">
        <v>1</v>
      </c>
      <c r="L16" s="26">
        <v>8</v>
      </c>
      <c r="M16" s="34">
        <f ca="1"/>
        <v>21.7</v>
      </c>
      <c r="N16" s="26" t="e">
        <f ca="1"/>
        <v>#N/A</v>
      </c>
      <c r="O16" s="26" t="e">
        <f ca="1"/>
        <v>#N/A</v>
      </c>
      <c r="P16" s="26" t="e">
        <f ca="1"/>
        <v>#N/A</v>
      </c>
      <c r="Q16" s="34" t="e">
        <f ca="1"/>
        <v>#N/A</v>
      </c>
      <c r="R16" s="34" t="e">
        <f ca="1"/>
        <v>#N/A</v>
      </c>
    </row>
    <row r="17" spans="1:18" x14ac:dyDescent="0.2">
      <c r="A17" s="26">
        <v>16</v>
      </c>
      <c r="B17" s="72">
        <v>45693</v>
      </c>
      <c r="C17" s="77">
        <v>0.42703703703703705</v>
      </c>
      <c r="D17" s="73" t="s">
        <v>76</v>
      </c>
      <c r="E17" s="73" t="s">
        <v>77</v>
      </c>
      <c r="G17" s="73" t="s">
        <v>78</v>
      </c>
      <c r="H17" s="73" t="s">
        <v>79</v>
      </c>
      <c r="I17" s="34" t="str">
        <f ca="1"/>
        <v>29,7</v>
      </c>
      <c r="J17" s="26">
        <v>17</v>
      </c>
      <c r="K17" s="26">
        <v>1</v>
      </c>
      <c r="L17" s="26">
        <v>8</v>
      </c>
      <c r="M17" s="34">
        <f ca="1"/>
        <v>21.7</v>
      </c>
      <c r="N17" s="26" t="e">
        <f ca="1"/>
        <v>#N/A</v>
      </c>
      <c r="O17" s="26" t="e">
        <f ca="1"/>
        <v>#N/A</v>
      </c>
      <c r="P17" s="26" t="e">
        <f ca="1"/>
        <v>#N/A</v>
      </c>
      <c r="Q17" s="34" t="e">
        <f ca="1"/>
        <v>#N/A</v>
      </c>
      <c r="R17" s="34" t="e">
        <f ca="1"/>
        <v>#N/A</v>
      </c>
    </row>
    <row r="18" spans="1:18" x14ac:dyDescent="0.2">
      <c r="A18" s="26">
        <v>17</v>
      </c>
      <c r="B18" s="72">
        <v>45693</v>
      </c>
      <c r="C18" s="77">
        <v>0.42709490740740741</v>
      </c>
      <c r="D18" s="73" t="s">
        <v>76</v>
      </c>
      <c r="E18" s="73" t="s">
        <v>77</v>
      </c>
      <c r="G18" s="73" t="s">
        <v>103</v>
      </c>
      <c r="H18" s="73" t="s">
        <v>79</v>
      </c>
      <c r="I18" s="34" t="str">
        <f ca="1"/>
        <v>29,6</v>
      </c>
      <c r="J18" s="26">
        <v>18</v>
      </c>
      <c r="K18" s="26">
        <v>1</v>
      </c>
      <c r="L18" s="26">
        <v>8</v>
      </c>
      <c r="M18" s="34">
        <f ca="1"/>
        <v>21.6</v>
      </c>
      <c r="N18" s="26" t="e">
        <f ca="1"/>
        <v>#N/A</v>
      </c>
      <c r="O18" s="26" t="e">
        <f ca="1"/>
        <v>#N/A</v>
      </c>
      <c r="P18" s="26" t="e">
        <f ca="1"/>
        <v>#N/A</v>
      </c>
      <c r="Q18" s="34" t="e">
        <f ca="1"/>
        <v>#N/A</v>
      </c>
      <c r="R18" s="34" t="e">
        <f ca="1"/>
        <v>#N/A</v>
      </c>
    </row>
    <row r="19" spans="1:18" x14ac:dyDescent="0.2">
      <c r="A19" s="26">
        <v>18</v>
      </c>
      <c r="B19" s="72">
        <v>45693</v>
      </c>
      <c r="C19" s="77">
        <v>0.42714120370370373</v>
      </c>
      <c r="D19" s="73" t="s">
        <v>76</v>
      </c>
      <c r="E19" s="73" t="s">
        <v>77</v>
      </c>
      <c r="G19" s="73" t="s">
        <v>101</v>
      </c>
      <c r="H19" s="74" t="s">
        <v>79</v>
      </c>
      <c r="I19" s="34" t="str">
        <f ca="1"/>
        <v>29,7</v>
      </c>
      <c r="J19" s="26">
        <v>19</v>
      </c>
      <c r="K19" s="26">
        <v>1</v>
      </c>
      <c r="L19" s="26">
        <v>8</v>
      </c>
      <c r="M19" s="34">
        <f ca="1"/>
        <v>21.7</v>
      </c>
      <c r="N19" s="26" t="e">
        <f ca="1"/>
        <v>#N/A</v>
      </c>
      <c r="O19" s="26" t="e">
        <f ca="1"/>
        <v>#N/A</v>
      </c>
      <c r="P19" s="26" t="e">
        <f ca="1"/>
        <v>#N/A</v>
      </c>
      <c r="Q19" s="34" t="e">
        <f ca="1"/>
        <v>#N/A</v>
      </c>
      <c r="R19" s="34" t="e">
        <f ca="1"/>
        <v>#N/A</v>
      </c>
    </row>
    <row r="20" spans="1:18" x14ac:dyDescent="0.2">
      <c r="A20" s="26">
        <v>19</v>
      </c>
      <c r="B20" s="72">
        <v>45693</v>
      </c>
      <c r="C20" s="77">
        <v>0.4271875</v>
      </c>
      <c r="D20" s="73" t="s">
        <v>76</v>
      </c>
      <c r="E20" s="73" t="s">
        <v>77</v>
      </c>
      <c r="G20" s="73" t="s">
        <v>78</v>
      </c>
      <c r="H20" s="73" t="s">
        <v>79</v>
      </c>
      <c r="I20" s="34" t="str">
        <f ca="1"/>
        <v>29,7</v>
      </c>
      <c r="J20" s="26">
        <v>20</v>
      </c>
      <c r="K20" s="26">
        <v>1</v>
      </c>
      <c r="L20" s="26">
        <v>8</v>
      </c>
      <c r="M20" s="34">
        <f ca="1"/>
        <v>21.7</v>
      </c>
      <c r="N20" s="26" t="e">
        <f ca="1"/>
        <v>#N/A</v>
      </c>
      <c r="O20" s="26" t="e">
        <f ca="1"/>
        <v>#N/A</v>
      </c>
      <c r="P20" s="26" t="e">
        <f ca="1"/>
        <v>#N/A</v>
      </c>
      <c r="Q20" s="34" t="e">
        <f ca="1"/>
        <v>#N/A</v>
      </c>
      <c r="R20" s="34" t="e">
        <f ca="1"/>
        <v>#N/A</v>
      </c>
    </row>
    <row r="21" spans="1:18" x14ac:dyDescent="0.2">
      <c r="A21" s="26">
        <v>20</v>
      </c>
      <c r="B21" s="72">
        <v>45693</v>
      </c>
      <c r="C21" s="77">
        <v>0.42724537037037036</v>
      </c>
      <c r="D21" s="73" t="s">
        <v>76</v>
      </c>
      <c r="E21" s="73" t="s">
        <v>77</v>
      </c>
      <c r="G21" s="73" t="s">
        <v>105</v>
      </c>
      <c r="H21" s="73" t="s">
        <v>79</v>
      </c>
      <c r="I21" s="34" t="str">
        <f ca="1"/>
        <v>29,7</v>
      </c>
      <c r="J21" s="26">
        <v>21</v>
      </c>
      <c r="K21" s="26">
        <v>1</v>
      </c>
      <c r="L21" s="26">
        <v>8</v>
      </c>
      <c r="M21" s="34">
        <f ca="1"/>
        <v>21.7</v>
      </c>
      <c r="N21" s="26">
        <f ca="1"/>
        <v>20</v>
      </c>
      <c r="O21" s="26">
        <f ca="1"/>
        <v>19.7</v>
      </c>
      <c r="P21" s="26">
        <f ca="1"/>
        <v>20.3</v>
      </c>
      <c r="Q21" s="34">
        <f ca="1"/>
        <v>21.679999999999996</v>
      </c>
      <c r="R21" s="34">
        <f ca="1"/>
        <v>21.679999999999996</v>
      </c>
    </row>
    <row r="22" spans="1:18" x14ac:dyDescent="0.2">
      <c r="A22" s="26">
        <v>21</v>
      </c>
      <c r="B22" s="72">
        <v>45693</v>
      </c>
      <c r="C22" s="77">
        <v>0.42730324074074072</v>
      </c>
      <c r="D22" s="73" t="s">
        <v>76</v>
      </c>
      <c r="E22" s="73" t="s">
        <v>77</v>
      </c>
      <c r="G22" s="73" t="s">
        <v>106</v>
      </c>
      <c r="H22" s="73" t="s">
        <v>79</v>
      </c>
      <c r="I22" s="34" t="str">
        <f ca="1"/>
        <v>29,6</v>
      </c>
      <c r="J22" s="26">
        <v>22</v>
      </c>
      <c r="K22" s="26">
        <v>1</v>
      </c>
      <c r="L22" s="26">
        <v>8</v>
      </c>
      <c r="M22" s="34">
        <f ca="1"/>
        <v>21.6</v>
      </c>
      <c r="N22" s="26" t="e">
        <f ca="1"/>
        <v>#N/A</v>
      </c>
      <c r="O22" s="26" t="e">
        <f ca="1"/>
        <v>#N/A</v>
      </c>
      <c r="P22" s="26" t="e">
        <f ca="1"/>
        <v>#N/A</v>
      </c>
      <c r="Q22" s="34" t="e">
        <f ca="1"/>
        <v>#N/A</v>
      </c>
      <c r="R22" s="34" t="e">
        <f ca="1"/>
        <v>#N/A</v>
      </c>
    </row>
    <row r="23" spans="1:18" x14ac:dyDescent="0.2">
      <c r="A23" s="26">
        <v>22</v>
      </c>
      <c r="B23" s="72">
        <v>45693</v>
      </c>
      <c r="C23" s="77">
        <v>0.42734953703703704</v>
      </c>
      <c r="D23" s="73" t="s">
        <v>76</v>
      </c>
      <c r="E23" s="73" t="s">
        <v>77</v>
      </c>
      <c r="G23" s="73" t="s">
        <v>101</v>
      </c>
      <c r="H23" s="74" t="s">
        <v>79</v>
      </c>
      <c r="I23" s="34" t="str">
        <f ca="1"/>
        <v>29,7</v>
      </c>
      <c r="J23" s="26">
        <v>23</v>
      </c>
      <c r="K23" s="26">
        <v>1</v>
      </c>
      <c r="L23" s="26">
        <v>8</v>
      </c>
      <c r="M23" s="34">
        <f ca="1"/>
        <v>21.7</v>
      </c>
      <c r="N23" s="26" t="e">
        <f ca="1"/>
        <v>#N/A</v>
      </c>
      <c r="O23" s="26" t="e">
        <f ca="1"/>
        <v>#N/A</v>
      </c>
      <c r="P23" s="26" t="e">
        <f ca="1"/>
        <v>#N/A</v>
      </c>
      <c r="Q23" s="34" t="e">
        <f ca="1"/>
        <v>#N/A</v>
      </c>
      <c r="R23" s="34" t="e">
        <f ca="1"/>
        <v>#N/A</v>
      </c>
    </row>
    <row r="24" spans="1:18" x14ac:dyDescent="0.2">
      <c r="A24" s="26">
        <v>23</v>
      </c>
      <c r="B24" s="72">
        <v>45693</v>
      </c>
      <c r="C24" s="77">
        <v>0.42753472222222222</v>
      </c>
      <c r="D24" s="73" t="s">
        <v>76</v>
      </c>
      <c r="E24" s="73" t="s">
        <v>77</v>
      </c>
      <c r="G24" s="73" t="s">
        <v>107</v>
      </c>
      <c r="H24" s="73" t="s">
        <v>79</v>
      </c>
      <c r="I24" s="34" t="str">
        <f ca="1"/>
        <v>22,6</v>
      </c>
      <c r="J24" s="26">
        <v>24</v>
      </c>
      <c r="K24" s="26">
        <v>1</v>
      </c>
      <c r="L24" s="26">
        <v>8</v>
      </c>
      <c r="M24" s="34">
        <f ca="1"/>
        <v>14.600000000000001</v>
      </c>
      <c r="N24" s="26" t="e">
        <f ca="1"/>
        <v>#N/A</v>
      </c>
      <c r="O24" s="26" t="e">
        <f ca="1"/>
        <v>#N/A</v>
      </c>
      <c r="P24" s="26" t="e">
        <f ca="1"/>
        <v>#N/A</v>
      </c>
      <c r="Q24" s="34" t="e">
        <f ca="1"/>
        <v>#N/A</v>
      </c>
      <c r="R24" s="34" t="e">
        <f ca="1"/>
        <v>#N/A</v>
      </c>
    </row>
    <row r="25" spans="1:18" x14ac:dyDescent="0.2">
      <c r="A25" s="26">
        <v>24</v>
      </c>
      <c r="B25" s="72">
        <v>45693</v>
      </c>
      <c r="C25" s="77">
        <v>0.42759259259259258</v>
      </c>
      <c r="D25" s="73" t="s">
        <v>76</v>
      </c>
      <c r="E25" s="73" t="s">
        <v>77</v>
      </c>
      <c r="G25" s="73" t="s">
        <v>102</v>
      </c>
      <c r="H25" s="73" t="s">
        <v>79</v>
      </c>
      <c r="I25" s="34" t="str">
        <f ca="1"/>
        <v>29,7</v>
      </c>
      <c r="J25" s="26">
        <v>25</v>
      </c>
      <c r="K25" s="26">
        <v>1</v>
      </c>
      <c r="L25" s="26">
        <v>8</v>
      </c>
      <c r="M25" s="34">
        <f ca="1"/>
        <v>21.7</v>
      </c>
      <c r="N25" s="26" t="e">
        <f ca="1"/>
        <v>#N/A</v>
      </c>
      <c r="O25" s="26" t="e">
        <f ca="1"/>
        <v>#N/A</v>
      </c>
      <c r="P25" s="26" t="e">
        <f ca="1"/>
        <v>#N/A</v>
      </c>
      <c r="Q25" s="34" t="e">
        <f ca="1"/>
        <v>#N/A</v>
      </c>
      <c r="R25" s="34" t="e">
        <f ca="1"/>
        <v>#N/A</v>
      </c>
    </row>
    <row r="26" spans="1:18" x14ac:dyDescent="0.2">
      <c r="A26" s="26">
        <v>25</v>
      </c>
      <c r="B26" s="72">
        <v>45693</v>
      </c>
      <c r="C26" s="77">
        <v>0.42765046296296294</v>
      </c>
      <c r="D26" s="73" t="s">
        <v>76</v>
      </c>
      <c r="E26" s="73" t="s">
        <v>77</v>
      </c>
      <c r="G26" s="73" t="s">
        <v>103</v>
      </c>
      <c r="H26" s="73" t="s">
        <v>79</v>
      </c>
      <c r="I26" s="34" t="str">
        <f ca="1"/>
        <v>29,6</v>
      </c>
      <c r="J26" s="26">
        <v>26</v>
      </c>
      <c r="K26" s="26">
        <v>1</v>
      </c>
      <c r="L26" s="26">
        <v>8</v>
      </c>
      <c r="M26" s="34">
        <f ca="1"/>
        <v>21.6</v>
      </c>
      <c r="N26" s="26" t="e">
        <f ca="1"/>
        <v>#N/A</v>
      </c>
      <c r="O26" s="26" t="e">
        <f ca="1"/>
        <v>#N/A</v>
      </c>
      <c r="P26" s="26" t="e">
        <f ca="1"/>
        <v>#N/A</v>
      </c>
      <c r="Q26" s="34" t="e">
        <f ca="1"/>
        <v>#N/A</v>
      </c>
      <c r="R26" s="34" t="e">
        <f ca="1"/>
        <v>#N/A</v>
      </c>
    </row>
    <row r="27" spans="1:18" x14ac:dyDescent="0.2">
      <c r="A27" s="26">
        <v>26</v>
      </c>
      <c r="B27" s="72">
        <v>45693</v>
      </c>
      <c r="C27" s="77">
        <v>0.42769675925925926</v>
      </c>
      <c r="D27" s="73" t="s">
        <v>76</v>
      </c>
      <c r="E27" s="73" t="s">
        <v>77</v>
      </c>
      <c r="G27" s="73" t="s">
        <v>107</v>
      </c>
      <c r="H27" s="73" t="s">
        <v>79</v>
      </c>
      <c r="I27" s="34" t="str">
        <f ca="1"/>
        <v>22,6</v>
      </c>
      <c r="J27" s="26">
        <v>27</v>
      </c>
      <c r="K27" s="26">
        <v>1</v>
      </c>
      <c r="L27" s="26">
        <v>8</v>
      </c>
      <c r="M27" s="34">
        <f ca="1"/>
        <v>14.600000000000001</v>
      </c>
      <c r="N27" s="26" t="e">
        <f ca="1"/>
        <v>#N/A</v>
      </c>
      <c r="O27" s="26" t="e">
        <f ca="1"/>
        <v>#N/A</v>
      </c>
      <c r="P27" s="26" t="e">
        <f ca="1"/>
        <v>#N/A</v>
      </c>
      <c r="Q27" s="34" t="e">
        <f ca="1"/>
        <v>#N/A</v>
      </c>
      <c r="R27" s="34" t="e">
        <f ca="1"/>
        <v>#N/A</v>
      </c>
    </row>
    <row r="28" spans="1:18" x14ac:dyDescent="0.2">
      <c r="A28" s="26">
        <v>27</v>
      </c>
      <c r="B28" s="72">
        <v>45693</v>
      </c>
      <c r="C28" s="77">
        <v>0.42775462962962962</v>
      </c>
      <c r="D28" s="73" t="s">
        <v>76</v>
      </c>
      <c r="E28" s="73" t="s">
        <v>77</v>
      </c>
      <c r="G28" s="73" t="s">
        <v>78</v>
      </c>
      <c r="H28" s="73" t="s">
        <v>79</v>
      </c>
      <c r="I28" s="34" t="str">
        <f ca="1"/>
        <v>29,7</v>
      </c>
      <c r="J28" s="26">
        <v>28</v>
      </c>
      <c r="K28" s="26">
        <v>1</v>
      </c>
      <c r="L28" s="26">
        <v>8</v>
      </c>
      <c r="M28" s="34">
        <f ca="1"/>
        <v>21.7</v>
      </c>
      <c r="N28" s="26" t="e">
        <f ca="1"/>
        <v>#N/A</v>
      </c>
      <c r="O28" s="26" t="e">
        <f ca="1"/>
        <v>#N/A</v>
      </c>
      <c r="P28" s="26" t="e">
        <f ca="1"/>
        <v>#N/A</v>
      </c>
      <c r="Q28" s="34" t="e">
        <f ca="1"/>
        <v>#N/A</v>
      </c>
      <c r="R28" s="34" t="e">
        <f ca="1"/>
        <v>#N/A</v>
      </c>
    </row>
    <row r="29" spans="1:18" x14ac:dyDescent="0.2">
      <c r="A29" s="26">
        <v>28</v>
      </c>
      <c r="B29" s="72">
        <v>45693</v>
      </c>
      <c r="C29" s="77">
        <v>0.42781249999999998</v>
      </c>
      <c r="D29" s="73" t="s">
        <v>76</v>
      </c>
      <c r="E29" s="73" t="s">
        <v>77</v>
      </c>
      <c r="G29" s="73" t="s">
        <v>108</v>
      </c>
      <c r="H29" s="73" t="s">
        <v>79</v>
      </c>
      <c r="I29" s="34" t="str">
        <f ca="1"/>
        <v>22,6</v>
      </c>
      <c r="J29" s="26">
        <v>29</v>
      </c>
      <c r="K29" s="26">
        <v>1</v>
      </c>
      <c r="L29" s="26">
        <v>8</v>
      </c>
      <c r="M29" s="34">
        <f ca="1"/>
        <v>14.600000000000001</v>
      </c>
      <c r="N29" s="26" t="e">
        <f ca="1"/>
        <v>#N/A</v>
      </c>
      <c r="O29" s="26" t="e">
        <f ca="1"/>
        <v>#N/A</v>
      </c>
      <c r="P29" s="26" t="e">
        <f ca="1"/>
        <v>#N/A</v>
      </c>
      <c r="Q29" s="34" t="e">
        <f ca="1"/>
        <v>#N/A</v>
      </c>
      <c r="R29" s="34" t="e">
        <f ca="1"/>
        <v>#N/A</v>
      </c>
    </row>
    <row r="30" spans="1:18" x14ac:dyDescent="0.2">
      <c r="A30" s="26">
        <v>29</v>
      </c>
      <c r="B30" s="72">
        <v>45693</v>
      </c>
      <c r="C30" s="77">
        <v>0.42788194444444444</v>
      </c>
      <c r="D30" s="73" t="s">
        <v>76</v>
      </c>
      <c r="E30" s="73" t="s">
        <v>77</v>
      </c>
      <c r="G30" s="73" t="s">
        <v>108</v>
      </c>
      <c r="H30" s="73" t="s">
        <v>79</v>
      </c>
      <c r="I30" s="34" t="str">
        <f ca="1"/>
        <v>22,6</v>
      </c>
      <c r="J30" s="26">
        <v>30</v>
      </c>
      <c r="K30" s="26">
        <v>1</v>
      </c>
      <c r="L30" s="26">
        <v>8</v>
      </c>
      <c r="M30" s="34">
        <f ca="1"/>
        <v>14.600000000000001</v>
      </c>
      <c r="N30" s="26" t="e">
        <f ca="1"/>
        <v>#N/A</v>
      </c>
      <c r="O30" s="26" t="e">
        <f ca="1"/>
        <v>#N/A</v>
      </c>
      <c r="P30" s="26" t="e">
        <f ca="1"/>
        <v>#N/A</v>
      </c>
      <c r="Q30" s="34" t="e">
        <f ca="1"/>
        <v>#N/A</v>
      </c>
      <c r="R30" s="34" t="e">
        <f ca="1"/>
        <v>#N/A</v>
      </c>
    </row>
    <row r="31" spans="1:18" x14ac:dyDescent="0.2">
      <c r="A31" s="26">
        <v>30</v>
      </c>
      <c r="B31" s="72">
        <v>45693</v>
      </c>
      <c r="C31" s="77">
        <v>0.4279513888888889</v>
      </c>
      <c r="D31" s="73" t="s">
        <v>76</v>
      </c>
      <c r="E31" s="73" t="s">
        <v>77</v>
      </c>
      <c r="G31" s="73" t="s">
        <v>106</v>
      </c>
      <c r="H31" s="73" t="s">
        <v>79</v>
      </c>
      <c r="I31" s="34" t="str">
        <f ca="1"/>
        <v>29,6</v>
      </c>
      <c r="J31" s="26">
        <v>31</v>
      </c>
      <c r="K31" s="26">
        <v>1</v>
      </c>
      <c r="L31" s="26">
        <v>8</v>
      </c>
      <c r="M31" s="34">
        <f ca="1"/>
        <v>21.6</v>
      </c>
      <c r="N31" s="26">
        <f ca="1"/>
        <v>20</v>
      </c>
      <c r="O31" s="26">
        <f ca="1"/>
        <v>19.7</v>
      </c>
      <c r="P31" s="26">
        <f ca="1"/>
        <v>20.3</v>
      </c>
      <c r="Q31" s="34">
        <f ca="1"/>
        <v>20.730000000000004</v>
      </c>
      <c r="R31" s="34">
        <f ca="1"/>
        <v>18.829999999999995</v>
      </c>
    </row>
    <row r="32" spans="1:18" x14ac:dyDescent="0.2">
      <c r="A32" s="26">
        <v>31</v>
      </c>
      <c r="B32" s="72">
        <v>45693</v>
      </c>
      <c r="C32" s="77">
        <v>0.42800925925925926</v>
      </c>
      <c r="D32" s="73" t="s">
        <v>76</v>
      </c>
      <c r="E32" s="73" t="s">
        <v>77</v>
      </c>
      <c r="G32" s="73" t="s">
        <v>109</v>
      </c>
      <c r="H32" s="73" t="s">
        <v>79</v>
      </c>
      <c r="I32" s="34" t="str">
        <f ca="1"/>
        <v>11,3</v>
      </c>
      <c r="J32" s="26">
        <v>32</v>
      </c>
      <c r="K32" s="26">
        <v>1</v>
      </c>
      <c r="L32" s="26">
        <v>8</v>
      </c>
      <c r="M32" s="34">
        <f ca="1"/>
        <v>3.3000000000000007</v>
      </c>
      <c r="N32" s="26" t="e">
        <f ca="1"/>
        <v>#N/A</v>
      </c>
      <c r="O32" s="26" t="e">
        <f ca="1"/>
        <v>#N/A</v>
      </c>
      <c r="P32" s="26" t="e">
        <f ca="1"/>
        <v>#N/A</v>
      </c>
      <c r="Q32" s="34" t="e">
        <f ca="1"/>
        <v>#N/A</v>
      </c>
      <c r="R32" s="34" t="e">
        <f ca="1"/>
        <v>#N/A</v>
      </c>
    </row>
    <row r="33" spans="1:18" x14ac:dyDescent="0.2">
      <c r="A33" s="2">
        <v>32</v>
      </c>
      <c r="B33" s="72">
        <v>45693</v>
      </c>
      <c r="C33" s="77">
        <v>0.42811342592592594</v>
      </c>
      <c r="D33" s="73" t="s">
        <v>76</v>
      </c>
      <c r="E33" s="73" t="s">
        <v>77</v>
      </c>
      <c r="G33" s="73" t="s">
        <v>106</v>
      </c>
      <c r="H33" s="73" t="s">
        <v>79</v>
      </c>
      <c r="I33" s="36" t="str">
        <f ca="1"/>
        <v>29,6</v>
      </c>
      <c r="J33" s="2">
        <v>33</v>
      </c>
      <c r="K33" s="2">
        <v>1</v>
      </c>
      <c r="L33" s="2">
        <v>8</v>
      </c>
      <c r="M33" s="36">
        <f ca="1"/>
        <v>21.6</v>
      </c>
      <c r="N33" s="2" t="e">
        <f ca="1"/>
        <v>#N/A</v>
      </c>
      <c r="O33" s="2" t="e">
        <f ca="1"/>
        <v>#N/A</v>
      </c>
      <c r="P33" s="2" t="e">
        <f ca="1"/>
        <v>#N/A</v>
      </c>
      <c r="Q33" s="36" t="e">
        <f ca="1"/>
        <v>#N/A</v>
      </c>
      <c r="R33" s="36" t="e">
        <f ca="1"/>
        <v>#N/A</v>
      </c>
    </row>
    <row r="34" spans="1:18" x14ac:dyDescent="0.2">
      <c r="A34" s="2">
        <v>33</v>
      </c>
      <c r="B34" s="72">
        <v>45693</v>
      </c>
      <c r="C34" s="77">
        <v>0.4281712962962963</v>
      </c>
      <c r="D34" s="73" t="s">
        <v>76</v>
      </c>
      <c r="E34" s="73" t="s">
        <v>77</v>
      </c>
      <c r="G34" s="73" t="s">
        <v>104</v>
      </c>
      <c r="H34" s="73" t="s">
        <v>79</v>
      </c>
      <c r="I34" s="36" t="str">
        <f ca="1"/>
        <v>29,7</v>
      </c>
      <c r="J34" s="2">
        <v>34</v>
      </c>
      <c r="K34" s="2">
        <v>1</v>
      </c>
      <c r="L34" s="2">
        <v>8</v>
      </c>
      <c r="M34" s="36">
        <f ca="1"/>
        <v>21.7</v>
      </c>
      <c r="N34" s="2" t="e">
        <f ca="1"/>
        <v>#N/A</v>
      </c>
      <c r="O34" s="2" t="e">
        <f ca="1"/>
        <v>#N/A</v>
      </c>
      <c r="P34" s="2" t="e">
        <f ca="1"/>
        <v>#N/A</v>
      </c>
      <c r="Q34" s="36" t="e">
        <f ca="1"/>
        <v>#N/A</v>
      </c>
      <c r="R34" s="36" t="e">
        <f ca="1"/>
        <v>#N/A</v>
      </c>
    </row>
    <row r="35" spans="1:18" x14ac:dyDescent="0.2">
      <c r="A35" s="2">
        <v>34</v>
      </c>
      <c r="B35" s="72">
        <v>45693</v>
      </c>
      <c r="C35" s="77">
        <v>0.42822916666666666</v>
      </c>
      <c r="D35" s="73" t="s">
        <v>76</v>
      </c>
      <c r="E35" s="73" t="s">
        <v>77</v>
      </c>
      <c r="G35" s="73" t="s">
        <v>105</v>
      </c>
      <c r="H35" s="73" t="s">
        <v>79</v>
      </c>
      <c r="I35" s="36" t="str">
        <f ca="1"/>
        <v>29,7</v>
      </c>
      <c r="J35" s="2">
        <v>35</v>
      </c>
      <c r="K35" s="2">
        <v>1</v>
      </c>
      <c r="L35" s="2">
        <v>8</v>
      </c>
      <c r="M35" s="36">
        <f ca="1"/>
        <v>21.7</v>
      </c>
      <c r="N35" s="2" t="e">
        <f ca="1"/>
        <v>#N/A</v>
      </c>
      <c r="O35" s="2" t="e">
        <f ca="1"/>
        <v>#N/A</v>
      </c>
      <c r="P35" s="2" t="e">
        <f ca="1"/>
        <v>#N/A</v>
      </c>
      <c r="Q35" s="36" t="e">
        <f ca="1"/>
        <v>#N/A</v>
      </c>
      <c r="R35" s="36" t="e">
        <f ca="1"/>
        <v>#N/A</v>
      </c>
    </row>
    <row r="36" spans="1:18" x14ac:dyDescent="0.2">
      <c r="A36" s="2">
        <v>35</v>
      </c>
      <c r="B36" s="72">
        <v>45693</v>
      </c>
      <c r="C36" s="77">
        <v>0.42827546296296298</v>
      </c>
      <c r="D36" s="73" t="s">
        <v>76</v>
      </c>
      <c r="E36" s="73" t="s">
        <v>77</v>
      </c>
      <c r="G36" s="73" t="s">
        <v>108</v>
      </c>
      <c r="H36" s="73" t="s">
        <v>79</v>
      </c>
      <c r="I36" s="36" t="str">
        <f ca="1"/>
        <v>22,6</v>
      </c>
      <c r="J36" s="2">
        <v>36</v>
      </c>
      <c r="K36" s="2">
        <v>1</v>
      </c>
      <c r="L36" s="2">
        <v>8</v>
      </c>
      <c r="M36" s="36">
        <f ca="1"/>
        <v>14.600000000000001</v>
      </c>
      <c r="N36" s="2" t="e">
        <f ca="1"/>
        <v>#N/A</v>
      </c>
      <c r="O36" s="2" t="e">
        <f ca="1"/>
        <v>#N/A</v>
      </c>
      <c r="P36" s="2" t="e">
        <f ca="1"/>
        <v>#N/A</v>
      </c>
      <c r="Q36" s="36" t="e">
        <f ca="1"/>
        <v>#N/A</v>
      </c>
      <c r="R36" s="36" t="e">
        <f ca="1"/>
        <v>#N/A</v>
      </c>
    </row>
    <row r="37" spans="1:18" x14ac:dyDescent="0.2">
      <c r="A37" s="2">
        <v>36</v>
      </c>
      <c r="B37" s="72">
        <v>45693</v>
      </c>
      <c r="C37" s="77">
        <v>0.42833333333333334</v>
      </c>
      <c r="D37" s="73" t="s">
        <v>76</v>
      </c>
      <c r="E37" s="73" t="s">
        <v>77</v>
      </c>
      <c r="G37" s="73" t="s">
        <v>91</v>
      </c>
      <c r="H37" s="74" t="s">
        <v>79</v>
      </c>
      <c r="I37" s="36" t="str">
        <f ca="1"/>
        <v>29,8</v>
      </c>
      <c r="J37" s="2">
        <v>37</v>
      </c>
      <c r="K37" s="2">
        <v>1</v>
      </c>
      <c r="L37" s="2">
        <v>8</v>
      </c>
      <c r="M37" s="36">
        <f ca="1"/>
        <v>21.8</v>
      </c>
      <c r="N37" s="2" t="e">
        <f ca="1"/>
        <v>#N/A</v>
      </c>
      <c r="O37" s="2" t="e">
        <f ca="1"/>
        <v>#N/A</v>
      </c>
      <c r="P37" s="2" t="e">
        <f ca="1"/>
        <v>#N/A</v>
      </c>
      <c r="Q37" s="36" t="e">
        <f ca="1"/>
        <v>#N/A</v>
      </c>
      <c r="R37" s="36" t="e">
        <f ca="1"/>
        <v>#N/A</v>
      </c>
    </row>
    <row r="38" spans="1:18" x14ac:dyDescent="0.2">
      <c r="A38" s="2">
        <v>37</v>
      </c>
      <c r="B38" s="72">
        <v>45693</v>
      </c>
      <c r="C38" s="77">
        <v>0.42836805555555557</v>
      </c>
      <c r="D38" s="73" t="s">
        <v>76</v>
      </c>
      <c r="E38" s="73" t="s">
        <v>77</v>
      </c>
      <c r="G38" s="73" t="s">
        <v>110</v>
      </c>
      <c r="H38" s="73" t="s">
        <v>79</v>
      </c>
      <c r="I38" s="36" t="str">
        <f ca="1"/>
        <v>22,6</v>
      </c>
      <c r="J38" s="2">
        <v>38</v>
      </c>
      <c r="K38" s="2">
        <v>1</v>
      </c>
      <c r="L38" s="2">
        <v>8</v>
      </c>
      <c r="M38" s="36">
        <f ca="1"/>
        <v>14.600000000000001</v>
      </c>
      <c r="N38" s="2" t="e">
        <f ca="1"/>
        <v>#N/A</v>
      </c>
      <c r="O38" s="2" t="e">
        <f ca="1"/>
        <v>#N/A</v>
      </c>
      <c r="P38" s="2" t="e">
        <f ca="1"/>
        <v>#N/A</v>
      </c>
      <c r="Q38" s="36" t="e">
        <f ca="1"/>
        <v>#N/A</v>
      </c>
      <c r="R38" s="36" t="e">
        <f ca="1"/>
        <v>#N/A</v>
      </c>
    </row>
    <row r="39" spans="1:18" x14ac:dyDescent="0.2">
      <c r="A39" s="2">
        <v>38</v>
      </c>
      <c r="B39" s="72">
        <v>45693</v>
      </c>
      <c r="C39" s="77">
        <v>0.42842592592592593</v>
      </c>
      <c r="D39" s="73" t="s">
        <v>76</v>
      </c>
      <c r="E39" s="73" t="s">
        <v>77</v>
      </c>
      <c r="G39" s="73" t="s">
        <v>108</v>
      </c>
      <c r="H39" s="73" t="s">
        <v>79</v>
      </c>
      <c r="I39" s="36" t="str">
        <f ca="1"/>
        <v>22,6</v>
      </c>
      <c r="J39" s="2">
        <v>39</v>
      </c>
      <c r="K39" s="2">
        <v>1</v>
      </c>
      <c r="L39" s="2">
        <v>8</v>
      </c>
      <c r="M39" s="36">
        <f ca="1"/>
        <v>14.600000000000001</v>
      </c>
      <c r="N39" s="2" t="e">
        <f ca="1"/>
        <v>#N/A</v>
      </c>
      <c r="O39" s="2" t="e">
        <f ca="1"/>
        <v>#N/A</v>
      </c>
      <c r="P39" s="2" t="e">
        <f ca="1"/>
        <v>#N/A</v>
      </c>
      <c r="Q39" s="36" t="e">
        <f ca="1"/>
        <v>#N/A</v>
      </c>
      <c r="R39" s="36" t="e">
        <f ca="1"/>
        <v>#N/A</v>
      </c>
    </row>
    <row r="40" spans="1:18" x14ac:dyDescent="0.2">
      <c r="A40" s="2">
        <v>39</v>
      </c>
      <c r="B40" s="72">
        <v>45693</v>
      </c>
      <c r="C40" s="77">
        <v>0.4284722222222222</v>
      </c>
      <c r="D40" s="73" t="s">
        <v>76</v>
      </c>
      <c r="E40" s="73" t="s">
        <v>77</v>
      </c>
      <c r="G40" s="73" t="s">
        <v>99</v>
      </c>
      <c r="H40" s="73" t="s">
        <v>79</v>
      </c>
      <c r="I40" s="36" t="str">
        <f ca="1"/>
        <v>29,7</v>
      </c>
      <c r="J40" s="2">
        <v>40</v>
      </c>
      <c r="K40" s="2">
        <v>1</v>
      </c>
      <c r="L40" s="2">
        <v>8</v>
      </c>
      <c r="M40" s="36">
        <f ca="1"/>
        <v>21.7</v>
      </c>
      <c r="N40" s="2" t="e">
        <f ca="1"/>
        <v>#N/A</v>
      </c>
      <c r="O40" s="2" t="e">
        <f ca="1"/>
        <v>#N/A</v>
      </c>
      <c r="P40" s="2" t="e">
        <f ca="1"/>
        <v>#N/A</v>
      </c>
      <c r="Q40" s="36" t="e">
        <f ca="1"/>
        <v>#N/A</v>
      </c>
      <c r="R40" s="36" t="e">
        <f ca="1"/>
        <v>#N/A</v>
      </c>
    </row>
    <row r="41" spans="1:18" x14ac:dyDescent="0.2">
      <c r="A41" s="2">
        <v>40</v>
      </c>
      <c r="B41" s="72">
        <v>45693</v>
      </c>
      <c r="C41" s="77">
        <v>0.42853009259259262</v>
      </c>
      <c r="D41" s="73" t="s">
        <v>76</v>
      </c>
      <c r="E41" s="73" t="s">
        <v>77</v>
      </c>
      <c r="G41" s="73" t="s">
        <v>78</v>
      </c>
      <c r="H41" s="74" t="s">
        <v>79</v>
      </c>
      <c r="I41" s="36" t="str">
        <f ca="1"/>
        <v>29,7</v>
      </c>
      <c r="J41" s="2">
        <v>41</v>
      </c>
      <c r="K41" s="2">
        <v>1</v>
      </c>
      <c r="L41" s="2">
        <v>8</v>
      </c>
      <c r="M41" s="36">
        <f ca="1"/>
        <v>21.7</v>
      </c>
      <c r="N41" s="2">
        <f ca="1"/>
        <v>20</v>
      </c>
      <c r="O41" s="2">
        <f ca="1"/>
        <v>19.7</v>
      </c>
      <c r="P41" s="2">
        <f ca="1"/>
        <v>20.3</v>
      </c>
      <c r="Q41" s="36">
        <f ca="1"/>
        <v>19.980000000000008</v>
      </c>
      <c r="R41" s="36">
        <f ca="1"/>
        <v>17.729999999999997</v>
      </c>
    </row>
    <row r="42" spans="1:18" x14ac:dyDescent="0.2">
      <c r="A42" s="2">
        <v>41</v>
      </c>
      <c r="B42" s="72">
        <v>45693</v>
      </c>
      <c r="C42" s="77">
        <v>0.42858796296296298</v>
      </c>
      <c r="D42" s="73" t="s">
        <v>76</v>
      </c>
      <c r="E42" s="73" t="s">
        <v>77</v>
      </c>
      <c r="G42" s="73" t="s">
        <v>102</v>
      </c>
      <c r="H42" s="73" t="s">
        <v>79</v>
      </c>
      <c r="I42" s="36" t="str">
        <f ca="1"/>
        <v>29,7</v>
      </c>
      <c r="J42" s="2">
        <v>42</v>
      </c>
      <c r="K42" s="2">
        <v>1</v>
      </c>
      <c r="L42" s="2">
        <v>8</v>
      </c>
      <c r="M42" s="36">
        <f ca="1"/>
        <v>21.7</v>
      </c>
      <c r="N42" s="2" t="e">
        <f ca="1"/>
        <v>#N/A</v>
      </c>
      <c r="O42" s="2" t="e">
        <f ca="1"/>
        <v>#N/A</v>
      </c>
      <c r="P42" s="2" t="e">
        <f ca="1"/>
        <v>#N/A</v>
      </c>
      <c r="Q42" s="36" t="e">
        <f ca="1"/>
        <v>#N/A</v>
      </c>
      <c r="R42" s="36" t="e">
        <f ca="1"/>
        <v>#N/A</v>
      </c>
    </row>
    <row r="43" spans="1:18" x14ac:dyDescent="0.2">
      <c r="A43" s="2">
        <v>42</v>
      </c>
      <c r="B43" s="72">
        <v>45693</v>
      </c>
      <c r="C43" s="77">
        <v>0.4287037037037037</v>
      </c>
      <c r="D43" s="73" t="s">
        <v>76</v>
      </c>
      <c r="E43" s="73" t="s">
        <v>77</v>
      </c>
      <c r="G43" s="73" t="s">
        <v>102</v>
      </c>
      <c r="H43" s="73" t="s">
        <v>79</v>
      </c>
      <c r="I43" s="36" t="str">
        <f ca="1"/>
        <v>29,7</v>
      </c>
      <c r="J43" s="2">
        <v>43</v>
      </c>
      <c r="K43" s="2">
        <v>1</v>
      </c>
      <c r="L43" s="2">
        <v>8</v>
      </c>
      <c r="M43" s="36">
        <f ca="1"/>
        <v>21.7</v>
      </c>
      <c r="N43" s="2" t="e">
        <f ca="1"/>
        <v>#N/A</v>
      </c>
      <c r="O43" s="2" t="e">
        <f ca="1"/>
        <v>#N/A</v>
      </c>
      <c r="P43" s="2" t="e">
        <f ca="1"/>
        <v>#N/A</v>
      </c>
      <c r="Q43" s="36" t="e">
        <f ca="1"/>
        <v>#N/A</v>
      </c>
      <c r="R43" s="36" t="e">
        <f ca="1"/>
        <v>#N/A</v>
      </c>
    </row>
    <row r="44" spans="1:18" x14ac:dyDescent="0.2">
      <c r="A44" s="2">
        <v>43</v>
      </c>
      <c r="B44" s="72">
        <v>45693</v>
      </c>
      <c r="C44" s="77">
        <v>0.42875000000000002</v>
      </c>
      <c r="D44" s="73" t="s">
        <v>76</v>
      </c>
      <c r="E44" s="73" t="s">
        <v>77</v>
      </c>
      <c r="G44" s="73" t="s">
        <v>99</v>
      </c>
      <c r="H44" s="73" t="s">
        <v>79</v>
      </c>
      <c r="I44" s="36" t="str">
        <f ca="1"/>
        <v>29,7</v>
      </c>
      <c r="J44" s="2">
        <v>44</v>
      </c>
      <c r="K44" s="2">
        <v>1</v>
      </c>
      <c r="L44" s="2">
        <v>8</v>
      </c>
      <c r="M44" s="36">
        <f ca="1"/>
        <v>21.7</v>
      </c>
      <c r="N44" s="2" t="e">
        <f ca="1"/>
        <v>#N/A</v>
      </c>
      <c r="O44" s="2" t="e">
        <f ca="1"/>
        <v>#N/A</v>
      </c>
      <c r="P44" s="2" t="e">
        <f ca="1"/>
        <v>#N/A</v>
      </c>
      <c r="Q44" s="36" t="e">
        <f ca="1"/>
        <v>#N/A</v>
      </c>
      <c r="R44" s="36" t="e">
        <f ca="1"/>
        <v>#N/A</v>
      </c>
    </row>
    <row r="45" spans="1:18" x14ac:dyDescent="0.2">
      <c r="A45" s="2">
        <v>44</v>
      </c>
      <c r="B45" s="72">
        <v>45693</v>
      </c>
      <c r="C45" s="77">
        <v>0.42879629629629629</v>
      </c>
      <c r="D45" s="73" t="s">
        <v>76</v>
      </c>
      <c r="E45" s="73" t="s">
        <v>77</v>
      </c>
      <c r="G45" s="73" t="s">
        <v>102</v>
      </c>
      <c r="H45" s="74" t="s">
        <v>79</v>
      </c>
      <c r="I45" s="36" t="str">
        <f ca="1"/>
        <v>29,7</v>
      </c>
      <c r="J45" s="2">
        <v>45</v>
      </c>
      <c r="K45" s="2">
        <v>1</v>
      </c>
      <c r="L45" s="2">
        <v>8</v>
      </c>
      <c r="M45" s="36">
        <f ca="1"/>
        <v>21.7</v>
      </c>
      <c r="N45" s="2" t="e">
        <f ca="1"/>
        <v>#N/A</v>
      </c>
      <c r="O45" s="2" t="e">
        <f ca="1"/>
        <v>#N/A</v>
      </c>
      <c r="P45" s="2" t="e">
        <f ca="1"/>
        <v>#N/A</v>
      </c>
      <c r="Q45" s="36" t="e">
        <f ca="1"/>
        <v>#N/A</v>
      </c>
      <c r="R45" s="36" t="e">
        <f ca="1"/>
        <v>#N/A</v>
      </c>
    </row>
    <row r="46" spans="1:18" x14ac:dyDescent="0.2">
      <c r="A46" s="2">
        <v>45</v>
      </c>
      <c r="B46" s="72">
        <v>45693</v>
      </c>
      <c r="C46" s="77">
        <v>0.42884259259259261</v>
      </c>
      <c r="D46" s="73" t="s">
        <v>76</v>
      </c>
      <c r="E46" s="73" t="s">
        <v>77</v>
      </c>
      <c r="G46" s="73" t="s">
        <v>103</v>
      </c>
      <c r="H46" s="73" t="s">
        <v>79</v>
      </c>
      <c r="I46" s="36" t="str">
        <f ca="1"/>
        <v>29,6</v>
      </c>
      <c r="J46" s="2">
        <v>46</v>
      </c>
      <c r="K46" s="2">
        <v>1</v>
      </c>
      <c r="L46" s="2">
        <v>8</v>
      </c>
      <c r="M46" s="36">
        <f ca="1"/>
        <v>21.6</v>
      </c>
      <c r="N46" s="2" t="e">
        <f ca="1"/>
        <v>#N/A</v>
      </c>
      <c r="O46" s="2" t="e">
        <f ca="1"/>
        <v>#N/A</v>
      </c>
      <c r="P46" s="2" t="e">
        <f ca="1"/>
        <v>#N/A</v>
      </c>
      <c r="Q46" s="36" t="e">
        <f ca="1"/>
        <v>#N/A</v>
      </c>
      <c r="R46" s="36" t="e">
        <f ca="1"/>
        <v>#N/A</v>
      </c>
    </row>
    <row r="47" spans="1:18" x14ac:dyDescent="0.2">
      <c r="A47" s="2">
        <v>46</v>
      </c>
      <c r="B47" s="72">
        <v>45693</v>
      </c>
      <c r="C47" s="77">
        <v>0.42888888888888888</v>
      </c>
      <c r="D47" s="73" t="s">
        <v>76</v>
      </c>
      <c r="E47" s="73" t="s">
        <v>77</v>
      </c>
      <c r="G47" s="73" t="s">
        <v>103</v>
      </c>
      <c r="H47" s="73" t="s">
        <v>79</v>
      </c>
      <c r="I47" s="36" t="str">
        <f ca="1"/>
        <v>29,6</v>
      </c>
      <c r="J47" s="2">
        <v>47</v>
      </c>
      <c r="K47" s="2">
        <v>1</v>
      </c>
      <c r="L47" s="2">
        <v>8</v>
      </c>
      <c r="M47" s="36">
        <f ca="1"/>
        <v>21.6</v>
      </c>
      <c r="N47" s="2" t="e">
        <f ca="1"/>
        <v>#N/A</v>
      </c>
      <c r="O47" s="2" t="e">
        <f ca="1"/>
        <v>#N/A</v>
      </c>
      <c r="P47" s="2" t="e">
        <f ca="1"/>
        <v>#N/A</v>
      </c>
      <c r="Q47" s="36" t="e">
        <f ca="1"/>
        <v>#N/A</v>
      </c>
      <c r="R47" s="36" t="e">
        <f ca="1"/>
        <v>#N/A</v>
      </c>
    </row>
    <row r="48" spans="1:18" x14ac:dyDescent="0.2">
      <c r="A48" s="2">
        <v>47</v>
      </c>
      <c r="B48" s="72">
        <v>45693</v>
      </c>
      <c r="C48" s="77">
        <v>0.4289351851851852</v>
      </c>
      <c r="D48" s="73" t="s">
        <v>76</v>
      </c>
      <c r="E48" s="73" t="s">
        <v>77</v>
      </c>
      <c r="G48" s="73" t="s">
        <v>103</v>
      </c>
      <c r="H48" s="73" t="s">
        <v>79</v>
      </c>
      <c r="I48" s="36" t="str">
        <f ca="1"/>
        <v>29,6</v>
      </c>
      <c r="J48" s="2">
        <v>48</v>
      </c>
      <c r="K48" s="2">
        <v>1</v>
      </c>
      <c r="L48" s="2">
        <v>8</v>
      </c>
      <c r="M48" s="36">
        <f ca="1"/>
        <v>21.6</v>
      </c>
      <c r="N48" s="2" t="e">
        <f ca="1"/>
        <v>#N/A</v>
      </c>
      <c r="O48" s="2" t="e">
        <f ca="1"/>
        <v>#N/A</v>
      </c>
      <c r="P48" s="2" t="e">
        <f ca="1"/>
        <v>#N/A</v>
      </c>
      <c r="Q48" s="36" t="e">
        <f ca="1"/>
        <v>#N/A</v>
      </c>
      <c r="R48" s="36" t="e">
        <f ca="1"/>
        <v>#N/A</v>
      </c>
    </row>
    <row r="49" spans="1:18" x14ac:dyDescent="0.2">
      <c r="A49" s="2">
        <v>48</v>
      </c>
      <c r="B49" s="72">
        <v>45693</v>
      </c>
      <c r="C49" s="77">
        <v>0.42898148148148146</v>
      </c>
      <c r="D49" s="73" t="s">
        <v>76</v>
      </c>
      <c r="E49" s="73" t="s">
        <v>77</v>
      </c>
      <c r="G49" s="73" t="s">
        <v>111</v>
      </c>
      <c r="H49" s="73" t="s">
        <v>79</v>
      </c>
      <c r="I49" s="36" t="str">
        <f ca="1"/>
        <v>22,6</v>
      </c>
      <c r="J49" s="2">
        <v>49</v>
      </c>
      <c r="K49" s="2">
        <v>1</v>
      </c>
      <c r="L49" s="2">
        <v>8</v>
      </c>
      <c r="M49" s="36">
        <f ca="1"/>
        <v>14.600000000000001</v>
      </c>
      <c r="N49" s="2" t="e">
        <f ca="1"/>
        <v>#N/A</v>
      </c>
      <c r="O49" s="2" t="e">
        <f ca="1"/>
        <v>#N/A</v>
      </c>
      <c r="P49" s="2" t="e">
        <f ca="1"/>
        <v>#N/A</v>
      </c>
      <c r="Q49" s="36" t="e">
        <f ca="1"/>
        <v>#N/A</v>
      </c>
      <c r="R49" s="36" t="e">
        <f ca="1"/>
        <v>#N/A</v>
      </c>
    </row>
    <row r="50" spans="1:18" x14ac:dyDescent="0.2">
      <c r="A50" s="2">
        <v>49</v>
      </c>
      <c r="B50" s="72">
        <v>45693</v>
      </c>
      <c r="C50" s="77">
        <v>0.42902777777777779</v>
      </c>
      <c r="D50" s="73" t="s">
        <v>76</v>
      </c>
      <c r="E50" s="73" t="s">
        <v>77</v>
      </c>
      <c r="G50" s="73" t="s">
        <v>103</v>
      </c>
      <c r="H50" s="73" t="s">
        <v>79</v>
      </c>
      <c r="I50" s="36" t="str">
        <f ca="1"/>
        <v>29,6</v>
      </c>
      <c r="J50" s="2">
        <v>50</v>
      </c>
      <c r="K50" s="2">
        <v>1</v>
      </c>
      <c r="L50" s="2">
        <v>8</v>
      </c>
      <c r="M50" s="36">
        <f ca="1"/>
        <v>21.6</v>
      </c>
      <c r="N50" s="2" t="e">
        <f ca="1"/>
        <v>#N/A</v>
      </c>
      <c r="O50" s="2" t="e">
        <f ca="1"/>
        <v>#N/A</v>
      </c>
      <c r="P50" s="2" t="e">
        <f ca="1"/>
        <v>#N/A</v>
      </c>
      <c r="Q50" s="36" t="e">
        <f ca="1"/>
        <v>#N/A</v>
      </c>
      <c r="R50" s="36" t="e">
        <f ca="1"/>
        <v>#N/A</v>
      </c>
    </row>
    <row r="51" spans="1:18" x14ac:dyDescent="0.2">
      <c r="A51" s="2">
        <v>50</v>
      </c>
      <c r="B51" s="72">
        <v>45693</v>
      </c>
      <c r="C51" s="77">
        <v>0.42907407407407405</v>
      </c>
      <c r="D51" s="73" t="s">
        <v>76</v>
      </c>
      <c r="E51" s="73" t="s">
        <v>77</v>
      </c>
      <c r="G51" s="73" t="s">
        <v>108</v>
      </c>
      <c r="H51" s="73" t="s">
        <v>79</v>
      </c>
      <c r="I51" s="36" t="str">
        <f ca="1"/>
        <v>22,6</v>
      </c>
      <c r="J51" s="2">
        <v>51</v>
      </c>
      <c r="K51" s="2">
        <v>1</v>
      </c>
      <c r="L51" s="2">
        <v>8</v>
      </c>
      <c r="M51" s="36">
        <f ca="1"/>
        <v>14.600000000000001</v>
      </c>
      <c r="N51" s="2">
        <f ca="1"/>
        <v>20</v>
      </c>
      <c r="O51" s="2">
        <f ca="1"/>
        <v>19.7</v>
      </c>
      <c r="P51" s="2">
        <f ca="1"/>
        <v>20.3</v>
      </c>
      <c r="Q51" s="36">
        <f ca="1"/>
        <v>20.032000000000011</v>
      </c>
      <c r="R51" s="36">
        <f ca="1"/>
        <v>20.239999999999998</v>
      </c>
    </row>
    <row r="52" spans="1:18" x14ac:dyDescent="0.2">
      <c r="A52" s="2">
        <v>51</v>
      </c>
      <c r="B52" s="72">
        <v>45693</v>
      </c>
      <c r="C52" s="77">
        <v>0.42913194444444447</v>
      </c>
      <c r="D52" s="73" t="s">
        <v>76</v>
      </c>
      <c r="E52" s="73" t="s">
        <v>77</v>
      </c>
      <c r="G52" s="73" t="s">
        <v>78</v>
      </c>
      <c r="H52" s="73" t="s">
        <v>79</v>
      </c>
      <c r="I52" s="36" t="str">
        <f ca="1"/>
        <v>29,7</v>
      </c>
      <c r="J52" s="2">
        <v>52</v>
      </c>
      <c r="K52" s="2">
        <v>1</v>
      </c>
      <c r="L52" s="2">
        <v>8</v>
      </c>
      <c r="M52" s="36">
        <f ca="1"/>
        <v>21.7</v>
      </c>
      <c r="N52" s="2" t="e">
        <f ca="1"/>
        <v>#N/A</v>
      </c>
      <c r="O52" s="2" t="e">
        <f ca="1"/>
        <v>#N/A</v>
      </c>
      <c r="P52" s="2" t="e">
        <f ca="1"/>
        <v>#N/A</v>
      </c>
      <c r="Q52" s="36" t="e">
        <f ca="1"/>
        <v>#N/A</v>
      </c>
      <c r="R52" s="36" t="e">
        <f ca="1"/>
        <v>#N/A</v>
      </c>
    </row>
    <row r="53" spans="1:18" x14ac:dyDescent="0.2">
      <c r="A53" s="2">
        <v>52</v>
      </c>
      <c r="B53" s="72">
        <v>45693</v>
      </c>
      <c r="C53" s="77">
        <v>0.4292361111111111</v>
      </c>
      <c r="D53" s="73" t="s">
        <v>76</v>
      </c>
      <c r="E53" s="73" t="s">
        <v>77</v>
      </c>
      <c r="G53" s="73" t="s">
        <v>103</v>
      </c>
      <c r="H53" s="73" t="s">
        <v>79</v>
      </c>
      <c r="I53" s="36" t="str">
        <f ca="1"/>
        <v>29,6</v>
      </c>
      <c r="J53" s="2">
        <v>53</v>
      </c>
      <c r="K53" s="2">
        <v>1</v>
      </c>
      <c r="L53" s="2">
        <v>8</v>
      </c>
      <c r="M53" s="36">
        <f ca="1"/>
        <v>21.6</v>
      </c>
      <c r="N53" s="2" t="e">
        <f ca="1"/>
        <v>#N/A</v>
      </c>
      <c r="O53" s="2" t="e">
        <f ca="1"/>
        <v>#N/A</v>
      </c>
      <c r="P53" s="2" t="e">
        <f ca="1"/>
        <v>#N/A</v>
      </c>
      <c r="Q53" s="36" t="e">
        <f ca="1"/>
        <v>#N/A</v>
      </c>
      <c r="R53" s="36" t="e">
        <f ca="1"/>
        <v>#N/A</v>
      </c>
    </row>
    <row r="54" spans="1:18" x14ac:dyDescent="0.2">
      <c r="A54" s="2">
        <v>53</v>
      </c>
      <c r="B54" s="72">
        <v>45693</v>
      </c>
      <c r="C54" s="77">
        <v>0.42929398148148146</v>
      </c>
      <c r="D54" s="73" t="s">
        <v>76</v>
      </c>
      <c r="E54" s="73" t="s">
        <v>77</v>
      </c>
      <c r="G54" s="73" t="s">
        <v>78</v>
      </c>
      <c r="H54" s="73" t="s">
        <v>79</v>
      </c>
      <c r="I54" s="36" t="str">
        <f ca="1"/>
        <v>29,7</v>
      </c>
      <c r="J54" s="2">
        <v>54</v>
      </c>
      <c r="K54" s="2">
        <v>1</v>
      </c>
      <c r="L54" s="2">
        <v>8</v>
      </c>
      <c r="M54" s="36">
        <f ca="1"/>
        <v>21.7</v>
      </c>
      <c r="N54" s="2" t="e">
        <f ca="1"/>
        <v>#N/A</v>
      </c>
      <c r="O54" s="2" t="e">
        <f ca="1"/>
        <v>#N/A</v>
      </c>
      <c r="P54" s="2" t="e">
        <f ca="1"/>
        <v>#N/A</v>
      </c>
      <c r="Q54" s="36" t="e">
        <f ca="1"/>
        <v>#N/A</v>
      </c>
      <c r="R54" s="36" t="e">
        <f ca="1"/>
        <v>#N/A</v>
      </c>
    </row>
    <row r="55" spans="1:18" x14ac:dyDescent="0.2">
      <c r="A55" s="2">
        <v>54</v>
      </c>
      <c r="B55" s="72">
        <v>45693</v>
      </c>
      <c r="C55" s="77">
        <v>0.42934027777777778</v>
      </c>
      <c r="D55" s="73" t="s">
        <v>76</v>
      </c>
      <c r="E55" s="73" t="s">
        <v>77</v>
      </c>
      <c r="G55" s="73" t="s">
        <v>105</v>
      </c>
      <c r="H55" s="73" t="s">
        <v>79</v>
      </c>
      <c r="I55" s="36" t="str">
        <f ca="1"/>
        <v>29,7</v>
      </c>
      <c r="J55" s="2">
        <v>55</v>
      </c>
      <c r="K55" s="2">
        <v>1</v>
      </c>
      <c r="L55" s="2">
        <v>8</v>
      </c>
      <c r="M55" s="36">
        <f ca="1"/>
        <v>21.7</v>
      </c>
      <c r="N55" s="2" t="e">
        <f ca="1"/>
        <v>#N/A</v>
      </c>
      <c r="O55" s="2" t="e">
        <f ca="1"/>
        <v>#N/A</v>
      </c>
      <c r="P55" s="2" t="e">
        <f ca="1"/>
        <v>#N/A</v>
      </c>
      <c r="Q55" s="36" t="e">
        <f ca="1"/>
        <v>#N/A</v>
      </c>
      <c r="R55" s="36" t="e">
        <f ca="1"/>
        <v>#N/A</v>
      </c>
    </row>
    <row r="56" spans="1:18" x14ac:dyDescent="0.2">
      <c r="A56" s="2">
        <v>55</v>
      </c>
      <c r="B56" s="72">
        <v>45693</v>
      </c>
      <c r="C56" s="77">
        <v>0.42937500000000001</v>
      </c>
      <c r="D56" s="73" t="s">
        <v>76</v>
      </c>
      <c r="E56" s="73" t="s">
        <v>77</v>
      </c>
      <c r="G56" s="73" t="s">
        <v>101</v>
      </c>
      <c r="H56" s="73" t="s">
        <v>79</v>
      </c>
      <c r="I56" s="36" t="str">
        <f ca="1"/>
        <v>29,7</v>
      </c>
      <c r="J56" s="2">
        <v>56</v>
      </c>
      <c r="K56" s="2">
        <v>1</v>
      </c>
      <c r="L56" s="2">
        <v>8</v>
      </c>
      <c r="M56" s="36">
        <f ca="1"/>
        <v>21.7</v>
      </c>
      <c r="N56" s="2" t="e">
        <f ca="1"/>
        <v>#N/A</v>
      </c>
      <c r="O56" s="2" t="e">
        <f ca="1"/>
        <v>#N/A</v>
      </c>
      <c r="P56" s="2" t="e">
        <f ca="1"/>
        <v>#N/A</v>
      </c>
      <c r="Q56" s="36" t="e">
        <f ca="1"/>
        <v>#N/A</v>
      </c>
      <c r="R56" s="36" t="e">
        <f ca="1"/>
        <v>#N/A</v>
      </c>
    </row>
    <row r="57" spans="1:18" x14ac:dyDescent="0.2">
      <c r="A57" s="2">
        <v>56</v>
      </c>
      <c r="B57" s="72">
        <v>45693</v>
      </c>
      <c r="C57" s="77">
        <v>0.42942129629629627</v>
      </c>
      <c r="D57" s="73" t="s">
        <v>76</v>
      </c>
      <c r="E57" s="73" t="s">
        <v>77</v>
      </c>
      <c r="G57" s="73" t="s">
        <v>105</v>
      </c>
      <c r="H57" s="73" t="s">
        <v>79</v>
      </c>
      <c r="I57" s="36" t="str">
        <f ca="1"/>
        <v>29,7</v>
      </c>
      <c r="J57" s="2">
        <v>57</v>
      </c>
      <c r="K57" s="2">
        <v>1</v>
      </c>
      <c r="L57" s="2">
        <v>8</v>
      </c>
      <c r="M57" s="36">
        <f ca="1"/>
        <v>21.7</v>
      </c>
      <c r="N57" s="2" t="e">
        <f ca="1"/>
        <v>#N/A</v>
      </c>
      <c r="O57" s="2" t="e">
        <f ca="1"/>
        <v>#N/A</v>
      </c>
      <c r="P57" s="2" t="e">
        <f ca="1"/>
        <v>#N/A</v>
      </c>
      <c r="Q57" s="36" t="e">
        <f ca="1"/>
        <v>#N/A</v>
      </c>
      <c r="R57" s="36" t="e">
        <f ca="1"/>
        <v>#N/A</v>
      </c>
    </row>
    <row r="58" spans="1:18" x14ac:dyDescent="0.2">
      <c r="A58" s="2">
        <v>57</v>
      </c>
      <c r="B58" s="72">
        <v>45693</v>
      </c>
      <c r="C58" s="77">
        <v>0.4294560185185185</v>
      </c>
      <c r="D58" s="73" t="s">
        <v>76</v>
      </c>
      <c r="E58" s="73" t="s">
        <v>77</v>
      </c>
      <c r="G58" s="73" t="s">
        <v>103</v>
      </c>
      <c r="H58" s="73" t="s">
        <v>79</v>
      </c>
      <c r="I58" s="36" t="str">
        <f ca="1"/>
        <v>29,6</v>
      </c>
      <c r="J58" s="2">
        <v>58</v>
      </c>
      <c r="K58" s="2">
        <v>1</v>
      </c>
      <c r="L58" s="2">
        <v>8</v>
      </c>
      <c r="M58" s="36">
        <f ca="1"/>
        <v>21.6</v>
      </c>
      <c r="N58" s="2" t="e">
        <f ca="1"/>
        <v>#N/A</v>
      </c>
      <c r="O58" s="2" t="e">
        <f ca="1"/>
        <v>#N/A</v>
      </c>
      <c r="P58" s="2" t="e">
        <f ca="1"/>
        <v>#N/A</v>
      </c>
      <c r="Q58" s="36" t="e">
        <f ca="1"/>
        <v>#N/A</v>
      </c>
      <c r="R58" s="36" t="e">
        <f ca="1"/>
        <v>#N/A</v>
      </c>
    </row>
    <row r="59" spans="1:18" x14ac:dyDescent="0.2">
      <c r="A59" s="2">
        <v>58</v>
      </c>
      <c r="B59" s="72">
        <v>45693</v>
      </c>
      <c r="C59" s="77">
        <v>0.42950231481481482</v>
      </c>
      <c r="D59" s="73" t="s">
        <v>76</v>
      </c>
      <c r="E59" s="73" t="s">
        <v>77</v>
      </c>
      <c r="G59" s="73" t="s">
        <v>101</v>
      </c>
      <c r="H59" s="74" t="s">
        <v>79</v>
      </c>
      <c r="I59" s="36" t="str">
        <f ca="1"/>
        <v>29,7</v>
      </c>
      <c r="J59" s="2">
        <v>59</v>
      </c>
      <c r="K59" s="2">
        <v>1</v>
      </c>
      <c r="L59" s="2">
        <v>8</v>
      </c>
      <c r="M59" s="36">
        <f ca="1"/>
        <v>21.7</v>
      </c>
      <c r="N59" s="2" t="e">
        <f ca="1"/>
        <v>#N/A</v>
      </c>
      <c r="O59" s="2" t="e">
        <f ca="1"/>
        <v>#N/A</v>
      </c>
      <c r="P59" s="2" t="e">
        <f ca="1"/>
        <v>#N/A</v>
      </c>
      <c r="Q59" s="36" t="e">
        <f ca="1"/>
        <v>#N/A</v>
      </c>
      <c r="R59" s="36" t="e">
        <f ca="1"/>
        <v>#N/A</v>
      </c>
    </row>
    <row r="60" spans="1:18" x14ac:dyDescent="0.2">
      <c r="A60" s="2">
        <v>59</v>
      </c>
      <c r="B60" s="72">
        <v>45693</v>
      </c>
      <c r="C60" s="77">
        <v>0.42954861111111109</v>
      </c>
      <c r="D60" s="73" t="s">
        <v>76</v>
      </c>
      <c r="E60" s="73" t="s">
        <v>77</v>
      </c>
      <c r="G60" s="73" t="s">
        <v>103</v>
      </c>
      <c r="H60" s="73" t="s">
        <v>79</v>
      </c>
      <c r="I60" s="36" t="str">
        <f ca="1"/>
        <v>29,6</v>
      </c>
      <c r="J60" s="2">
        <v>60</v>
      </c>
      <c r="K60" s="2">
        <v>1</v>
      </c>
      <c r="L60" s="2">
        <v>8</v>
      </c>
      <c r="M60" s="36">
        <f ca="1"/>
        <v>21.6</v>
      </c>
      <c r="N60" s="2" t="e">
        <f ca="1"/>
        <v>#N/A</v>
      </c>
      <c r="O60" s="2" t="e">
        <f ca="1"/>
        <v>#N/A</v>
      </c>
      <c r="P60" s="2" t="e">
        <f ca="1"/>
        <v>#N/A</v>
      </c>
      <c r="Q60" s="36" t="e">
        <f ca="1"/>
        <v>#N/A</v>
      </c>
      <c r="R60" s="36" t="e">
        <f ca="1"/>
        <v>#N/A</v>
      </c>
    </row>
    <row r="61" spans="1:18" x14ac:dyDescent="0.2">
      <c r="A61" s="2">
        <v>60</v>
      </c>
      <c r="B61" s="72">
        <v>45693</v>
      </c>
      <c r="C61" s="77">
        <v>0.42958333333333332</v>
      </c>
      <c r="D61" s="73" t="s">
        <v>76</v>
      </c>
      <c r="E61" s="73" t="s">
        <v>77</v>
      </c>
      <c r="G61" s="73" t="s">
        <v>99</v>
      </c>
      <c r="H61" s="73" t="s">
        <v>79</v>
      </c>
      <c r="I61" s="36" t="str">
        <f ca="1"/>
        <v>29,7</v>
      </c>
      <c r="J61" s="2">
        <v>61</v>
      </c>
      <c r="K61" s="2">
        <v>1</v>
      </c>
      <c r="L61" s="2">
        <v>8</v>
      </c>
      <c r="M61" s="36">
        <f ca="1"/>
        <v>21.7</v>
      </c>
      <c r="N61" s="2">
        <f ca="1"/>
        <v>20</v>
      </c>
      <c r="O61" s="2">
        <f ca="1"/>
        <v>19.7</v>
      </c>
      <c r="P61" s="2">
        <f ca="1"/>
        <v>20.3</v>
      </c>
      <c r="Q61" s="36">
        <f ca="1"/>
        <v>20.30500000000001</v>
      </c>
      <c r="R61" s="36">
        <f ca="1"/>
        <v>21.669999999999995</v>
      </c>
    </row>
    <row r="62" spans="1:18" x14ac:dyDescent="0.2">
      <c r="A62" s="2">
        <v>61</v>
      </c>
      <c r="B62" s="72">
        <v>45693</v>
      </c>
      <c r="C62" s="77">
        <v>0.42964120370370368</v>
      </c>
      <c r="D62" s="73" t="s">
        <v>76</v>
      </c>
      <c r="E62" s="73" t="s">
        <v>77</v>
      </c>
      <c r="G62" s="73" t="s">
        <v>111</v>
      </c>
      <c r="H62" s="73" t="s">
        <v>79</v>
      </c>
      <c r="I62" s="36" t="str">
        <f ca="1"/>
        <v>22,6</v>
      </c>
      <c r="J62" s="2">
        <v>62</v>
      </c>
      <c r="K62" s="2">
        <v>1</v>
      </c>
      <c r="L62" s="2">
        <v>8</v>
      </c>
      <c r="M62" s="36">
        <f ca="1"/>
        <v>14.600000000000001</v>
      </c>
      <c r="N62" s="2" t="e">
        <f ca="1"/>
        <v>#N/A</v>
      </c>
      <c r="O62" s="2" t="e">
        <f ca="1"/>
        <v>#N/A</v>
      </c>
      <c r="P62" s="2" t="e">
        <f ca="1"/>
        <v>#N/A</v>
      </c>
      <c r="Q62" s="36" t="e">
        <f ca="1"/>
        <v>#N/A</v>
      </c>
      <c r="R62" s="36" t="e">
        <f ca="1"/>
        <v>#N/A</v>
      </c>
    </row>
    <row r="63" spans="1:18" x14ac:dyDescent="0.2">
      <c r="A63" s="2">
        <v>62</v>
      </c>
      <c r="B63" s="72">
        <v>45693</v>
      </c>
      <c r="C63" s="77">
        <v>0.42964120370370368</v>
      </c>
      <c r="D63" s="73" t="s">
        <v>76</v>
      </c>
      <c r="E63" s="73" t="s">
        <v>77</v>
      </c>
      <c r="G63" s="73" t="s">
        <v>111</v>
      </c>
      <c r="H63" s="74" t="s">
        <v>79</v>
      </c>
      <c r="I63" s="36" t="str">
        <f ca="1"/>
        <v>22,6</v>
      </c>
      <c r="J63" s="2">
        <v>63</v>
      </c>
      <c r="K63" s="2">
        <v>1</v>
      </c>
      <c r="L63" s="2">
        <v>8</v>
      </c>
      <c r="M63" s="36">
        <f ca="1"/>
        <v>14.600000000000001</v>
      </c>
      <c r="N63" s="2" t="e">
        <f ca="1"/>
        <v>#N/A</v>
      </c>
      <c r="O63" s="2" t="e">
        <f ca="1"/>
        <v>#N/A</v>
      </c>
      <c r="P63" s="2" t="e">
        <f ca="1"/>
        <v>#N/A</v>
      </c>
      <c r="Q63" s="36" t="e">
        <f ca="1"/>
        <v>#N/A</v>
      </c>
      <c r="R63" s="36" t="e">
        <f ca="1"/>
        <v>#N/A</v>
      </c>
    </row>
    <row r="64" spans="1:18" x14ac:dyDescent="0.2">
      <c r="A64" s="2">
        <v>63</v>
      </c>
      <c r="B64" s="72">
        <v>45693</v>
      </c>
      <c r="C64" s="77">
        <v>0.42964120370370368</v>
      </c>
      <c r="D64" s="73" t="s">
        <v>76</v>
      </c>
      <c r="E64" s="73" t="s">
        <v>77</v>
      </c>
      <c r="G64" s="73" t="s">
        <v>111</v>
      </c>
      <c r="H64" s="73" t="s">
        <v>79</v>
      </c>
      <c r="I64" s="36" t="str">
        <f ca="1"/>
        <v>22,6</v>
      </c>
      <c r="J64" s="2">
        <v>64</v>
      </c>
      <c r="K64" s="2">
        <v>1</v>
      </c>
      <c r="L64" s="2">
        <v>8</v>
      </c>
      <c r="M64" s="36">
        <f ca="1"/>
        <v>14.600000000000001</v>
      </c>
      <c r="N64" s="2" t="e">
        <f ca="1"/>
        <v>#N/A</v>
      </c>
      <c r="O64" s="2" t="e">
        <f ca="1"/>
        <v>#N/A</v>
      </c>
      <c r="P64" s="2" t="e">
        <f ca="1"/>
        <v>#N/A</v>
      </c>
      <c r="Q64" s="36" t="e">
        <f ca="1"/>
        <v>#N/A</v>
      </c>
      <c r="R64" s="36" t="e">
        <f ca="1"/>
        <v>#N/A</v>
      </c>
    </row>
    <row r="65" spans="1:18" x14ac:dyDescent="0.2">
      <c r="A65" s="2">
        <v>64</v>
      </c>
      <c r="B65" s="72">
        <v>45693</v>
      </c>
      <c r="C65" s="77">
        <v>0.42964120370370368</v>
      </c>
      <c r="D65" s="73" t="s">
        <v>76</v>
      </c>
      <c r="E65" s="73" t="s">
        <v>77</v>
      </c>
      <c r="G65" s="73" t="s">
        <v>111</v>
      </c>
      <c r="H65" s="73" t="s">
        <v>79</v>
      </c>
      <c r="I65" s="36" t="str">
        <f ca="1"/>
        <v>22,6</v>
      </c>
      <c r="J65" s="2">
        <v>65</v>
      </c>
      <c r="K65" s="2">
        <v>1</v>
      </c>
      <c r="L65" s="2">
        <v>8</v>
      </c>
      <c r="M65" s="36">
        <f ca="1"/>
        <v>14.600000000000001</v>
      </c>
      <c r="N65" s="2" t="e">
        <f ca="1"/>
        <v>#N/A</v>
      </c>
      <c r="O65" s="2" t="e">
        <f ca="1"/>
        <v>#N/A</v>
      </c>
      <c r="P65" s="2" t="e">
        <f ca="1"/>
        <v>#N/A</v>
      </c>
      <c r="Q65" s="36" t="e">
        <f ca="1"/>
        <v>#N/A</v>
      </c>
      <c r="R65" s="36" t="e">
        <f ca="1"/>
        <v>#N/A</v>
      </c>
    </row>
    <row r="66" spans="1:18" x14ac:dyDescent="0.2">
      <c r="A66" s="2">
        <v>65</v>
      </c>
      <c r="B66" s="72">
        <v>45693</v>
      </c>
      <c r="C66" s="77">
        <v>0.42964120370370368</v>
      </c>
      <c r="D66" s="73" t="s">
        <v>76</v>
      </c>
      <c r="E66" s="73" t="s">
        <v>77</v>
      </c>
      <c r="G66" s="73" t="s">
        <v>111</v>
      </c>
      <c r="H66" s="73" t="s">
        <v>79</v>
      </c>
      <c r="I66" s="36" t="str">
        <f ca="1"/>
        <v>22,6</v>
      </c>
      <c r="J66" s="2">
        <v>66</v>
      </c>
      <c r="K66" s="2">
        <v>2</v>
      </c>
      <c r="L66" s="2">
        <v>8.1</v>
      </c>
      <c r="M66" s="36">
        <f ca="1"/>
        <v>14.500000000000002</v>
      </c>
      <c r="N66" s="2" t="e">
        <f ca="1"/>
        <v>#N/A</v>
      </c>
      <c r="O66" s="2" t="e">
        <f ca="1"/>
        <v>#N/A</v>
      </c>
      <c r="P66" s="2" t="e">
        <f ca="1"/>
        <v>#N/A</v>
      </c>
      <c r="Q66" s="36" t="e">
        <f ca="1"/>
        <v>#N/A</v>
      </c>
      <c r="R66" s="36" t="e">
        <f ca="1"/>
        <v>#N/A</v>
      </c>
    </row>
    <row r="67" spans="1:18" x14ac:dyDescent="0.2">
      <c r="A67" s="2">
        <v>66</v>
      </c>
      <c r="B67" s="72">
        <v>45693</v>
      </c>
      <c r="C67" s="77">
        <v>0.42811342592592594</v>
      </c>
      <c r="D67" s="73" t="s">
        <v>76</v>
      </c>
      <c r="E67" s="73" t="s">
        <v>77</v>
      </c>
      <c r="G67" s="73" t="s">
        <v>106</v>
      </c>
      <c r="H67" s="74" t="s">
        <v>79</v>
      </c>
      <c r="I67" s="36" t="str">
        <f ca="1"/>
        <v>29,6</v>
      </c>
      <c r="J67" s="2">
        <v>67</v>
      </c>
      <c r="K67" s="2">
        <v>2</v>
      </c>
      <c r="L67" s="2">
        <v>8.1</v>
      </c>
      <c r="M67" s="36">
        <f ca="1"/>
        <v>21.5</v>
      </c>
      <c r="N67" s="2" t="e">
        <f ca="1"/>
        <v>#N/A</v>
      </c>
      <c r="O67" s="2" t="e">
        <f ca="1"/>
        <v>#N/A</v>
      </c>
      <c r="P67" s="2" t="e">
        <f ca="1"/>
        <v>#N/A</v>
      </c>
      <c r="Q67" s="36" t="e">
        <f ca="1"/>
        <v>#N/A</v>
      </c>
      <c r="R67" s="36" t="e">
        <f ca="1"/>
        <v>#N/A</v>
      </c>
    </row>
    <row r="68" spans="1:18" x14ac:dyDescent="0.2">
      <c r="A68" s="2">
        <v>67</v>
      </c>
      <c r="B68" s="72">
        <v>45693</v>
      </c>
      <c r="C68" s="77">
        <v>0.42811342592592594</v>
      </c>
      <c r="D68" s="73" t="s">
        <v>76</v>
      </c>
      <c r="E68" s="73" t="s">
        <v>77</v>
      </c>
      <c r="G68" s="73" t="s">
        <v>106</v>
      </c>
      <c r="H68" s="73" t="s">
        <v>79</v>
      </c>
      <c r="I68" s="36" t="str">
        <f ca="1"/>
        <v>29,6</v>
      </c>
      <c r="J68" s="2">
        <v>68</v>
      </c>
      <c r="K68" s="2">
        <v>2</v>
      </c>
      <c r="L68" s="2">
        <v>8.1</v>
      </c>
      <c r="M68" s="36">
        <f ca="1"/>
        <v>21.5</v>
      </c>
      <c r="N68" s="2" t="e">
        <f ca="1"/>
        <v>#N/A</v>
      </c>
      <c r="O68" s="2" t="e">
        <f ca="1"/>
        <v>#N/A</v>
      </c>
      <c r="P68" s="2" t="e">
        <f ca="1"/>
        <v>#N/A</v>
      </c>
      <c r="Q68" s="36" t="e">
        <f ca="1"/>
        <v>#N/A</v>
      </c>
      <c r="R68" s="36" t="e">
        <f ca="1"/>
        <v>#N/A</v>
      </c>
    </row>
    <row r="69" spans="1:18" x14ac:dyDescent="0.2">
      <c r="A69" s="2">
        <v>68</v>
      </c>
      <c r="B69" s="72">
        <v>45693</v>
      </c>
      <c r="C69" s="77">
        <v>0.42811342592592594</v>
      </c>
      <c r="D69" s="73" t="s">
        <v>76</v>
      </c>
      <c r="E69" s="73" t="s">
        <v>77</v>
      </c>
      <c r="G69" s="73" t="s">
        <v>106</v>
      </c>
      <c r="H69" s="73" t="s">
        <v>79</v>
      </c>
      <c r="I69" s="36" t="str">
        <f ca="1"/>
        <v>29,6</v>
      </c>
      <c r="J69" s="2">
        <v>69</v>
      </c>
      <c r="K69" s="2">
        <v>2</v>
      </c>
      <c r="L69" s="2">
        <v>8.1</v>
      </c>
      <c r="M69" s="36">
        <f ca="1"/>
        <v>21.5</v>
      </c>
      <c r="N69" s="2" t="e">
        <f ca="1"/>
        <v>#N/A</v>
      </c>
      <c r="O69" s="2" t="e">
        <f ca="1"/>
        <v>#N/A</v>
      </c>
      <c r="P69" s="2" t="e">
        <f ca="1"/>
        <v>#N/A</v>
      </c>
      <c r="Q69" s="36" t="e">
        <f ca="1"/>
        <v>#N/A</v>
      </c>
      <c r="R69" s="36" t="e">
        <f ca="1"/>
        <v>#N/A</v>
      </c>
    </row>
    <row r="70" spans="1:18" x14ac:dyDescent="0.2">
      <c r="A70" s="2">
        <v>69</v>
      </c>
      <c r="B70" s="72">
        <v>45693</v>
      </c>
      <c r="C70" s="77">
        <v>0.42811342592592594</v>
      </c>
      <c r="D70" s="73" t="s">
        <v>76</v>
      </c>
      <c r="E70" s="73" t="s">
        <v>77</v>
      </c>
      <c r="G70" s="73" t="s">
        <v>106</v>
      </c>
      <c r="H70" s="73" t="s">
        <v>79</v>
      </c>
      <c r="I70" s="36" t="str">
        <f ca="1"/>
        <v>29,6</v>
      </c>
      <c r="J70" s="2">
        <v>70</v>
      </c>
      <c r="K70" s="2">
        <v>2</v>
      </c>
      <c r="L70" s="2">
        <v>8.1</v>
      </c>
      <c r="M70" s="36">
        <f ca="1"/>
        <v>21.5</v>
      </c>
      <c r="N70" s="2" t="e">
        <f ca="1"/>
        <v>#N/A</v>
      </c>
      <c r="O70" s="2" t="e">
        <f ca="1"/>
        <v>#N/A</v>
      </c>
      <c r="P70" s="2" t="e">
        <f ca="1"/>
        <v>#N/A</v>
      </c>
      <c r="Q70" s="36" t="e">
        <f ca="1"/>
        <v>#N/A</v>
      </c>
      <c r="R70" s="36" t="e">
        <f ca="1"/>
        <v>#N/A</v>
      </c>
    </row>
    <row r="71" spans="1:18" x14ac:dyDescent="0.2">
      <c r="A71" s="2">
        <v>70</v>
      </c>
      <c r="B71" s="72">
        <v>45693</v>
      </c>
      <c r="C71" s="77">
        <v>0.42811342592592594</v>
      </c>
      <c r="D71" s="73" t="s">
        <v>76</v>
      </c>
      <c r="E71" s="73" t="s">
        <v>77</v>
      </c>
      <c r="G71" s="73" t="s">
        <v>106</v>
      </c>
      <c r="H71" s="73" t="s">
        <v>79</v>
      </c>
      <c r="I71" s="36" t="str">
        <f ca="1"/>
        <v>29,6</v>
      </c>
      <c r="J71" s="2">
        <v>71</v>
      </c>
      <c r="K71" s="2">
        <v>2</v>
      </c>
      <c r="L71" s="2">
        <v>8.1</v>
      </c>
      <c r="M71" s="36">
        <f ca="1"/>
        <v>21.5</v>
      </c>
      <c r="N71" s="2">
        <f ca="1"/>
        <v>20</v>
      </c>
      <c r="O71" s="2">
        <f ca="1"/>
        <v>19.7</v>
      </c>
      <c r="P71" s="2">
        <f ca="1"/>
        <v>20.3</v>
      </c>
      <c r="Q71" s="36">
        <f ca="1"/>
        <v>19.981428571428577</v>
      </c>
      <c r="R71" s="36">
        <f ca="1"/>
        <v>18.04</v>
      </c>
    </row>
    <row r="72" spans="1:18" x14ac:dyDescent="0.2">
      <c r="A72" s="2">
        <v>71</v>
      </c>
      <c r="B72" s="72">
        <v>45693</v>
      </c>
      <c r="C72" s="77">
        <v>0.42811342592592594</v>
      </c>
      <c r="D72" s="73" t="s">
        <v>76</v>
      </c>
      <c r="E72" s="73" t="s">
        <v>77</v>
      </c>
      <c r="G72" s="73" t="s">
        <v>106</v>
      </c>
      <c r="H72" s="73" t="s">
        <v>79</v>
      </c>
      <c r="I72" s="36" t="str">
        <f ca="1"/>
        <v>29,6</v>
      </c>
      <c r="J72" s="2">
        <v>72</v>
      </c>
      <c r="K72" s="2">
        <v>2</v>
      </c>
      <c r="L72" s="2">
        <v>8.1</v>
      </c>
      <c r="M72" s="36">
        <f ca="1"/>
        <v>21.5</v>
      </c>
      <c r="N72" s="2" t="e">
        <f ca="1"/>
        <v>#N/A</v>
      </c>
      <c r="O72" s="2" t="e">
        <f ca="1"/>
        <v>#N/A</v>
      </c>
      <c r="P72" s="2" t="e">
        <f ca="1"/>
        <v>#N/A</v>
      </c>
      <c r="Q72" s="36" t="e">
        <f ca="1"/>
        <v>#N/A</v>
      </c>
      <c r="R72" s="36" t="e">
        <f ca="1"/>
        <v>#N/A</v>
      </c>
    </row>
    <row r="73" spans="1:18" x14ac:dyDescent="0.2">
      <c r="A73" s="2">
        <v>72</v>
      </c>
      <c r="B73" s="72">
        <v>45693</v>
      </c>
      <c r="C73" s="77">
        <v>0.42964120370370368</v>
      </c>
      <c r="D73" s="73" t="s">
        <v>76</v>
      </c>
      <c r="E73" s="73" t="s">
        <v>77</v>
      </c>
      <c r="G73" s="73" t="s">
        <v>111</v>
      </c>
      <c r="H73" s="73" t="s">
        <v>79</v>
      </c>
      <c r="I73" s="36" t="str">
        <f ca="1"/>
        <v>22,6</v>
      </c>
      <c r="J73" s="2">
        <v>73</v>
      </c>
      <c r="K73" s="2">
        <v>2</v>
      </c>
      <c r="L73" s="2">
        <v>8.1</v>
      </c>
      <c r="M73" s="36">
        <f ca="1"/>
        <v>14.500000000000002</v>
      </c>
      <c r="N73" s="2" t="e">
        <f ca="1"/>
        <v>#N/A</v>
      </c>
      <c r="O73" s="2" t="e">
        <f ca="1"/>
        <v>#N/A</v>
      </c>
      <c r="P73" s="2" t="e">
        <f ca="1"/>
        <v>#N/A</v>
      </c>
      <c r="Q73" s="36" t="e">
        <f ca="1"/>
        <v>#N/A</v>
      </c>
      <c r="R73" s="36" t="e">
        <f ca="1"/>
        <v>#N/A</v>
      </c>
    </row>
    <row r="74" spans="1:18" x14ac:dyDescent="0.2">
      <c r="A74" s="2">
        <v>73</v>
      </c>
      <c r="B74" s="72">
        <v>45693</v>
      </c>
      <c r="C74" s="77">
        <v>0.42964120370370368</v>
      </c>
      <c r="D74" s="73" t="s">
        <v>76</v>
      </c>
      <c r="E74" s="73" t="s">
        <v>77</v>
      </c>
      <c r="G74" s="73" t="s">
        <v>111</v>
      </c>
      <c r="H74" s="73" t="s">
        <v>79</v>
      </c>
      <c r="I74" s="36" t="str">
        <f ca="1"/>
        <v>22,6</v>
      </c>
      <c r="J74" s="2">
        <v>74</v>
      </c>
      <c r="K74" s="2">
        <v>2</v>
      </c>
      <c r="L74" s="2">
        <v>8.1</v>
      </c>
      <c r="M74" s="36">
        <f ca="1"/>
        <v>14.500000000000002</v>
      </c>
      <c r="N74" s="2" t="e">
        <f ca="1"/>
        <v>#N/A</v>
      </c>
      <c r="O74" s="2" t="e">
        <f ca="1"/>
        <v>#N/A</v>
      </c>
      <c r="P74" s="2" t="e">
        <f ca="1"/>
        <v>#N/A</v>
      </c>
      <c r="Q74" s="36" t="e">
        <f ca="1"/>
        <v>#N/A</v>
      </c>
      <c r="R74" s="36" t="e">
        <f ca="1"/>
        <v>#N/A</v>
      </c>
    </row>
    <row r="75" spans="1:18" x14ac:dyDescent="0.2">
      <c r="A75" s="2">
        <v>74</v>
      </c>
      <c r="B75" s="72">
        <v>45693</v>
      </c>
      <c r="C75" s="77">
        <v>0.42811342592592594</v>
      </c>
      <c r="D75" s="73" t="s">
        <v>76</v>
      </c>
      <c r="E75" s="73" t="s">
        <v>77</v>
      </c>
      <c r="G75" s="73" t="s">
        <v>106</v>
      </c>
      <c r="H75" s="73" t="s">
        <v>79</v>
      </c>
      <c r="I75" s="36" t="str">
        <f ca="1"/>
        <v>29,6</v>
      </c>
      <c r="J75" s="2">
        <v>75</v>
      </c>
      <c r="K75" s="2">
        <v>2</v>
      </c>
      <c r="L75" s="2">
        <v>8.1</v>
      </c>
      <c r="M75" s="36">
        <f ca="1"/>
        <v>21.5</v>
      </c>
      <c r="N75" s="2" t="e">
        <f ca="1"/>
        <v>#N/A</v>
      </c>
      <c r="O75" s="2" t="e">
        <f ca="1"/>
        <v>#N/A</v>
      </c>
      <c r="P75" s="2" t="e">
        <f ca="1"/>
        <v>#N/A</v>
      </c>
      <c r="Q75" s="36" t="e">
        <f ca="1"/>
        <v>#N/A</v>
      </c>
      <c r="R75" s="36" t="e">
        <f ca="1"/>
        <v>#N/A</v>
      </c>
    </row>
    <row r="76" spans="1:18" x14ac:dyDescent="0.2">
      <c r="A76" s="2">
        <v>75</v>
      </c>
      <c r="B76" s="72">
        <v>45693</v>
      </c>
      <c r="C76" s="77">
        <v>0.42811342592592594</v>
      </c>
      <c r="D76" s="73" t="s">
        <v>76</v>
      </c>
      <c r="E76" s="73" t="s">
        <v>77</v>
      </c>
      <c r="G76" s="73" t="s">
        <v>106</v>
      </c>
      <c r="H76" s="73" t="s">
        <v>79</v>
      </c>
      <c r="I76" s="36" t="str">
        <f ca="1"/>
        <v>29,6</v>
      </c>
      <c r="J76" s="2">
        <v>76</v>
      </c>
      <c r="K76" s="2">
        <v>2</v>
      </c>
      <c r="L76" s="2">
        <v>8.1</v>
      </c>
      <c r="M76" s="36">
        <f ca="1"/>
        <v>21.5</v>
      </c>
      <c r="N76" s="2" t="e">
        <f ca="1"/>
        <v>#N/A</v>
      </c>
      <c r="O76" s="2" t="e">
        <f ca="1"/>
        <v>#N/A</v>
      </c>
      <c r="P76" s="2" t="e">
        <f ca="1"/>
        <v>#N/A</v>
      </c>
      <c r="Q76" s="36" t="e">
        <f ca="1"/>
        <v>#N/A</v>
      </c>
      <c r="R76" s="36" t="e">
        <f ca="1"/>
        <v>#N/A</v>
      </c>
    </row>
    <row r="77" spans="1:18" x14ac:dyDescent="0.2">
      <c r="A77" s="2">
        <v>76</v>
      </c>
      <c r="B77" s="72">
        <v>45693</v>
      </c>
      <c r="C77" s="77">
        <v>0.42811342592592594</v>
      </c>
      <c r="D77" s="73" t="s">
        <v>76</v>
      </c>
      <c r="E77" s="73" t="s">
        <v>77</v>
      </c>
      <c r="G77" s="73" t="s">
        <v>106</v>
      </c>
      <c r="H77" s="73" t="s">
        <v>79</v>
      </c>
      <c r="I77" s="36" t="str">
        <f ca="1"/>
        <v>29,6</v>
      </c>
      <c r="J77" s="2">
        <v>77</v>
      </c>
      <c r="K77" s="2">
        <v>2</v>
      </c>
      <c r="L77" s="2">
        <v>8.1</v>
      </c>
      <c r="M77" s="36">
        <f ca="1"/>
        <v>21.5</v>
      </c>
      <c r="N77" s="2" t="e">
        <f ca="1"/>
        <v>#N/A</v>
      </c>
      <c r="O77" s="2" t="e">
        <f ca="1"/>
        <v>#N/A</v>
      </c>
      <c r="P77" s="2" t="e">
        <f ca="1"/>
        <v>#N/A</v>
      </c>
      <c r="Q77" s="36" t="e">
        <f ca="1"/>
        <v>#N/A</v>
      </c>
      <c r="R77" s="36" t="e">
        <f ca="1"/>
        <v>#N/A</v>
      </c>
    </row>
    <row r="78" spans="1:18" x14ac:dyDescent="0.2">
      <c r="A78" s="2">
        <v>77</v>
      </c>
      <c r="B78" s="72">
        <v>45693</v>
      </c>
      <c r="C78" s="77">
        <v>0.42811342592592594</v>
      </c>
      <c r="D78" s="73" t="s">
        <v>76</v>
      </c>
      <c r="E78" s="73" t="s">
        <v>77</v>
      </c>
      <c r="G78" s="73" t="s">
        <v>106</v>
      </c>
      <c r="H78" s="73" t="s">
        <v>79</v>
      </c>
      <c r="I78" s="36" t="str">
        <f ca="1"/>
        <v>29,6</v>
      </c>
      <c r="J78" s="2">
        <v>78</v>
      </c>
      <c r="K78" s="2">
        <v>2</v>
      </c>
      <c r="L78" s="2">
        <v>8.1</v>
      </c>
      <c r="M78" s="36">
        <f ca="1"/>
        <v>21.5</v>
      </c>
      <c r="N78" s="2" t="e">
        <f ca="1"/>
        <v>#N/A</v>
      </c>
      <c r="O78" s="2" t="e">
        <f ca="1"/>
        <v>#N/A</v>
      </c>
      <c r="P78" s="2" t="e">
        <f ca="1"/>
        <v>#N/A</v>
      </c>
      <c r="Q78" s="36" t="e">
        <f ca="1"/>
        <v>#N/A</v>
      </c>
      <c r="R78" s="36" t="e">
        <f ca="1"/>
        <v>#N/A</v>
      </c>
    </row>
    <row r="79" spans="1:18" x14ac:dyDescent="0.2">
      <c r="A79" s="2">
        <v>78</v>
      </c>
      <c r="B79" s="72">
        <v>45693</v>
      </c>
      <c r="C79" s="77">
        <v>0.42811342592592594</v>
      </c>
      <c r="D79" s="73" t="s">
        <v>76</v>
      </c>
      <c r="E79" s="73" t="s">
        <v>77</v>
      </c>
      <c r="G79" s="73" t="s">
        <v>106</v>
      </c>
      <c r="H79" s="73" t="s">
        <v>79</v>
      </c>
      <c r="I79" s="36" t="str">
        <f ca="1"/>
        <v>29,6</v>
      </c>
      <c r="J79" s="2">
        <v>79</v>
      </c>
      <c r="K79" s="2">
        <v>2</v>
      </c>
      <c r="L79" s="2">
        <v>8.1</v>
      </c>
      <c r="M79" s="36">
        <f ca="1"/>
        <v>21.5</v>
      </c>
      <c r="N79" s="2" t="e">
        <f ca="1"/>
        <v>#N/A</v>
      </c>
      <c r="O79" s="2" t="e">
        <f ca="1"/>
        <v>#N/A</v>
      </c>
      <c r="P79" s="2" t="e">
        <f ca="1"/>
        <v>#N/A</v>
      </c>
      <c r="Q79" s="36" t="e">
        <f ca="1"/>
        <v>#N/A</v>
      </c>
      <c r="R79" s="36" t="e">
        <f ca="1"/>
        <v>#N/A</v>
      </c>
    </row>
    <row r="80" spans="1:18" x14ac:dyDescent="0.2">
      <c r="A80" s="2">
        <v>79</v>
      </c>
      <c r="B80" s="72">
        <v>45693</v>
      </c>
      <c r="C80" s="77">
        <v>0.42811342592592594</v>
      </c>
      <c r="D80" s="73" t="s">
        <v>76</v>
      </c>
      <c r="E80" s="73" t="s">
        <v>77</v>
      </c>
      <c r="G80" s="73" t="s">
        <v>106</v>
      </c>
      <c r="H80" s="73" t="s">
        <v>79</v>
      </c>
      <c r="I80" s="36" t="str">
        <f ca="1"/>
        <v>29,6</v>
      </c>
      <c r="J80" s="2">
        <v>80</v>
      </c>
      <c r="K80" s="2">
        <v>2</v>
      </c>
      <c r="L80" s="2">
        <v>8.1</v>
      </c>
      <c r="M80" s="36">
        <f ca="1"/>
        <v>21.5</v>
      </c>
      <c r="N80" s="2" t="e">
        <f ca="1"/>
        <v>#N/A</v>
      </c>
      <c r="O80" s="2" t="e">
        <f ca="1"/>
        <v>#N/A</v>
      </c>
      <c r="P80" s="2" t="e">
        <f ca="1"/>
        <v>#N/A</v>
      </c>
      <c r="Q80" s="36" t="e">
        <f ca="1"/>
        <v>#N/A</v>
      </c>
      <c r="R80" s="36" t="e">
        <f ca="1"/>
        <v>#N/A</v>
      </c>
    </row>
    <row r="81" spans="1:18" x14ac:dyDescent="0.2">
      <c r="A81" s="2">
        <v>80</v>
      </c>
      <c r="B81" s="72">
        <v>45693</v>
      </c>
      <c r="C81" s="77">
        <v>0.4294560185185185</v>
      </c>
      <c r="D81" s="73" t="s">
        <v>76</v>
      </c>
      <c r="E81" s="73" t="s">
        <v>77</v>
      </c>
      <c r="G81" s="73" t="s">
        <v>103</v>
      </c>
      <c r="H81" s="74" t="s">
        <v>79</v>
      </c>
      <c r="I81" s="36" t="str">
        <f ca="1"/>
        <v>29,6</v>
      </c>
      <c r="J81" s="2">
        <v>81</v>
      </c>
      <c r="K81" s="2">
        <v>2</v>
      </c>
      <c r="L81" s="2">
        <v>8.1</v>
      </c>
      <c r="M81" s="36">
        <f ca="1"/>
        <v>21.5</v>
      </c>
      <c r="N81" s="2">
        <f ca="1"/>
        <v>20</v>
      </c>
      <c r="O81" s="2">
        <f ca="1"/>
        <v>19.7</v>
      </c>
      <c r="P81" s="2">
        <f ca="1"/>
        <v>20.3</v>
      </c>
      <c r="Q81" s="36">
        <f ca="1"/>
        <v>19.996250000000003</v>
      </c>
      <c r="R81" s="36">
        <f ca="1"/>
        <v>20.100000000000001</v>
      </c>
    </row>
    <row r="82" spans="1:18" x14ac:dyDescent="0.2">
      <c r="A82" s="2">
        <v>81</v>
      </c>
      <c r="B82" s="72">
        <v>45693</v>
      </c>
      <c r="C82" s="77">
        <v>0.42950231481481482</v>
      </c>
      <c r="D82" s="73" t="s">
        <v>76</v>
      </c>
      <c r="E82" s="73" t="s">
        <v>77</v>
      </c>
      <c r="G82" s="73" t="s">
        <v>101</v>
      </c>
      <c r="H82" s="73" t="s">
        <v>79</v>
      </c>
      <c r="I82" s="36" t="str">
        <f ca="1"/>
        <v>29,7</v>
      </c>
      <c r="J82" s="2">
        <v>82</v>
      </c>
      <c r="K82" s="2">
        <v>2</v>
      </c>
      <c r="L82" s="2">
        <v>8.1</v>
      </c>
      <c r="M82" s="36">
        <f ca="1"/>
        <v>21.6</v>
      </c>
      <c r="N82" s="2" t="e">
        <f ca="1"/>
        <v>#N/A</v>
      </c>
      <c r="O82" s="2" t="e">
        <f ca="1"/>
        <v>#N/A</v>
      </c>
      <c r="P82" s="2" t="e">
        <f ca="1"/>
        <v>#N/A</v>
      </c>
      <c r="Q82" s="36" t="e">
        <f ca="1"/>
        <v>#N/A</v>
      </c>
      <c r="R82" s="36" t="e">
        <f ca="1"/>
        <v>#N/A</v>
      </c>
    </row>
    <row r="83" spans="1:18" x14ac:dyDescent="0.2">
      <c r="A83" s="2">
        <v>82</v>
      </c>
      <c r="B83" s="72">
        <v>45693</v>
      </c>
      <c r="C83" s="77">
        <v>0.42954861111111109</v>
      </c>
      <c r="D83" s="73" t="s">
        <v>76</v>
      </c>
      <c r="E83" s="73" t="s">
        <v>77</v>
      </c>
      <c r="G83" s="73" t="s">
        <v>103</v>
      </c>
      <c r="H83" s="73" t="s">
        <v>79</v>
      </c>
      <c r="I83" s="36" t="str">
        <f ca="1"/>
        <v>29,6</v>
      </c>
      <c r="J83" s="2">
        <v>83</v>
      </c>
      <c r="K83" s="2">
        <v>2</v>
      </c>
      <c r="L83" s="2">
        <v>8.1</v>
      </c>
      <c r="M83" s="36">
        <f ca="1"/>
        <v>21.5</v>
      </c>
      <c r="N83" s="2" t="e">
        <f ca="1"/>
        <v>#N/A</v>
      </c>
      <c r="O83" s="2" t="e">
        <f ca="1"/>
        <v>#N/A</v>
      </c>
      <c r="P83" s="2" t="e">
        <f ca="1"/>
        <v>#N/A</v>
      </c>
      <c r="Q83" s="36" t="e">
        <f ca="1"/>
        <v>#N/A</v>
      </c>
      <c r="R83" s="36" t="e">
        <f ca="1"/>
        <v>#N/A</v>
      </c>
    </row>
    <row r="84" spans="1:18" x14ac:dyDescent="0.2">
      <c r="A84" s="2">
        <v>83</v>
      </c>
      <c r="B84" s="72">
        <v>45693</v>
      </c>
      <c r="C84" s="77">
        <v>0.42958333333333332</v>
      </c>
      <c r="D84" s="73" t="s">
        <v>76</v>
      </c>
      <c r="E84" s="73" t="s">
        <v>77</v>
      </c>
      <c r="G84" s="73" t="s">
        <v>99</v>
      </c>
      <c r="H84" s="73" t="s">
        <v>79</v>
      </c>
      <c r="I84" s="36" t="str">
        <f ca="1"/>
        <v>29,7</v>
      </c>
      <c r="J84" s="2">
        <v>84</v>
      </c>
      <c r="K84" s="2">
        <v>2</v>
      </c>
      <c r="L84" s="2">
        <v>8.1</v>
      </c>
      <c r="M84" s="36">
        <f ca="1"/>
        <v>21.6</v>
      </c>
      <c r="N84" s="2" t="e">
        <f ca="1"/>
        <v>#N/A</v>
      </c>
      <c r="O84" s="2" t="e">
        <f ca="1"/>
        <v>#N/A</v>
      </c>
      <c r="P84" s="2" t="e">
        <f ca="1"/>
        <v>#N/A</v>
      </c>
      <c r="Q84" s="36" t="e">
        <f ca="1"/>
        <v>#N/A</v>
      </c>
      <c r="R84" s="36" t="e">
        <f ca="1"/>
        <v>#N/A</v>
      </c>
    </row>
    <row r="85" spans="1:18" x14ac:dyDescent="0.2">
      <c r="A85" s="2">
        <v>84</v>
      </c>
      <c r="B85" s="72">
        <v>45693</v>
      </c>
      <c r="C85" s="77">
        <v>0.42964120370370368</v>
      </c>
      <c r="D85" s="73" t="s">
        <v>76</v>
      </c>
      <c r="E85" s="73" t="s">
        <v>77</v>
      </c>
      <c r="G85" s="73" t="s">
        <v>111</v>
      </c>
      <c r="H85" s="74" t="s">
        <v>79</v>
      </c>
      <c r="I85" s="36" t="str">
        <f ca="1"/>
        <v>22,6</v>
      </c>
      <c r="J85" s="2">
        <v>85</v>
      </c>
      <c r="K85" s="2">
        <v>2</v>
      </c>
      <c r="L85" s="2">
        <v>8.1</v>
      </c>
      <c r="M85" s="36">
        <f ca="1"/>
        <v>14.500000000000002</v>
      </c>
      <c r="N85" s="2" t="e">
        <f ca="1"/>
        <v>#N/A</v>
      </c>
      <c r="O85" s="2" t="e">
        <f ca="1"/>
        <v>#N/A</v>
      </c>
      <c r="P85" s="2" t="e">
        <f ca="1"/>
        <v>#N/A</v>
      </c>
      <c r="Q85" s="36" t="e">
        <f ca="1"/>
        <v>#N/A</v>
      </c>
      <c r="R85" s="36" t="e">
        <f ca="1"/>
        <v>#N/A</v>
      </c>
    </row>
    <row r="86" spans="1:18" x14ac:dyDescent="0.2">
      <c r="A86" s="2">
        <v>85</v>
      </c>
      <c r="B86" s="72">
        <v>45693</v>
      </c>
      <c r="C86" s="77">
        <v>0.42964120370370368</v>
      </c>
      <c r="D86" s="73" t="s">
        <v>76</v>
      </c>
      <c r="E86" s="73" t="s">
        <v>77</v>
      </c>
      <c r="G86" s="73" t="s">
        <v>111</v>
      </c>
      <c r="H86" s="73" t="s">
        <v>79</v>
      </c>
      <c r="I86" s="36" t="str">
        <f ca="1"/>
        <v>22,6</v>
      </c>
      <c r="J86" s="2">
        <v>86</v>
      </c>
      <c r="K86" s="2">
        <v>2</v>
      </c>
      <c r="L86" s="2">
        <v>8.1</v>
      </c>
      <c r="M86" s="36">
        <f ca="1"/>
        <v>14.500000000000002</v>
      </c>
      <c r="N86" s="2" t="e">
        <f ca="1"/>
        <v>#N/A</v>
      </c>
      <c r="O86" s="2" t="e">
        <f ca="1"/>
        <v>#N/A</v>
      </c>
      <c r="P86" s="2" t="e">
        <f ca="1"/>
        <v>#N/A</v>
      </c>
      <c r="Q86" s="36" t="e">
        <f ca="1"/>
        <v>#N/A</v>
      </c>
      <c r="R86" s="36" t="e">
        <f ca="1"/>
        <v>#N/A</v>
      </c>
    </row>
    <row r="87" spans="1:18" x14ac:dyDescent="0.2">
      <c r="A87" s="2">
        <v>86</v>
      </c>
      <c r="B87" s="72">
        <v>45693</v>
      </c>
      <c r="C87" s="77">
        <v>0.42964120370370368</v>
      </c>
      <c r="D87" s="73" t="s">
        <v>76</v>
      </c>
      <c r="E87" s="73" t="s">
        <v>77</v>
      </c>
      <c r="G87" s="73" t="s">
        <v>111</v>
      </c>
      <c r="H87" s="73" t="s">
        <v>79</v>
      </c>
      <c r="I87" s="36" t="str">
        <f ca="1"/>
        <v>22,6</v>
      </c>
      <c r="J87" s="2">
        <v>87</v>
      </c>
      <c r="K87" s="2">
        <v>2</v>
      </c>
      <c r="L87" s="2">
        <v>8.1</v>
      </c>
      <c r="M87" s="36">
        <f ca="1"/>
        <v>14.500000000000002</v>
      </c>
      <c r="N87" s="2" t="e">
        <f ca="1"/>
        <v>#N/A</v>
      </c>
      <c r="O87" s="2" t="e">
        <f ca="1"/>
        <v>#N/A</v>
      </c>
      <c r="P87" s="2" t="e">
        <f ca="1"/>
        <v>#N/A</v>
      </c>
      <c r="Q87" s="36" t="e">
        <f ca="1"/>
        <v>#N/A</v>
      </c>
      <c r="R87" s="36" t="e">
        <f ca="1"/>
        <v>#N/A</v>
      </c>
    </row>
    <row r="88" spans="1:18" x14ac:dyDescent="0.2">
      <c r="A88" s="2">
        <v>87</v>
      </c>
      <c r="B88" s="72">
        <v>45693</v>
      </c>
      <c r="C88" s="77">
        <v>0.42964120370370368</v>
      </c>
      <c r="D88" s="73" t="s">
        <v>76</v>
      </c>
      <c r="E88" s="73" t="s">
        <v>77</v>
      </c>
      <c r="G88" s="73" t="s">
        <v>111</v>
      </c>
      <c r="H88" s="73" t="s">
        <v>79</v>
      </c>
      <c r="I88" s="36" t="str">
        <f ca="1"/>
        <v>22,6</v>
      </c>
      <c r="J88" s="2">
        <v>88</v>
      </c>
      <c r="K88" s="2">
        <v>2</v>
      </c>
      <c r="L88" s="2">
        <v>8.1</v>
      </c>
      <c r="M88" s="36">
        <f ca="1"/>
        <v>14.500000000000002</v>
      </c>
      <c r="N88" s="2" t="e">
        <f ca="1"/>
        <v>#N/A</v>
      </c>
      <c r="O88" s="2" t="e">
        <f ca="1"/>
        <v>#N/A</v>
      </c>
      <c r="P88" s="2" t="e">
        <f ca="1"/>
        <v>#N/A</v>
      </c>
      <c r="Q88" s="36" t="e">
        <f ca="1"/>
        <v>#N/A</v>
      </c>
      <c r="R88" s="36" t="e">
        <f ca="1"/>
        <v>#N/A</v>
      </c>
    </row>
    <row r="89" spans="1:18" x14ac:dyDescent="0.2">
      <c r="A89" s="2">
        <v>88</v>
      </c>
      <c r="B89" s="72">
        <v>45693</v>
      </c>
      <c r="C89" s="77">
        <v>0.42964120370370368</v>
      </c>
      <c r="D89" s="73" t="s">
        <v>76</v>
      </c>
      <c r="E89" s="73" t="s">
        <v>77</v>
      </c>
      <c r="G89" s="73" t="s">
        <v>111</v>
      </c>
      <c r="H89" s="74" t="s">
        <v>79</v>
      </c>
      <c r="I89" s="36" t="str">
        <f ca="1"/>
        <v>22,6</v>
      </c>
      <c r="J89" s="2">
        <v>89</v>
      </c>
      <c r="K89" s="2">
        <v>2</v>
      </c>
      <c r="L89" s="2">
        <v>8.1</v>
      </c>
      <c r="M89" s="36">
        <f ca="1"/>
        <v>14.500000000000002</v>
      </c>
      <c r="N89" s="2" t="e">
        <f ca="1"/>
        <v>#N/A</v>
      </c>
      <c r="O89" s="2" t="e">
        <f ca="1"/>
        <v>#N/A</v>
      </c>
      <c r="P89" s="2" t="e">
        <f ca="1"/>
        <v>#N/A</v>
      </c>
      <c r="Q89" s="36" t="e">
        <f ca="1"/>
        <v>#N/A</v>
      </c>
      <c r="R89" s="36" t="e">
        <f ca="1"/>
        <v>#N/A</v>
      </c>
    </row>
    <row r="90" spans="1:18" x14ac:dyDescent="0.2">
      <c r="A90" s="2">
        <v>89</v>
      </c>
      <c r="B90" s="72">
        <v>45693</v>
      </c>
      <c r="C90" s="77">
        <v>0.42811342592592594</v>
      </c>
      <c r="D90" s="73" t="s">
        <v>76</v>
      </c>
      <c r="E90" s="73" t="s">
        <v>77</v>
      </c>
      <c r="G90" s="73" t="s">
        <v>106</v>
      </c>
      <c r="H90" s="73" t="s">
        <v>79</v>
      </c>
      <c r="I90" s="36" t="str">
        <f ca="1"/>
        <v>29,6</v>
      </c>
      <c r="J90" s="2">
        <v>90</v>
      </c>
      <c r="K90" s="2">
        <v>2</v>
      </c>
      <c r="L90" s="2">
        <v>8.1</v>
      </c>
      <c r="M90" s="36">
        <f ca="1"/>
        <v>21.5</v>
      </c>
      <c r="N90" s="2" t="e">
        <f ca="1"/>
        <v>#N/A</v>
      </c>
      <c r="O90" s="2" t="e">
        <f ca="1"/>
        <v>#N/A</v>
      </c>
      <c r="P90" s="2" t="e">
        <f ca="1"/>
        <v>#N/A</v>
      </c>
      <c r="Q90" s="36" t="e">
        <f ca="1"/>
        <v>#N/A</v>
      </c>
      <c r="R90" s="36" t="e">
        <f ca="1"/>
        <v>#N/A</v>
      </c>
    </row>
    <row r="91" spans="1:18" x14ac:dyDescent="0.2">
      <c r="A91" s="2">
        <v>90</v>
      </c>
      <c r="B91" s="72">
        <v>45693</v>
      </c>
      <c r="C91" s="77">
        <v>0.42811342592592594</v>
      </c>
      <c r="D91" s="73" t="s">
        <v>76</v>
      </c>
      <c r="E91" s="73" t="s">
        <v>77</v>
      </c>
      <c r="G91" s="73" t="s">
        <v>106</v>
      </c>
      <c r="H91" s="73" t="s">
        <v>79</v>
      </c>
      <c r="I91" s="36" t="str">
        <f ca="1"/>
        <v>29,6</v>
      </c>
      <c r="J91" s="2">
        <v>91</v>
      </c>
      <c r="K91" s="2">
        <v>2</v>
      </c>
      <c r="L91" s="2">
        <v>8.1</v>
      </c>
      <c r="M91" s="36">
        <f ca="1"/>
        <v>21.5</v>
      </c>
      <c r="N91" s="2">
        <f ca="1"/>
        <v>20</v>
      </c>
      <c r="O91" s="2">
        <f ca="1"/>
        <v>19.7</v>
      </c>
      <c r="P91" s="2">
        <f ca="1"/>
        <v>20.3</v>
      </c>
      <c r="Q91" s="36">
        <f ca="1"/>
        <v>19.776666666666667</v>
      </c>
      <c r="R91" s="36">
        <f ca="1"/>
        <v>18.020000000000003</v>
      </c>
    </row>
    <row r="92" spans="1:18" x14ac:dyDescent="0.2">
      <c r="A92" s="2">
        <v>91</v>
      </c>
      <c r="B92" s="72">
        <v>45693</v>
      </c>
      <c r="C92" s="77">
        <v>0.42811342592592594</v>
      </c>
      <c r="D92" s="73" t="s">
        <v>76</v>
      </c>
      <c r="E92" s="73" t="s">
        <v>77</v>
      </c>
      <c r="G92" s="73" t="s">
        <v>106</v>
      </c>
      <c r="H92" s="73" t="s">
        <v>79</v>
      </c>
      <c r="I92" s="36" t="str">
        <f ca="1"/>
        <v>29,6</v>
      </c>
      <c r="J92" s="2">
        <v>92</v>
      </c>
      <c r="K92" s="2">
        <v>2</v>
      </c>
      <c r="L92" s="2">
        <v>8.1</v>
      </c>
      <c r="M92" s="36">
        <f ca="1"/>
        <v>21.5</v>
      </c>
      <c r="N92" s="2" t="e">
        <f ca="1"/>
        <v>#N/A</v>
      </c>
      <c r="O92" s="2" t="e">
        <f ca="1"/>
        <v>#N/A</v>
      </c>
      <c r="P92" s="2" t="e">
        <f ca="1"/>
        <v>#N/A</v>
      </c>
      <c r="Q92" s="36" t="e">
        <f ca="1"/>
        <v>#N/A</v>
      </c>
      <c r="R92" s="36" t="e">
        <f ca="1"/>
        <v>#N/A</v>
      </c>
    </row>
    <row r="93" spans="1:18" x14ac:dyDescent="0.2">
      <c r="A93" s="2">
        <v>92</v>
      </c>
      <c r="B93" s="72">
        <v>45693</v>
      </c>
      <c r="C93" s="77">
        <v>0.42811342592592594</v>
      </c>
      <c r="D93" s="73" t="s">
        <v>76</v>
      </c>
      <c r="E93" s="73" t="s">
        <v>77</v>
      </c>
      <c r="G93" s="73" t="s">
        <v>106</v>
      </c>
      <c r="H93" s="73" t="s">
        <v>79</v>
      </c>
      <c r="I93" s="36" t="str">
        <f ca="1"/>
        <v>29,6</v>
      </c>
      <c r="J93" s="2">
        <v>93</v>
      </c>
      <c r="K93" s="2">
        <v>2</v>
      </c>
      <c r="L93" s="2">
        <v>8.1</v>
      </c>
      <c r="M93" s="36">
        <f ca="1"/>
        <v>21.5</v>
      </c>
      <c r="N93" s="2" t="e">
        <f ca="1"/>
        <v>#N/A</v>
      </c>
      <c r="O93" s="2" t="e">
        <f ca="1"/>
        <v>#N/A</v>
      </c>
      <c r="P93" s="2" t="e">
        <f ca="1"/>
        <v>#N/A</v>
      </c>
      <c r="Q93" s="36" t="e">
        <f ca="1"/>
        <v>#N/A</v>
      </c>
      <c r="R93" s="36" t="e">
        <f ca="1"/>
        <v>#N/A</v>
      </c>
    </row>
    <row r="94" spans="1:18" x14ac:dyDescent="0.2">
      <c r="A94" s="2">
        <v>93</v>
      </c>
      <c r="B94" s="72">
        <v>45693</v>
      </c>
      <c r="C94" s="77">
        <v>0.42811342592592594</v>
      </c>
      <c r="D94" s="73" t="s">
        <v>76</v>
      </c>
      <c r="E94" s="73" t="s">
        <v>77</v>
      </c>
      <c r="G94" s="73" t="s">
        <v>106</v>
      </c>
      <c r="H94" s="73" t="s">
        <v>79</v>
      </c>
      <c r="I94" s="36" t="str">
        <f ca="1"/>
        <v>29,6</v>
      </c>
      <c r="J94" s="2">
        <v>94</v>
      </c>
      <c r="K94" s="2">
        <v>2</v>
      </c>
      <c r="L94" s="2">
        <v>8.1</v>
      </c>
      <c r="M94" s="36">
        <f ca="1"/>
        <v>21.5</v>
      </c>
      <c r="N94" s="2" t="e">
        <f ca="1"/>
        <v>#N/A</v>
      </c>
      <c r="O94" s="2" t="e">
        <f ca="1"/>
        <v>#N/A</v>
      </c>
      <c r="P94" s="2" t="e">
        <f ca="1"/>
        <v>#N/A</v>
      </c>
      <c r="Q94" s="36" t="e">
        <f ca="1"/>
        <v>#N/A</v>
      </c>
      <c r="R94" s="36" t="e">
        <f ca="1"/>
        <v>#N/A</v>
      </c>
    </row>
    <row r="95" spans="1:18" x14ac:dyDescent="0.2">
      <c r="A95" s="2">
        <v>94</v>
      </c>
      <c r="B95" s="72">
        <v>45693</v>
      </c>
      <c r="C95" s="77">
        <v>0.42811342592592594</v>
      </c>
      <c r="D95" s="73" t="s">
        <v>76</v>
      </c>
      <c r="E95" s="73" t="s">
        <v>77</v>
      </c>
      <c r="G95" s="73" t="s">
        <v>106</v>
      </c>
      <c r="H95" s="73" t="s">
        <v>79</v>
      </c>
      <c r="I95" s="36" t="str">
        <f ca="1"/>
        <v>29,6</v>
      </c>
      <c r="J95" s="2">
        <v>95</v>
      </c>
      <c r="K95" s="2">
        <v>2</v>
      </c>
      <c r="L95" s="2">
        <v>8.1</v>
      </c>
      <c r="M95" s="36">
        <f ca="1"/>
        <v>21.5</v>
      </c>
      <c r="N95" s="2" t="e">
        <f ca="1"/>
        <v>#N/A</v>
      </c>
      <c r="O95" s="2" t="e">
        <f ca="1"/>
        <v>#N/A</v>
      </c>
      <c r="P95" s="2" t="e">
        <f ca="1"/>
        <v>#N/A</v>
      </c>
      <c r="Q95" s="36" t="e">
        <f ca="1"/>
        <v>#N/A</v>
      </c>
      <c r="R95" s="36" t="e">
        <f ca="1"/>
        <v>#N/A</v>
      </c>
    </row>
    <row r="96" spans="1:18" x14ac:dyDescent="0.2">
      <c r="A96" s="2">
        <v>95</v>
      </c>
      <c r="B96" s="72">
        <v>45693</v>
      </c>
      <c r="C96" s="77">
        <v>0.42964120370370368</v>
      </c>
      <c r="D96" s="73" t="s">
        <v>76</v>
      </c>
      <c r="E96" s="73" t="s">
        <v>77</v>
      </c>
      <c r="G96" s="73" t="s">
        <v>111</v>
      </c>
      <c r="H96" s="73" t="s">
        <v>79</v>
      </c>
      <c r="I96" s="36" t="str">
        <f ca="1"/>
        <v>22,6</v>
      </c>
      <c r="J96" s="2">
        <v>96</v>
      </c>
      <c r="K96" s="2">
        <v>2</v>
      </c>
      <c r="L96" s="2">
        <v>8.1</v>
      </c>
      <c r="M96" s="36">
        <f ca="1"/>
        <v>14.500000000000002</v>
      </c>
      <c r="N96" s="2" t="e">
        <f ca="1"/>
        <v>#N/A</v>
      </c>
      <c r="O96" s="2" t="e">
        <f ca="1"/>
        <v>#N/A</v>
      </c>
      <c r="P96" s="2" t="e">
        <f ca="1"/>
        <v>#N/A</v>
      </c>
      <c r="Q96" s="36" t="e">
        <f ca="1"/>
        <v>#N/A</v>
      </c>
      <c r="R96" s="36" t="e">
        <f ca="1"/>
        <v>#N/A</v>
      </c>
    </row>
    <row r="97" spans="1:18" x14ac:dyDescent="0.2">
      <c r="A97" s="2">
        <v>96</v>
      </c>
      <c r="B97" s="72">
        <v>45693</v>
      </c>
      <c r="C97" s="77">
        <v>0.42964120370370368</v>
      </c>
      <c r="D97" s="73" t="s">
        <v>76</v>
      </c>
      <c r="E97" s="73" t="s">
        <v>77</v>
      </c>
      <c r="G97" s="73" t="s">
        <v>111</v>
      </c>
      <c r="H97" s="73" t="s">
        <v>79</v>
      </c>
      <c r="I97" s="36" t="str">
        <f ca="1"/>
        <v>22,6</v>
      </c>
      <c r="J97" s="2">
        <v>97</v>
      </c>
      <c r="K97" s="2">
        <v>2</v>
      </c>
      <c r="L97" s="2">
        <v>8.1</v>
      </c>
      <c r="M97" s="36">
        <f ca="1"/>
        <v>14.500000000000002</v>
      </c>
      <c r="N97" s="2" t="e">
        <f ca="1"/>
        <v>#N/A</v>
      </c>
      <c r="O97" s="2" t="e">
        <f ca="1"/>
        <v>#N/A</v>
      </c>
      <c r="P97" s="2" t="e">
        <f ca="1"/>
        <v>#N/A</v>
      </c>
      <c r="Q97" s="36" t="e">
        <f ca="1"/>
        <v>#N/A</v>
      </c>
      <c r="R97" s="36" t="e">
        <f ca="1"/>
        <v>#N/A</v>
      </c>
    </row>
    <row r="98" spans="1:18" x14ac:dyDescent="0.2">
      <c r="A98" s="2">
        <v>97</v>
      </c>
      <c r="B98" s="72">
        <v>45693</v>
      </c>
      <c r="C98" s="77">
        <v>0.42811342592592594</v>
      </c>
      <c r="D98" s="73" t="s">
        <v>76</v>
      </c>
      <c r="E98" s="73" t="s">
        <v>77</v>
      </c>
      <c r="G98" s="73" t="s">
        <v>106</v>
      </c>
      <c r="H98" s="73" t="s">
        <v>79</v>
      </c>
      <c r="I98" s="36" t="str">
        <f ca="1"/>
        <v>29,6</v>
      </c>
      <c r="J98" s="2">
        <v>98</v>
      </c>
      <c r="K98" s="2">
        <v>2</v>
      </c>
      <c r="L98" s="2">
        <v>8.1</v>
      </c>
      <c r="M98" s="36">
        <f ca="1"/>
        <v>21.5</v>
      </c>
      <c r="N98" s="2" t="e">
        <f ca="1"/>
        <v>#N/A</v>
      </c>
      <c r="O98" s="2" t="e">
        <f ca="1"/>
        <v>#N/A</v>
      </c>
      <c r="P98" s="2" t="e">
        <f ca="1"/>
        <v>#N/A</v>
      </c>
      <c r="Q98" s="36" t="e">
        <f ca="1"/>
        <v>#N/A</v>
      </c>
      <c r="R98" s="36" t="e">
        <f ca="1"/>
        <v>#N/A</v>
      </c>
    </row>
    <row r="99" spans="1:18" x14ac:dyDescent="0.2">
      <c r="A99" s="2">
        <v>98</v>
      </c>
      <c r="B99" s="72">
        <v>45693</v>
      </c>
      <c r="C99" s="77">
        <v>0.42811342592592594</v>
      </c>
      <c r="D99" s="73" t="s">
        <v>76</v>
      </c>
      <c r="E99" s="73" t="s">
        <v>77</v>
      </c>
      <c r="G99" s="73" t="s">
        <v>106</v>
      </c>
      <c r="H99" s="73" t="s">
        <v>79</v>
      </c>
      <c r="I99" s="36" t="str">
        <f ca="1"/>
        <v>29,6</v>
      </c>
      <c r="J99" s="2">
        <v>99</v>
      </c>
      <c r="K99" s="2">
        <v>2</v>
      </c>
      <c r="L99" s="2">
        <v>8.1</v>
      </c>
      <c r="M99" s="36">
        <f ca="1"/>
        <v>21.5</v>
      </c>
      <c r="N99" s="2" t="e">
        <f ca="1"/>
        <v>#N/A</v>
      </c>
      <c r="O99" s="2" t="e">
        <f ca="1"/>
        <v>#N/A</v>
      </c>
      <c r="P99" s="2" t="e">
        <f ca="1"/>
        <v>#N/A</v>
      </c>
      <c r="Q99" s="36" t="e">
        <f ca="1"/>
        <v>#N/A</v>
      </c>
      <c r="R99" s="36" t="e">
        <f ca="1"/>
        <v>#N/A</v>
      </c>
    </row>
    <row r="100" spans="1:18" x14ac:dyDescent="0.2">
      <c r="A100" s="2">
        <v>99</v>
      </c>
      <c r="B100" s="72">
        <v>45693</v>
      </c>
      <c r="C100" s="77">
        <v>0.42811342592592594</v>
      </c>
      <c r="D100" s="73" t="s">
        <v>76</v>
      </c>
      <c r="E100" s="73" t="s">
        <v>77</v>
      </c>
      <c r="G100" s="73" t="s">
        <v>106</v>
      </c>
      <c r="H100" s="73" t="s">
        <v>79</v>
      </c>
      <c r="I100" s="36" t="str">
        <f ca="1"/>
        <v>29,6</v>
      </c>
      <c r="J100" s="2">
        <v>100</v>
      </c>
      <c r="K100" s="2">
        <v>2</v>
      </c>
      <c r="L100" s="2">
        <v>8.1</v>
      </c>
      <c r="M100" s="36">
        <f ca="1"/>
        <v>21.5</v>
      </c>
      <c r="N100" s="2" t="e">
        <f ca="1"/>
        <v>#N/A</v>
      </c>
      <c r="O100" s="2" t="e">
        <f ca="1"/>
        <v>#N/A</v>
      </c>
      <c r="P100" s="2" t="e">
        <f ca="1"/>
        <v>#N/A</v>
      </c>
      <c r="Q100" s="36" t="e">
        <f ca="1"/>
        <v>#N/A</v>
      </c>
      <c r="R100" s="36" t="e">
        <f ca="1"/>
        <v>#N/A</v>
      </c>
    </row>
    <row r="101" spans="1:18" x14ac:dyDescent="0.2">
      <c r="A101" s="2">
        <v>100</v>
      </c>
      <c r="B101" s="72">
        <v>45693</v>
      </c>
      <c r="C101" s="77">
        <v>0.42811342592592594</v>
      </c>
      <c r="D101" s="73" t="s">
        <v>76</v>
      </c>
      <c r="E101" s="73" t="s">
        <v>77</v>
      </c>
      <c r="G101" s="73" t="s">
        <v>106</v>
      </c>
      <c r="H101" s="73" t="s">
        <v>79</v>
      </c>
      <c r="I101" s="36" t="str">
        <f ca="1"/>
        <v>29,6</v>
      </c>
      <c r="J101" s="2">
        <v>101</v>
      </c>
      <c r="K101" s="2">
        <v>2</v>
      </c>
      <c r="L101" s="2">
        <v>8.1</v>
      </c>
      <c r="M101" s="36">
        <f ca="1"/>
        <v>21.5</v>
      </c>
      <c r="N101" s="2">
        <f ca="1"/>
        <v>20</v>
      </c>
      <c r="O101" s="2">
        <f ca="1"/>
        <v>19.7</v>
      </c>
      <c r="P101" s="2">
        <f ca="1"/>
        <v>20.3</v>
      </c>
      <c r="Q101" s="36">
        <f ca="1"/>
        <v>19.809000000000001</v>
      </c>
      <c r="R101" s="36">
        <f ca="1"/>
        <v>20.100000000000001</v>
      </c>
    </row>
    <row r="102" spans="1:18" x14ac:dyDescent="0.2">
      <c r="A102" s="2">
        <v>101</v>
      </c>
      <c r="B102" s="72">
        <v>45693</v>
      </c>
      <c r="C102" s="77">
        <v>0.42811342592592594</v>
      </c>
      <c r="D102" s="73" t="s">
        <v>76</v>
      </c>
      <c r="E102" s="73" t="s">
        <v>77</v>
      </c>
      <c r="G102" s="73" t="s">
        <v>106</v>
      </c>
      <c r="H102" s="73" t="s">
        <v>79</v>
      </c>
      <c r="I102" s="36" t="str">
        <f ca="1"/>
        <v>29,6</v>
      </c>
      <c r="J102" s="2">
        <v>102</v>
      </c>
      <c r="K102" s="2">
        <v>2</v>
      </c>
      <c r="L102" s="2">
        <v>8.1</v>
      </c>
      <c r="M102" s="36">
        <f ca="1"/>
        <v>21.5</v>
      </c>
      <c r="N102" s="2" t="e">
        <f ca="1"/>
        <v>#N/A</v>
      </c>
      <c r="O102" s="2" t="e">
        <f ca="1"/>
        <v>#N/A</v>
      </c>
      <c r="P102" s="2" t="e">
        <f ca="1"/>
        <v>#N/A</v>
      </c>
      <c r="Q102" s="36" t="e">
        <f ca="1"/>
        <v>#N/A</v>
      </c>
      <c r="R102" s="36" t="e">
        <f ca="1"/>
        <v>#N/A</v>
      </c>
    </row>
    <row r="103" spans="1:18" x14ac:dyDescent="0.2">
      <c r="A103" s="2">
        <v>102</v>
      </c>
      <c r="B103" s="72">
        <v>45693</v>
      </c>
      <c r="C103" s="77">
        <v>0.42811342592592594</v>
      </c>
      <c r="D103" s="73" t="s">
        <v>76</v>
      </c>
      <c r="E103" s="73" t="s">
        <v>77</v>
      </c>
      <c r="G103" s="73" t="s">
        <v>106</v>
      </c>
      <c r="H103" s="73" t="s">
        <v>79</v>
      </c>
      <c r="I103" s="36" t="str">
        <f ca="1"/>
        <v>29,6</v>
      </c>
      <c r="J103" s="2">
        <v>103</v>
      </c>
      <c r="K103" s="2">
        <v>2</v>
      </c>
      <c r="L103" s="2">
        <v>8.1</v>
      </c>
      <c r="M103" s="36">
        <f ca="1"/>
        <v>21.5</v>
      </c>
      <c r="N103" s="2" t="e">
        <f ca="1"/>
        <v>#N/A</v>
      </c>
      <c r="O103" s="2" t="e">
        <f ca="1"/>
        <v>#N/A</v>
      </c>
      <c r="P103" s="2" t="e">
        <f ca="1"/>
        <v>#N/A</v>
      </c>
      <c r="Q103" s="36" t="e">
        <f ca="1"/>
        <v>#N/A</v>
      </c>
      <c r="R103" s="36" t="e">
        <f ca="1"/>
        <v>#N/A</v>
      </c>
    </row>
    <row r="104" spans="1:18" x14ac:dyDescent="0.2">
      <c r="A104" s="2">
        <v>103</v>
      </c>
      <c r="B104" s="72">
        <v>45693</v>
      </c>
      <c r="C104" s="77">
        <v>0.42811342592592594</v>
      </c>
      <c r="D104" s="73" t="s">
        <v>76</v>
      </c>
      <c r="E104" s="73" t="s">
        <v>77</v>
      </c>
      <c r="G104" s="73" t="s">
        <v>106</v>
      </c>
      <c r="H104" s="73" t="s">
        <v>79</v>
      </c>
      <c r="I104" s="36" t="str">
        <f ca="1"/>
        <v>29,6</v>
      </c>
      <c r="J104" s="2">
        <v>104</v>
      </c>
      <c r="K104" s="2">
        <v>2</v>
      </c>
      <c r="L104" s="2">
        <v>8.1</v>
      </c>
      <c r="M104" s="36">
        <f ca="1"/>
        <v>21.5</v>
      </c>
      <c r="N104" s="2" t="e">
        <f ca="1"/>
        <v>#N/A</v>
      </c>
      <c r="O104" s="2" t="e">
        <f ca="1"/>
        <v>#N/A</v>
      </c>
      <c r="P104" s="2" t="e">
        <f ca="1"/>
        <v>#N/A</v>
      </c>
      <c r="Q104" s="36" t="e">
        <f ca="1"/>
        <v>#N/A</v>
      </c>
      <c r="R104" s="36" t="e">
        <f ca="1"/>
        <v>#N/A</v>
      </c>
    </row>
  </sheetData>
  <sheetProtection algorithmName="SHA-512" hashValue="jdARxNvYAR8S9u/DUnG8azMz8U51/BMgMcBXqgxjN6bYo/g66JMoiKwEuDzbBSViE79IWsoXO1SGysfFbggXUg==" saltValue="9+NYiobjMR/NggChcti3IA==" spinCount="100000" sheet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clean_data_brute.clean_data_brute" altText="Clean">
                <anchor moveWithCells="1" sizeWithCells="1">
                  <from>
                    <xdr:col>18</xdr:col>
                    <xdr:colOff>457200</xdr:colOff>
                    <xdr:row>0</xdr:row>
                    <xdr:rowOff>165100</xdr:rowOff>
                  </from>
                  <to>
                    <xdr:col>20</xdr:col>
                    <xdr:colOff>571500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M38"/>
  <sheetViews>
    <sheetView showGridLines="0" tabSelected="1" zoomScaleNormal="100" workbookViewId="0">
      <selection activeCell="C6" sqref="C6"/>
    </sheetView>
    <sheetView workbookViewId="1"/>
  </sheetViews>
  <sheetFormatPr baseColWidth="10" defaultRowHeight="16" outlineLevelRow="1" x14ac:dyDescent="0.2"/>
  <cols>
    <col min="1" max="1" width="7.6640625" style="2" customWidth="1"/>
    <col min="2" max="2" width="10.83203125" style="26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26.6640625" bestFit="1" customWidth="1"/>
    <col min="11" max="12" width="9" customWidth="1"/>
  </cols>
  <sheetData>
    <row r="1" spans="1:13" x14ac:dyDescent="0.2">
      <c r="B1" s="2"/>
      <c r="I1" s="2"/>
      <c r="J1" s="2"/>
      <c r="K1" s="2"/>
      <c r="L1" s="2"/>
      <c r="M1" s="2"/>
    </row>
    <row r="2" spans="1:13" x14ac:dyDescent="0.2">
      <c r="B2" s="2" t="s">
        <v>0</v>
      </c>
      <c r="C2" s="1">
        <f ca="1">NOW()</f>
        <v>45698.37396597222</v>
      </c>
      <c r="E2" s="26"/>
      <c r="F2" s="26"/>
      <c r="H2" s="26"/>
      <c r="I2" s="2"/>
      <c r="J2" s="2" t="s">
        <v>94</v>
      </c>
      <c r="K2" s="55">
        <f ca="1">calculs_intermediaires!AB2</f>
        <v>20.100000000000001</v>
      </c>
      <c r="L2" s="14"/>
      <c r="M2" s="32"/>
    </row>
    <row r="3" spans="1:13" x14ac:dyDescent="0.2">
      <c r="B3" s="2" t="s">
        <v>1</v>
      </c>
      <c r="C3" s="78" t="s">
        <v>115</v>
      </c>
      <c r="E3" s="26"/>
      <c r="F3" s="26"/>
      <c r="I3" s="2"/>
      <c r="J3" s="2" t="s">
        <v>93</v>
      </c>
      <c r="K3" s="56">
        <f ca="1">calculs_intermediaires!AB3</f>
        <v>19.858252427184468</v>
      </c>
      <c r="L3" s="14"/>
      <c r="M3" s="36"/>
    </row>
    <row r="4" spans="1:13" x14ac:dyDescent="0.2">
      <c r="B4" s="2" t="s">
        <v>2</v>
      </c>
      <c r="C4" s="79" t="s">
        <v>116</v>
      </c>
      <c r="E4" s="26"/>
      <c r="F4" s="26"/>
      <c r="I4" s="2"/>
      <c r="J4" s="2" t="s">
        <v>5</v>
      </c>
      <c r="K4" s="24">
        <f>calculs_intermediaires!BA3</f>
        <v>0</v>
      </c>
      <c r="L4" s="2"/>
      <c r="M4" s="2"/>
    </row>
    <row r="5" spans="1:13" x14ac:dyDescent="0.2">
      <c r="B5" s="2" t="s">
        <v>7</v>
      </c>
      <c r="C5" s="79">
        <v>20</v>
      </c>
      <c r="I5" s="2"/>
      <c r="J5" s="2" t="s">
        <v>9</v>
      </c>
      <c r="K5" s="25">
        <f ca="1">calculs_intermediaires!BJ3</f>
        <v>24</v>
      </c>
      <c r="L5" s="2"/>
      <c r="M5" s="2"/>
    </row>
    <row r="6" spans="1:13" x14ac:dyDescent="0.2">
      <c r="B6" s="26" t="s">
        <v>112</v>
      </c>
      <c r="C6" s="80" t="s">
        <v>113</v>
      </c>
      <c r="I6" s="2"/>
      <c r="L6" s="2"/>
      <c r="M6" s="2"/>
    </row>
    <row r="7" spans="1:13" x14ac:dyDescent="0.2">
      <c r="B7" s="2"/>
      <c r="I7" s="2"/>
      <c r="J7" s="2"/>
      <c r="K7" s="2"/>
      <c r="L7" s="2"/>
      <c r="M7" s="2"/>
    </row>
    <row r="8" spans="1:13" hidden="1" outlineLevel="1" x14ac:dyDescent="0.2">
      <c r="B8" s="2"/>
      <c r="C8" s="14" t="s">
        <v>35</v>
      </c>
      <c r="D8" s="20">
        <f>INDEX(calculs_intermediaires!$M$7:$M$100,MATCH(TRUE,calculs_intermediaires!$R$7:$R$100,0))</f>
        <v>2</v>
      </c>
      <c r="I8" s="2"/>
      <c r="J8" s="2"/>
      <c r="K8" s="2"/>
      <c r="L8" s="2"/>
      <c r="M8" s="2"/>
    </row>
    <row r="9" spans="1:13" hidden="1" outlineLevel="1" x14ac:dyDescent="0.2">
      <c r="A9" s="29"/>
      <c r="B9" s="2"/>
      <c r="C9" s="30" t="s">
        <v>37</v>
      </c>
      <c r="D9" s="26">
        <f>INDEX(calculs_intermediaires!$N$7:$N$100,MATCH(TRUE,calculs_intermediaires!$R$7:$R$100,0))</f>
        <v>8.1</v>
      </c>
      <c r="E9" s="2"/>
      <c r="G9" s="26"/>
      <c r="H9" s="26"/>
      <c r="I9" s="2"/>
      <c r="J9" s="2"/>
      <c r="K9" s="2"/>
      <c r="L9" s="2"/>
      <c r="M9" s="2"/>
    </row>
    <row r="10" spans="1:13" collapsed="1" x14ac:dyDescent="0.2">
      <c r="A10" s="29"/>
      <c r="B10" s="2"/>
      <c r="C10" s="2"/>
      <c r="D10" s="2"/>
      <c r="F10" s="2"/>
      <c r="I10" s="2"/>
      <c r="J10" s="2"/>
      <c r="K10" s="2"/>
      <c r="L10" s="2"/>
      <c r="M10" s="2"/>
    </row>
    <row r="11" spans="1:13" x14ac:dyDescent="0.2">
      <c r="B11" s="2"/>
      <c r="C11" s="2"/>
      <c r="D11" s="2"/>
      <c r="E11" s="26"/>
      <c r="I11" s="2"/>
      <c r="J11" s="2"/>
      <c r="K11" s="2"/>
      <c r="L11" s="2"/>
      <c r="M11" s="2"/>
    </row>
    <row r="12" spans="1:13" x14ac:dyDescent="0.2">
      <c r="B12" s="2"/>
      <c r="F12" s="26"/>
      <c r="G12" s="26"/>
      <c r="H12" s="26"/>
      <c r="I12" s="2"/>
      <c r="J12" s="2"/>
      <c r="K12" s="2"/>
      <c r="L12" s="2"/>
      <c r="M12" s="2"/>
    </row>
    <row r="13" spans="1:13" x14ac:dyDescent="0.2">
      <c r="B13" s="2"/>
      <c r="C13" s="26"/>
      <c r="D13" s="26"/>
      <c r="E13" s="26"/>
      <c r="F13" s="26"/>
      <c r="G13" s="26"/>
      <c r="H13" s="26"/>
      <c r="I13" s="2"/>
      <c r="J13" s="2"/>
      <c r="K13" s="2"/>
      <c r="L13" s="2"/>
      <c r="M13" s="2"/>
    </row>
    <row r="14" spans="1:13" x14ac:dyDescent="0.2">
      <c r="B14" s="2"/>
      <c r="C14" s="26"/>
      <c r="D14" s="26"/>
      <c r="E14" s="26"/>
      <c r="F14" s="26"/>
      <c r="G14" s="26"/>
      <c r="H14" s="34"/>
      <c r="I14" s="2"/>
      <c r="J14" s="2"/>
      <c r="K14" s="2"/>
      <c r="L14" s="2"/>
      <c r="M14" s="2"/>
    </row>
    <row r="15" spans="1:13" x14ac:dyDescent="0.2">
      <c r="B15" s="4"/>
      <c r="C15" s="4"/>
      <c r="D15" s="4"/>
      <c r="E15" s="4"/>
      <c r="F15" s="4"/>
      <c r="G15" s="26"/>
      <c r="H15" s="34"/>
      <c r="I15" s="5"/>
      <c r="J15" s="2"/>
      <c r="K15" s="2"/>
      <c r="L15" s="2"/>
      <c r="M15" s="2"/>
    </row>
    <row r="16" spans="1:13" x14ac:dyDescent="0.2">
      <c r="C16" s="26"/>
      <c r="D16" s="5"/>
      <c r="E16" s="26"/>
      <c r="F16" s="26"/>
      <c r="G16" s="26"/>
      <c r="H16" s="34"/>
      <c r="I16" s="2"/>
      <c r="J16" s="2"/>
      <c r="K16" s="2"/>
      <c r="L16" s="2"/>
      <c r="M16" s="2"/>
    </row>
    <row r="17" spans="3:10" x14ac:dyDescent="0.2">
      <c r="C17" s="26"/>
      <c r="D17" s="2"/>
      <c r="E17" s="2"/>
      <c r="F17" s="2"/>
      <c r="G17" s="2"/>
      <c r="H17" s="2"/>
      <c r="I17" s="2"/>
      <c r="J17" s="2"/>
    </row>
    <row r="18" spans="3:10" x14ac:dyDescent="0.2">
      <c r="C18" s="2"/>
      <c r="D18" s="2"/>
      <c r="E18" s="2"/>
      <c r="F18" s="2"/>
      <c r="G18" s="2"/>
      <c r="H18" s="2"/>
      <c r="I18" s="2"/>
      <c r="J18" s="2"/>
    </row>
    <row r="19" spans="3:10" x14ac:dyDescent="0.2">
      <c r="C19" s="2"/>
      <c r="D19" s="2"/>
      <c r="E19" s="2"/>
      <c r="F19" s="2"/>
      <c r="G19" s="2"/>
      <c r="H19" s="2"/>
      <c r="I19" s="2"/>
      <c r="J19" s="2"/>
    </row>
    <row r="20" spans="3:10" x14ac:dyDescent="0.2">
      <c r="C20" s="2"/>
      <c r="D20" s="2"/>
      <c r="E20" s="2"/>
      <c r="F20" s="2"/>
      <c r="G20" s="2"/>
      <c r="H20" s="2"/>
      <c r="I20" s="2"/>
      <c r="J20" s="2"/>
    </row>
    <row r="21" spans="3:10" x14ac:dyDescent="0.2">
      <c r="C21" s="2"/>
      <c r="D21" s="2"/>
      <c r="E21" s="2"/>
      <c r="F21" s="2"/>
      <c r="G21" s="2"/>
      <c r="H21" s="2"/>
      <c r="I21" s="2"/>
      <c r="J21" s="2"/>
    </row>
    <row r="22" spans="3:10" x14ac:dyDescent="0.2">
      <c r="C22" s="2"/>
      <c r="D22" s="2"/>
      <c r="E22" s="2"/>
      <c r="F22" s="2"/>
      <c r="G22" s="2"/>
      <c r="H22" s="2"/>
      <c r="I22" s="2"/>
      <c r="J22" s="2"/>
    </row>
    <row r="23" spans="3:10" x14ac:dyDescent="0.2">
      <c r="C23" s="2"/>
      <c r="D23" s="2"/>
      <c r="E23" s="2"/>
      <c r="F23" s="2"/>
      <c r="G23" s="2"/>
      <c r="H23" s="2"/>
      <c r="I23" s="2"/>
      <c r="J23" s="2"/>
    </row>
    <row r="24" spans="3:10" x14ac:dyDescent="0.2">
      <c r="C24" s="2"/>
      <c r="D24" s="2"/>
      <c r="E24" s="2"/>
      <c r="F24" s="2"/>
      <c r="G24" s="2"/>
      <c r="H24" s="2"/>
      <c r="I24" s="2"/>
      <c r="J24" s="2"/>
    </row>
    <row r="25" spans="3:10" x14ac:dyDescent="0.2">
      <c r="C25" s="2"/>
      <c r="D25" s="2"/>
      <c r="E25" s="2"/>
      <c r="F25" s="2"/>
      <c r="G25" s="2"/>
      <c r="H25" s="2"/>
      <c r="I25" s="2"/>
      <c r="J25" s="2"/>
    </row>
    <row r="26" spans="3:10" x14ac:dyDescent="0.2">
      <c r="C26" s="2"/>
      <c r="D26" s="2"/>
      <c r="E26" s="2"/>
      <c r="F26" s="2"/>
      <c r="G26" s="2"/>
      <c r="H26" s="2"/>
      <c r="I26" s="2"/>
      <c r="J26" s="2"/>
    </row>
    <row r="27" spans="3:10" x14ac:dyDescent="0.2">
      <c r="C27" s="2"/>
      <c r="D27" s="2"/>
      <c r="E27" s="2"/>
      <c r="F27" s="2"/>
      <c r="G27" s="2"/>
      <c r="H27" s="2"/>
      <c r="I27" s="2"/>
      <c r="J27" s="2"/>
    </row>
    <row r="28" spans="3:10" x14ac:dyDescent="0.2">
      <c r="C28" s="2"/>
      <c r="D28" s="2"/>
      <c r="E28" s="2"/>
      <c r="F28" s="2"/>
      <c r="G28" s="2"/>
      <c r="H28" s="2"/>
      <c r="I28" s="2"/>
      <c r="J28" s="2"/>
    </row>
    <row r="29" spans="3:10" x14ac:dyDescent="0.2">
      <c r="C29" s="2"/>
      <c r="D29" s="2"/>
      <c r="E29" s="2"/>
      <c r="F29" s="2"/>
      <c r="G29" s="2"/>
      <c r="H29" s="2"/>
      <c r="I29" s="2"/>
      <c r="J29" s="2"/>
    </row>
    <row r="30" spans="3:10" x14ac:dyDescent="0.2">
      <c r="C30" s="2"/>
      <c r="D30" s="2"/>
      <c r="E30" s="2"/>
      <c r="F30" s="2"/>
      <c r="G30" s="2"/>
      <c r="H30" s="2"/>
      <c r="I30" s="2"/>
      <c r="J30" s="2"/>
    </row>
    <row r="31" spans="3:10" x14ac:dyDescent="0.2">
      <c r="C31" s="2"/>
      <c r="D31" s="2"/>
      <c r="E31" s="2"/>
      <c r="F31" s="2"/>
      <c r="G31" s="2"/>
      <c r="H31" s="2"/>
      <c r="I31" s="2"/>
      <c r="J31" s="2"/>
    </row>
    <row r="32" spans="3:10" x14ac:dyDescent="0.2">
      <c r="C32" s="2"/>
      <c r="D32" s="2"/>
      <c r="E32" s="2"/>
      <c r="F32" s="2"/>
      <c r="G32" s="2"/>
      <c r="H32" s="2"/>
      <c r="I32" s="2"/>
      <c r="J32" s="2"/>
    </row>
    <row r="33" spans="3:10" x14ac:dyDescent="0.2">
      <c r="C33" s="2"/>
      <c r="D33" s="2"/>
      <c r="E33" s="2"/>
      <c r="F33" s="2"/>
      <c r="G33" s="2"/>
      <c r="H33" s="2"/>
      <c r="I33" s="2"/>
      <c r="J33" s="2"/>
    </row>
    <row r="34" spans="3:10" x14ac:dyDescent="0.2">
      <c r="C34" s="2"/>
      <c r="D34" s="2"/>
      <c r="E34" s="2"/>
      <c r="F34" s="2"/>
      <c r="G34" s="2"/>
      <c r="H34" s="2"/>
      <c r="I34" s="2"/>
      <c r="J34" s="2"/>
    </row>
    <row r="35" spans="3:10" x14ac:dyDescent="0.2">
      <c r="C35" s="2"/>
      <c r="D35" s="2"/>
      <c r="E35" s="2"/>
      <c r="F35" s="2"/>
      <c r="G35" s="2"/>
      <c r="H35" s="2"/>
      <c r="I35" s="2"/>
      <c r="J35" s="2"/>
    </row>
    <row r="36" spans="3:10" x14ac:dyDescent="0.2">
      <c r="C36" s="2"/>
      <c r="D36" s="2"/>
      <c r="E36" s="2"/>
      <c r="F36" s="2"/>
      <c r="G36" s="2"/>
      <c r="H36" s="2"/>
      <c r="I36" s="2"/>
      <c r="J36" s="2"/>
    </row>
    <row r="37" spans="3:10" x14ac:dyDescent="0.2">
      <c r="C37" s="2"/>
      <c r="D37" s="2"/>
      <c r="E37" s="2"/>
      <c r="F37" s="2"/>
      <c r="G37" s="2"/>
      <c r="H37" s="2"/>
      <c r="I37" s="2"/>
      <c r="J37" s="2"/>
    </row>
    <row r="38" spans="3:10" x14ac:dyDescent="0.2">
      <c r="C38" s="2"/>
      <c r="D38" s="2"/>
      <c r="E38" s="2"/>
      <c r="F38" s="2"/>
      <c r="G38" s="2"/>
      <c r="H38" s="2"/>
      <c r="I38" s="2"/>
      <c r="J38" s="2"/>
    </row>
  </sheetData>
  <sheetProtection algorithmName="SHA-512" hashValue="x+/odzL7GoEInBPSEgEpt4K3XP0FQTww6ErJs1O94Bl/cGe8Kfmy3YteGYSxFnYSsiEji/Tuo3tW+MR3whxZaQ==" saltValue="MAr020E8YHhseDEubuu23g==" spinCount="100000" sheet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4</xdr:col>
                    <xdr:colOff>406400</xdr:colOff>
                    <xdr:row>3</xdr:row>
                    <xdr:rowOff>177800</xdr:rowOff>
                  </from>
                  <to>
                    <xdr:col>5</xdr:col>
                    <xdr:colOff>762000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DisplayDebutOf" altText="TARE">
                <anchor moveWithCells="1" sizeWithCells="1">
                  <from>
                    <xdr:col>4</xdr:col>
                    <xdr:colOff>406400</xdr:colOff>
                    <xdr:row>1</xdr:row>
                    <xdr:rowOff>76200</xdr:rowOff>
                  </from>
                  <to>
                    <xdr:col>5</xdr:col>
                    <xdr:colOff>749300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DisplayDebutEquipe" altText="TARE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7</xdr:col>
                    <xdr:colOff>368300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DisplayFinEquipe" altText="TARE">
                <anchor moveWithCells="1" sizeWithCells="1">
                  <from>
                    <xdr:col>6</xdr:col>
                    <xdr:colOff>127000</xdr:colOff>
                    <xdr:row>3</xdr:row>
                    <xdr:rowOff>152400</xdr:rowOff>
                  </from>
                  <to>
                    <xdr:col>7</xdr:col>
                    <xdr:colOff>355600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update_tar">
                <anchor moveWithCells="1" sizeWithCells="1">
                  <from>
                    <xdr:col>7</xdr:col>
                    <xdr:colOff>622300</xdr:colOff>
                    <xdr:row>1</xdr:row>
                    <xdr:rowOff>38100</xdr:rowOff>
                  </from>
                  <to>
                    <xdr:col>8</xdr:col>
                    <xdr:colOff>876300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aveCopyWithCustomName" altText="TARE">
                <anchor moveWithCells="1" sizeWithCells="1">
                  <from>
                    <xdr:col>7</xdr:col>
                    <xdr:colOff>622300</xdr:colOff>
                    <xdr:row>3</xdr:row>
                    <xdr:rowOff>139700</xdr:rowOff>
                  </from>
                  <to>
                    <xdr:col>8</xdr:col>
                    <xdr:colOff>889000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BN94"/>
  <sheetViews>
    <sheetView showGridLines="0" zoomScale="115" workbookViewId="0">
      <selection activeCell="AT3" sqref="AT3"/>
    </sheetView>
    <sheetView workbookViewId="1"/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31" customWidth="1"/>
    <col min="12" max="12" width="4.33203125" customWidth="1"/>
    <col min="18" max="18" width="12.83203125" bestFit="1" customWidth="1"/>
    <col min="19" max="19" width="7.5" style="31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6"/>
    <col min="29" max="29" width="8.33203125" style="31" customWidth="1"/>
    <col min="30" max="30" width="7.5" customWidth="1"/>
    <col min="33" max="33" width="10.83203125" style="35"/>
    <col min="35" max="35" width="10.83203125" style="31"/>
    <col min="36" max="36" width="6" customWidth="1"/>
    <col min="37" max="37" width="15.1640625" bestFit="1" customWidth="1"/>
    <col min="41" max="41" width="10.83203125" style="31"/>
    <col min="42" max="42" width="6.6640625" customWidth="1"/>
    <col min="43" max="43" width="14.1640625" bestFit="1" customWidth="1"/>
    <col min="44" max="44" width="6" bestFit="1" customWidth="1"/>
    <col min="45" max="45" width="18.6640625" bestFit="1" customWidth="1"/>
    <col min="46" max="47" width="6" bestFit="1" customWidth="1"/>
    <col min="48" max="48" width="9.33203125" style="31" customWidth="1"/>
    <col min="49" max="49" width="8.33203125" customWidth="1"/>
    <col min="51" max="51" width="10.83203125" style="67"/>
    <col min="52" max="52" width="10.83203125" style="69"/>
    <col min="59" max="59" width="10.83203125" style="2"/>
    <col min="60" max="60" width="10.83203125" style="47"/>
    <col min="61" max="61" width="10.83203125" style="48"/>
    <col min="62" max="66" width="10.83203125" style="2"/>
  </cols>
  <sheetData>
    <row r="1" spans="2:66" x14ac:dyDescent="0.2">
      <c r="U1"/>
      <c r="V1"/>
      <c r="W1"/>
      <c r="X1"/>
      <c r="Y1"/>
      <c r="Z1"/>
      <c r="AA1"/>
      <c r="AB1" s="35"/>
    </row>
    <row r="2" spans="2:66" x14ac:dyDescent="0.2">
      <c r="B2" s="6" t="s">
        <v>10</v>
      </c>
      <c r="M2" s="5" t="s">
        <v>28</v>
      </c>
      <c r="U2" s="27" t="s">
        <v>65</v>
      </c>
      <c r="V2" s="3">
        <v>10</v>
      </c>
      <c r="X2" s="2" t="s">
        <v>66</v>
      </c>
      <c r="Y2" s="23">
        <f>F5-V2+1</f>
        <v>95</v>
      </c>
      <c r="Z2"/>
      <c r="AA2" s="2" t="s">
        <v>69</v>
      </c>
      <c r="AB2" s="37">
        <f ca="1">AVERAGE(OFFSET($AB$7, 0, 0, V2, 1))</f>
        <v>20.100000000000001</v>
      </c>
      <c r="AE2" s="6" t="s">
        <v>41</v>
      </c>
      <c r="AG2" s="41">
        <v>10</v>
      </c>
      <c r="AK2" s="6" t="s">
        <v>70</v>
      </c>
      <c r="AM2" s="52"/>
      <c r="AQ2" s="5" t="s">
        <v>95</v>
      </c>
      <c r="AS2" t="s">
        <v>114</v>
      </c>
      <c r="AT2" t="b">
        <v>0</v>
      </c>
      <c r="AX2" s="6" t="s">
        <v>97</v>
      </c>
      <c r="AZ2" s="48" t="s">
        <v>5</v>
      </c>
      <c r="BA2" s="23">
        <f>C18</f>
        <v>18.2</v>
      </c>
      <c r="BI2" s="48" t="s">
        <v>9</v>
      </c>
      <c r="BJ2" s="23">
        <f>C19</f>
        <v>16.399999999999999</v>
      </c>
    </row>
    <row r="3" spans="2:66" x14ac:dyDescent="0.2">
      <c r="E3" s="14" t="s">
        <v>40</v>
      </c>
      <c r="F3" s="39">
        <f>ROW(data_brute!A2)</f>
        <v>2</v>
      </c>
      <c r="U3"/>
      <c r="V3"/>
      <c r="W3"/>
      <c r="X3" s="2" t="s">
        <v>67</v>
      </c>
      <c r="Y3" s="25">
        <f>F5</f>
        <v>104</v>
      </c>
      <c r="Z3"/>
      <c r="AA3" s="2" t="s">
        <v>68</v>
      </c>
      <c r="AB3" s="36">
        <f ca="1">AVERAGE(data_brute!M:M)</f>
        <v>19.858252427184468</v>
      </c>
      <c r="AM3" s="35"/>
      <c r="AZ3" s="48" t="s">
        <v>98</v>
      </c>
      <c r="BA3" s="25">
        <f>COUNTA(BE:BE)-1</f>
        <v>0</v>
      </c>
      <c r="BI3" s="48" t="s">
        <v>98</v>
      </c>
      <c r="BJ3" s="25">
        <f ca="1">COUNTA(BN:BN)-1</f>
        <v>24</v>
      </c>
    </row>
    <row r="4" spans="2:66" x14ac:dyDescent="0.2">
      <c r="B4" s="2" t="s">
        <v>6</v>
      </c>
      <c r="C4" s="21">
        <f>interface!C5</f>
        <v>20</v>
      </c>
      <c r="E4" s="14" t="s">
        <v>42</v>
      </c>
      <c r="F4" s="40">
        <f>COUNTA(data_brute!B:B)-1</f>
        <v>103</v>
      </c>
      <c r="M4" s="14" t="s">
        <v>27</v>
      </c>
      <c r="N4" s="33">
        <f>F4</f>
        <v>103</v>
      </c>
      <c r="O4" s="14"/>
      <c r="P4" s="14" t="s">
        <v>46</v>
      </c>
      <c r="Q4" s="2">
        <f>N4-SUMIFS(Q7:Q100,R7:R100,FALSE)</f>
        <v>39</v>
      </c>
      <c r="AM4" s="35"/>
      <c r="AQ4" s="2" t="s">
        <v>96</v>
      </c>
      <c r="AR4" s="2" t="b">
        <v>0</v>
      </c>
      <c r="AS4" t="b">
        <f>IF(calculs_intermediaires!F4&gt;=10,TRUE,FALSE)</f>
        <v>1</v>
      </c>
      <c r="AZ4" s="69" t="s">
        <v>96</v>
      </c>
      <c r="BA4" t="b">
        <f>BA3&gt;0</f>
        <v>0</v>
      </c>
      <c r="BI4" s="48" t="s">
        <v>96</v>
      </c>
      <c r="BJ4" s="2" t="b">
        <f ca="1">BJ3&gt;0</f>
        <v>1</v>
      </c>
    </row>
    <row r="5" spans="2:66" x14ac:dyDescent="0.2">
      <c r="E5" s="14" t="s">
        <v>43</v>
      </c>
      <c r="F5" s="2">
        <f>F3+F4-1</f>
        <v>104</v>
      </c>
      <c r="AM5" s="35"/>
      <c r="AY5" s="47"/>
      <c r="AZ5" s="48"/>
    </row>
    <row r="6" spans="2:66" ht="17" thickBot="1" x14ac:dyDescent="0.25">
      <c r="B6" s="27" t="s">
        <v>20</v>
      </c>
      <c r="C6" s="28">
        <f>MATCH(TRUE,$D$10:$D$16,0)</f>
        <v>1</v>
      </c>
      <c r="M6" s="4" t="s">
        <v>32</v>
      </c>
      <c r="N6" s="4" t="s">
        <v>28</v>
      </c>
      <c r="O6" s="4" t="s">
        <v>33</v>
      </c>
      <c r="P6" s="4" t="s">
        <v>34</v>
      </c>
      <c r="Q6" s="4" t="s">
        <v>36</v>
      </c>
      <c r="R6" s="4" t="s">
        <v>16</v>
      </c>
      <c r="U6" s="51" t="str">
        <f>data_brute!A$1</f>
        <v>Pesée</v>
      </c>
      <c r="V6" s="51" t="str">
        <f>data_brute!B$1</f>
        <v>Date</v>
      </c>
      <c r="W6" s="51" t="str">
        <f>data_brute!C$1</f>
        <v>Heure</v>
      </c>
      <c r="X6" s="53" t="str">
        <f>data_brute!I$1</f>
        <v>Poids Brut</v>
      </c>
      <c r="Y6" s="53" t="str">
        <f>data_brute!J$1</f>
        <v>Ligne</v>
      </c>
      <c r="Z6" s="53" t="str">
        <f>data_brute!K$1</f>
        <v>Bobine</v>
      </c>
      <c r="AA6" s="53" t="str">
        <f>data_brute!L$1</f>
        <v>Tare</v>
      </c>
      <c r="AB6" s="53" t="str">
        <f>data_brute!M$1</f>
        <v>Poids net</v>
      </c>
      <c r="AE6" s="51" t="s">
        <v>39</v>
      </c>
      <c r="AF6" s="51" t="s">
        <v>34</v>
      </c>
      <c r="AG6" s="53" t="s">
        <v>38</v>
      </c>
      <c r="AH6" s="51" t="s">
        <v>44</v>
      </c>
      <c r="AK6" s="51" t="s">
        <v>39</v>
      </c>
      <c r="AL6" s="51" t="s">
        <v>34</v>
      </c>
      <c r="AM6" s="53" t="s">
        <v>38</v>
      </c>
      <c r="AN6" s="51" t="s">
        <v>44</v>
      </c>
      <c r="AQ6" s="58" t="s">
        <v>6</v>
      </c>
      <c r="AR6" s="59">
        <f>C4</f>
        <v>20</v>
      </c>
      <c r="AS6" s="59"/>
      <c r="AT6" s="59"/>
      <c r="AU6" s="60">
        <f>C4</f>
        <v>20</v>
      </c>
    </row>
    <row r="7" spans="2:66" ht="18" thickTop="1" thickBot="1" x14ac:dyDescent="0.25">
      <c r="M7" s="2">
        <v>1</v>
      </c>
      <c r="N7" s="2">
        <v>8</v>
      </c>
      <c r="O7" s="26">
        <v>2</v>
      </c>
      <c r="P7" s="2">
        <v>65</v>
      </c>
      <c r="Q7" s="2">
        <f t="shared" ref="Q7" si="0">P7-O7+1</f>
        <v>64</v>
      </c>
      <c r="R7" s="2" t="b">
        <v>0</v>
      </c>
      <c r="U7" s="50" cm="1">
        <f t="array" ref="U7:W16">_xlfn._xlws.FILTER(data_brute!A:C,(data_brute!J:J&gt;=Y2)*(data_brute!J:J&lt;=Y3),"")</f>
        <v>94</v>
      </c>
      <c r="V7" s="47">
        <v>45693</v>
      </c>
      <c r="W7" s="48">
        <v>0.42811342592592594</v>
      </c>
      <c r="X7" s="49" t="str" cm="1">
        <f t="array" aca="1" ref="X7:AB16" ca="1">_xlfn._xlws.FILTER(data_brute!I:M,(data_brute!J:J&gt;=Y2)*(data_brute!J:J&lt;=Y3),"")</f>
        <v>29,6</v>
      </c>
      <c r="Y7" s="2">
        <f ca="1"/>
        <v>95</v>
      </c>
      <c r="Z7" s="2">
        <f ca="1"/>
        <v>2</v>
      </c>
      <c r="AA7" s="2">
        <f ca="1"/>
        <v>8.1</v>
      </c>
      <c r="AB7" s="36">
        <f ca="1"/>
        <v>21.5</v>
      </c>
      <c r="AE7" s="2">
        <f>F3</f>
        <v>2</v>
      </c>
      <c r="AF7" s="52">
        <f>AE7+$AG$2-1</f>
        <v>11</v>
      </c>
      <c r="AG7" s="36">
        <f ca="1">IFERROR(AVERAGEIFS(data_brute!M:M,data_brute!J:J,"&gt;="&amp;AE7,data_brute!J:J,"&lt;="&amp;AF7),NA())</f>
        <v>21.679999999999996</v>
      </c>
      <c r="AH7" s="52">
        <f ca="1">IF(AG7&lt;&gt;"",$AG$2*(ROW()-ROW($AH$6)),NA())</f>
        <v>10</v>
      </c>
      <c r="AK7" s="2">
        <f>F3</f>
        <v>2</v>
      </c>
      <c r="AL7" s="52">
        <f>AK7+$AG$2-1</f>
        <v>11</v>
      </c>
      <c r="AM7" s="36">
        <f ca="1">IFERROR(AVERAGEIFS(data_brute!M:M,data_brute!J:J,"&lt;="&amp;AL7),NA())</f>
        <v>21.679999999999996</v>
      </c>
      <c r="AN7" s="52">
        <f ca="1">IF(AM7&lt;&gt;"",$AG$2*(ROW()-ROW($AH$6)),NA())</f>
        <v>10</v>
      </c>
      <c r="AO7" s="57"/>
      <c r="AP7" s="2"/>
      <c r="AQ7" s="61" t="s">
        <v>62</v>
      </c>
      <c r="AR7" s="34">
        <f ca="1">AB2</f>
        <v>20.100000000000001</v>
      </c>
      <c r="AS7" s="34">
        <f ca="1">AB2</f>
        <v>20.100000000000001</v>
      </c>
      <c r="AT7" s="34">
        <f ca="1">AB2</f>
        <v>20.100000000000001</v>
      </c>
      <c r="AU7" s="62"/>
      <c r="AX7" s="51" t="str">
        <f>data_brute!A$1</f>
        <v>Pesée</v>
      </c>
      <c r="AY7" s="68" t="str">
        <f>data_brute!B$1</f>
        <v>Date</v>
      </c>
      <c r="AZ7" s="70" t="str">
        <f>data_brute!C$1</f>
        <v>Heure</v>
      </c>
      <c r="BA7" s="53" t="str">
        <f>data_brute!I$1</f>
        <v>Poids Brut</v>
      </c>
      <c r="BB7" s="53" t="str">
        <f>data_brute!J$1</f>
        <v>Ligne</v>
      </c>
      <c r="BC7" s="53" t="str">
        <f>data_brute!K$1</f>
        <v>Bobine</v>
      </c>
      <c r="BD7" s="53" t="str">
        <f>data_brute!L$1</f>
        <v>Tare</v>
      </c>
      <c r="BE7" s="53" t="str">
        <f>data_brute!M$1</f>
        <v>Poids net</v>
      </c>
      <c r="BG7" s="51" t="str">
        <f>data_brute!A$1</f>
        <v>Pesée</v>
      </c>
      <c r="BH7" s="68" t="str">
        <f>data_brute!B$1</f>
        <v>Date</v>
      </c>
      <c r="BI7" s="70" t="str">
        <f>data_brute!C$1</f>
        <v>Heure</v>
      </c>
      <c r="BJ7" s="53" t="str">
        <f>data_brute!I$1</f>
        <v>Poids Brut</v>
      </c>
      <c r="BK7" s="53" t="str">
        <f>data_brute!J$1</f>
        <v>Ligne</v>
      </c>
      <c r="BL7" s="53" t="str">
        <f>data_brute!K$1</f>
        <v>Bobine</v>
      </c>
      <c r="BM7" s="53" t="str">
        <f>data_brute!L$1</f>
        <v>Tare</v>
      </c>
      <c r="BN7" s="53" t="str">
        <f>data_brute!M$1</f>
        <v>Poids net</v>
      </c>
    </row>
    <row r="8" spans="2:66" ht="17" thickTop="1" x14ac:dyDescent="0.2">
      <c r="B8" s="81" t="s">
        <v>6</v>
      </c>
      <c r="C8" s="82"/>
      <c r="D8" s="83" t="s">
        <v>16</v>
      </c>
      <c r="E8" s="81" t="s">
        <v>14</v>
      </c>
      <c r="F8" s="82"/>
      <c r="G8" s="7" t="s">
        <v>17</v>
      </c>
      <c r="H8" s="83" t="s">
        <v>19</v>
      </c>
      <c r="I8" s="81"/>
      <c r="J8" s="82"/>
      <c r="M8" s="2">
        <f>M7+1</f>
        <v>2</v>
      </c>
      <c r="N8" s="2">
        <v>8.1</v>
      </c>
      <c r="O8" s="2">
        <f>P7+1</f>
        <v>66</v>
      </c>
      <c r="P8" s="2">
        <f>O8+$Q$4</f>
        <v>105</v>
      </c>
      <c r="Q8" s="2">
        <f>P8-O8+1</f>
        <v>40</v>
      </c>
      <c r="R8" s="2" t="b">
        <v>1</v>
      </c>
      <c r="U8" s="2">
        <v>95</v>
      </c>
      <c r="V8" s="47">
        <v>45693</v>
      </c>
      <c r="W8" s="48">
        <v>0.42964120370370368</v>
      </c>
      <c r="X8" s="49" t="str">
        <f ca="1"/>
        <v>22,6</v>
      </c>
      <c r="Y8" s="2">
        <f ca="1"/>
        <v>96</v>
      </c>
      <c r="Z8" s="2">
        <f ca="1"/>
        <v>2</v>
      </c>
      <c r="AA8" s="2">
        <f ca="1"/>
        <v>8.1</v>
      </c>
      <c r="AB8" s="36">
        <f ca="1"/>
        <v>14.500000000000002</v>
      </c>
      <c r="AE8" s="52">
        <f>AF7+1</f>
        <v>12</v>
      </c>
      <c r="AF8" s="52">
        <f>AE8+$AG$2-1</f>
        <v>21</v>
      </c>
      <c r="AG8" s="36">
        <f ca="1">IFERROR(AVERAGEIFS(data_brute!M:M,data_brute!J:J,"&gt;="&amp;AE8,data_brute!J:J,"&lt;="&amp;AF8),NA())</f>
        <v>21.679999999999996</v>
      </c>
      <c r="AH8" s="52">
        <f ca="1">IF(AG8&lt;&gt;"",$AG$2*(ROW()-ROW($AH$6)),NA())</f>
        <v>20</v>
      </c>
      <c r="AK8" s="52">
        <f>AL7+1</f>
        <v>12</v>
      </c>
      <c r="AL8" s="52">
        <f>AK8+$AG$2-1</f>
        <v>21</v>
      </c>
      <c r="AM8" s="36">
        <f ca="1">IFERROR(AVERAGEIFS(data_brute!M:M,data_brute!J:J,"&lt;="&amp;AL8),NA())</f>
        <v>21.679999999999996</v>
      </c>
      <c r="AN8" s="52">
        <f ca="1">IF(AM8&lt;&gt;"",$AG$2*(ROW()-ROW($AH$6)),NA())</f>
        <v>20</v>
      </c>
      <c r="AO8" s="9"/>
      <c r="AP8" s="2"/>
      <c r="AQ8" s="61" t="s">
        <v>64</v>
      </c>
      <c r="AR8" s="26"/>
      <c r="AS8" s="26"/>
      <c r="AT8" s="26"/>
      <c r="AU8" s="63">
        <f ca="1">AB3</f>
        <v>19.858252427184468</v>
      </c>
      <c r="AX8" s="2" t="str" cm="1">
        <f t="array" aca="1" ref="AX8" ca="1">_xlfn._xlws.FILTER(data_brute!A:C,(data_brute!M:M&lt;=BA2)*(data_brute!M:M&gt;BJ2)*(data_brute!M:M&gt;0),"")</f>
        <v/>
      </c>
      <c r="AY8" s="47"/>
      <c r="AZ8" s="48"/>
      <c r="BA8" s="2" t="str" cm="1">
        <f t="array" aca="1" ref="BA8" ca="1">_xlfn._xlws.FILTER(data_brute!I:M,(data_brute!M:M&lt;=BA2)*(data_brute!M:M&gt;BJ2)*(data_brute!M:M&gt;0),"")</f>
        <v/>
      </c>
      <c r="BB8" s="2"/>
      <c r="BC8" s="2"/>
      <c r="BD8" s="2"/>
      <c r="BE8" s="2"/>
      <c r="BG8" s="2" cm="1">
        <f t="array" aca="1" ref="BG8:BI31" ca="1">_xlfn._xlws.FILTER(data_brute!A:C,(data_brute!M:M&lt;=BJ2)*(data_brute!M:M&gt;0),"")</f>
        <v>23</v>
      </c>
      <c r="BH8" s="47">
        <f ca="1"/>
        <v>45693</v>
      </c>
      <c r="BI8" s="48">
        <f ca="1"/>
        <v>0.42753472222222222</v>
      </c>
      <c r="BJ8" s="2" t="str" cm="1">
        <f t="array" aca="1" ref="BJ8:BN31" ca="1">_xlfn._xlws.FILTER(data_brute!I:M,(data_brute!M:M&lt;=BJ2)*(data_brute!M:M&gt;0),"")</f>
        <v>22,6</v>
      </c>
      <c r="BK8" s="2">
        <f ca="1"/>
        <v>24</v>
      </c>
      <c r="BL8" s="2">
        <f ca="1"/>
        <v>1</v>
      </c>
      <c r="BM8" s="2">
        <f ca="1"/>
        <v>8</v>
      </c>
      <c r="BN8" s="2">
        <f ca="1"/>
        <v>14.600000000000001</v>
      </c>
    </row>
    <row r="9" spans="2:66" x14ac:dyDescent="0.2">
      <c r="B9" s="18" t="s">
        <v>11</v>
      </c>
      <c r="C9" s="19" t="s">
        <v>12</v>
      </c>
      <c r="D9" s="84"/>
      <c r="E9" s="18" t="s">
        <v>13</v>
      </c>
      <c r="F9" s="19" t="s">
        <v>15</v>
      </c>
      <c r="G9" s="22" t="s">
        <v>18</v>
      </c>
      <c r="H9" s="84"/>
      <c r="I9" s="18" t="s">
        <v>5</v>
      </c>
      <c r="J9" s="19" t="s">
        <v>9</v>
      </c>
      <c r="M9" s="2"/>
      <c r="N9" s="2"/>
      <c r="O9" s="2"/>
      <c r="P9" s="2"/>
      <c r="Q9" s="2"/>
      <c r="R9" s="2"/>
      <c r="U9" s="2">
        <v>96</v>
      </c>
      <c r="V9" s="47">
        <v>45693</v>
      </c>
      <c r="W9" s="48">
        <v>0.42964120370370368</v>
      </c>
      <c r="X9" s="49" t="str">
        <f ca="1"/>
        <v>22,6</v>
      </c>
      <c r="Y9" s="2">
        <f ca="1"/>
        <v>97</v>
      </c>
      <c r="Z9" s="2">
        <f ca="1"/>
        <v>2</v>
      </c>
      <c r="AA9" s="2">
        <f ca="1"/>
        <v>8.1</v>
      </c>
      <c r="AB9" s="36">
        <f ca="1"/>
        <v>14.500000000000002</v>
      </c>
      <c r="AE9" s="52">
        <f t="shared" ref="AE9:AE42" si="1">AF8+1</f>
        <v>22</v>
      </c>
      <c r="AF9" s="52">
        <f t="shared" ref="AF9:AF42" si="2">AE9+$AG$2-1</f>
        <v>31</v>
      </c>
      <c r="AG9" s="36">
        <f ca="1">IFERROR(AVERAGEIFS(data_brute!M:M,data_brute!J:J,"&gt;="&amp;AE9,data_brute!J:J,"&lt;="&amp;AF9),NA())</f>
        <v>18.829999999999995</v>
      </c>
      <c r="AH9" s="52">
        <f t="shared" ref="AH9:AH42" ca="1" si="3">IF(AG9&lt;&gt;"",$AG$2*(ROW()-ROW($AH$6)),NA())</f>
        <v>30</v>
      </c>
      <c r="AK9" s="52">
        <f t="shared" ref="AK9:AK42" si="4">AL8+1</f>
        <v>22</v>
      </c>
      <c r="AL9" s="52">
        <f t="shared" ref="AL9:AL42" si="5">AK9+$AG$2-1</f>
        <v>31</v>
      </c>
      <c r="AM9" s="36">
        <f ca="1">IFERROR(AVERAGEIFS(data_brute!M:M,data_brute!J:J,"&lt;="&amp;AL9),NA())</f>
        <v>20.730000000000004</v>
      </c>
      <c r="AN9" s="52">
        <f t="shared" ref="AN9:AN42" ca="1" si="6">IF(AM9&lt;&gt;"",$AG$2*(ROW()-ROW($AH$6)),NA())</f>
        <v>30</v>
      </c>
      <c r="AO9" s="9"/>
      <c r="AP9" s="2"/>
      <c r="AQ9" s="61" t="s">
        <v>24</v>
      </c>
      <c r="AR9" s="26"/>
      <c r="AS9" s="34">
        <f>C25</f>
        <v>19.7</v>
      </c>
      <c r="AT9" s="26"/>
      <c r="AU9" s="62"/>
      <c r="AX9" s="2"/>
      <c r="AY9" s="47"/>
      <c r="AZ9" s="48"/>
      <c r="BA9" s="2"/>
      <c r="BB9" s="2"/>
      <c r="BC9" s="2"/>
      <c r="BD9" s="2"/>
      <c r="BE9" s="2"/>
      <c r="BG9" s="2">
        <f ca="1"/>
        <v>26</v>
      </c>
      <c r="BH9" s="47">
        <f ca="1"/>
        <v>45693</v>
      </c>
      <c r="BI9" s="48">
        <f ca="1"/>
        <v>0.42769675925925926</v>
      </c>
      <c r="BJ9" s="2" t="str">
        <f ca="1"/>
        <v>22,6</v>
      </c>
      <c r="BK9" s="2">
        <f ca="1"/>
        <v>27</v>
      </c>
      <c r="BL9" s="2">
        <f ca="1"/>
        <v>1</v>
      </c>
      <c r="BM9" s="2">
        <f ca="1"/>
        <v>8</v>
      </c>
      <c r="BN9" s="2">
        <f ca="1"/>
        <v>14.600000000000001</v>
      </c>
    </row>
    <row r="10" spans="2:66" x14ac:dyDescent="0.2">
      <c r="B10" s="8">
        <v>5</v>
      </c>
      <c r="C10" s="9">
        <v>50</v>
      </c>
      <c r="D10" s="12" t="b">
        <f t="shared" ref="D10:D16" si="7">IF(AND($C$4&gt;=B10,$C$4&lt;C10),TRUE,FALSE)</f>
        <v>1</v>
      </c>
      <c r="E10" s="15">
        <v>9</v>
      </c>
      <c r="F10" s="16"/>
      <c r="G10" s="23" cm="1">
        <f t="array" ref="G10">_xlfn.IFS(AND(E10&lt;&gt;"",F10=""),1,AND(E10="",F10&lt;&gt;""),2,AND(E10="",F10&lt;&gt;""),0)</f>
        <v>1</v>
      </c>
      <c r="H10" s="23">
        <f>IF(G10=1,E10,F10)</f>
        <v>9</v>
      </c>
      <c r="I10" s="8" cm="1">
        <f t="array" ref="I10">_xlfn.IFS(AND(D10,G10=1),H10*$C$4/100,AND(D10,G10=2),H10,NOT(D10),"")</f>
        <v>1.8</v>
      </c>
      <c r="J10" s="9">
        <f>IF(I10="","",2*I10)</f>
        <v>3.6</v>
      </c>
      <c r="M10" s="2"/>
      <c r="N10" s="2"/>
      <c r="O10" s="2"/>
      <c r="P10" s="2"/>
      <c r="Q10" s="2"/>
      <c r="R10" s="2"/>
      <c r="U10" s="2">
        <v>97</v>
      </c>
      <c r="V10" s="47">
        <v>45693</v>
      </c>
      <c r="W10" s="48">
        <v>0.42811342592592594</v>
      </c>
      <c r="X10" s="49" t="str">
        <f ca="1"/>
        <v>29,6</v>
      </c>
      <c r="Y10" s="2">
        <f ca="1"/>
        <v>98</v>
      </c>
      <c r="Z10" s="2">
        <f ca="1"/>
        <v>2</v>
      </c>
      <c r="AA10" s="2">
        <f ca="1"/>
        <v>8.1</v>
      </c>
      <c r="AB10" s="36">
        <f ca="1"/>
        <v>21.5</v>
      </c>
      <c r="AE10" s="52">
        <f t="shared" si="1"/>
        <v>32</v>
      </c>
      <c r="AF10" s="52">
        <f t="shared" si="2"/>
        <v>41</v>
      </c>
      <c r="AG10" s="36">
        <f ca="1">IFERROR(AVERAGEIFS(data_brute!M:M,data_brute!J:J,"&gt;="&amp;AE10,data_brute!J:J,"&lt;="&amp;AF10),NA())</f>
        <v>17.729999999999997</v>
      </c>
      <c r="AH10" s="52">
        <f t="shared" ca="1" si="3"/>
        <v>40</v>
      </c>
      <c r="AK10" s="52">
        <f t="shared" si="4"/>
        <v>32</v>
      </c>
      <c r="AL10" s="52">
        <f t="shared" si="5"/>
        <v>41</v>
      </c>
      <c r="AM10" s="36">
        <f ca="1">IFERROR(AVERAGEIFS(data_brute!M:M,data_brute!J:J,"&lt;="&amp;AL10),NA())</f>
        <v>19.980000000000008</v>
      </c>
      <c r="AN10" s="52">
        <f t="shared" ca="1" si="6"/>
        <v>40</v>
      </c>
      <c r="AO10" s="9"/>
      <c r="AP10" s="2"/>
      <c r="AQ10" s="61" t="s">
        <v>25</v>
      </c>
      <c r="AR10" s="26"/>
      <c r="AS10" s="26"/>
      <c r="AT10" s="34">
        <f>C26</f>
        <v>20.3</v>
      </c>
      <c r="AU10" s="62"/>
      <c r="AX10" s="2"/>
      <c r="AY10" s="47"/>
      <c r="AZ10" s="48"/>
      <c r="BA10" s="2"/>
      <c r="BB10" s="2"/>
      <c r="BC10" s="2"/>
      <c r="BD10" s="2"/>
      <c r="BE10" s="2"/>
      <c r="BG10" s="2">
        <f ca="1"/>
        <v>28</v>
      </c>
      <c r="BH10" s="47">
        <f ca="1"/>
        <v>45693</v>
      </c>
      <c r="BI10" s="48">
        <f ca="1"/>
        <v>0.42781249999999998</v>
      </c>
      <c r="BJ10" s="2" t="str">
        <f ca="1"/>
        <v>22,6</v>
      </c>
      <c r="BK10" s="2">
        <f ca="1"/>
        <v>29</v>
      </c>
      <c r="BL10" s="2">
        <f ca="1"/>
        <v>1</v>
      </c>
      <c r="BM10" s="2">
        <f ca="1"/>
        <v>8</v>
      </c>
      <c r="BN10" s="2">
        <f ca="1"/>
        <v>14.600000000000001</v>
      </c>
    </row>
    <row r="11" spans="2:66" x14ac:dyDescent="0.2">
      <c r="B11" s="8">
        <v>50</v>
      </c>
      <c r="C11" s="9">
        <v>100</v>
      </c>
      <c r="D11" s="12" t="b">
        <f t="shared" si="7"/>
        <v>0</v>
      </c>
      <c r="E11" s="8"/>
      <c r="F11" s="9">
        <v>4.5</v>
      </c>
      <c r="G11" s="24" cm="1">
        <f t="array" ref="G11">_xlfn.IFS(AND(E11&lt;&gt;"",F11=""),1,AND(E11="",F11&lt;&gt;""),2,AND(E11="",F11&lt;&gt;""),0)</f>
        <v>2</v>
      </c>
      <c r="H11" s="24">
        <f t="shared" ref="H11:H16" si="8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9">IF(I11="","",2*I11)</f>
        <v/>
      </c>
      <c r="K11" s="9"/>
      <c r="L11" s="2"/>
      <c r="M11" s="2"/>
      <c r="N11" s="2"/>
      <c r="O11" s="2"/>
      <c r="P11" s="2"/>
      <c r="Q11" s="2"/>
      <c r="R11" s="2"/>
      <c r="U11" s="2">
        <v>98</v>
      </c>
      <c r="V11" s="47">
        <v>45693</v>
      </c>
      <c r="W11" s="48">
        <v>0.42811342592592594</v>
      </c>
      <c r="X11" s="49" t="str">
        <f ca="1"/>
        <v>29,6</v>
      </c>
      <c r="Y11" s="2">
        <f ca="1"/>
        <v>99</v>
      </c>
      <c r="Z11" s="2">
        <f ca="1"/>
        <v>2</v>
      </c>
      <c r="AA11" s="2">
        <f ca="1"/>
        <v>8.1</v>
      </c>
      <c r="AB11" s="36">
        <f ca="1"/>
        <v>21.5</v>
      </c>
      <c r="AE11" s="52">
        <f t="shared" si="1"/>
        <v>42</v>
      </c>
      <c r="AF11" s="52">
        <f t="shared" si="2"/>
        <v>51</v>
      </c>
      <c r="AG11" s="36">
        <f ca="1">IFERROR(AVERAGEIFS(data_brute!M:M,data_brute!J:J,"&gt;="&amp;AE11,data_brute!J:J,"&lt;="&amp;AF11),NA())</f>
        <v>20.239999999999998</v>
      </c>
      <c r="AH11" s="52">
        <f t="shared" ca="1" si="3"/>
        <v>50</v>
      </c>
      <c r="AK11" s="52">
        <f t="shared" si="4"/>
        <v>42</v>
      </c>
      <c r="AL11" s="52">
        <f t="shared" si="5"/>
        <v>51</v>
      </c>
      <c r="AM11" s="36">
        <f ca="1">IFERROR(AVERAGEIFS(data_brute!M:M,data_brute!J:J,"&lt;="&amp;AL11),NA())</f>
        <v>20.032000000000011</v>
      </c>
      <c r="AN11" s="52">
        <f t="shared" ca="1" si="6"/>
        <v>50</v>
      </c>
      <c r="AO11" s="9"/>
      <c r="AP11" s="2"/>
      <c r="AQ11" s="61" t="s">
        <v>5</v>
      </c>
      <c r="AR11" s="26"/>
      <c r="AS11" s="26"/>
      <c r="AT11" s="26"/>
      <c r="AU11" s="62"/>
      <c r="AX11" s="2"/>
      <c r="AY11" s="47"/>
      <c r="AZ11" s="48"/>
      <c r="BA11" s="2"/>
      <c r="BB11" s="2"/>
      <c r="BC11" s="2"/>
      <c r="BD11" s="2"/>
      <c r="BE11" s="2"/>
      <c r="BG11" s="2">
        <f ca="1"/>
        <v>29</v>
      </c>
      <c r="BH11" s="47">
        <f ca="1"/>
        <v>45693</v>
      </c>
      <c r="BI11" s="48">
        <f ca="1"/>
        <v>0.42788194444444444</v>
      </c>
      <c r="BJ11" s="2" t="str">
        <f ca="1"/>
        <v>22,6</v>
      </c>
      <c r="BK11" s="2">
        <f ca="1"/>
        <v>30</v>
      </c>
      <c r="BL11" s="2">
        <f ca="1"/>
        <v>1</v>
      </c>
      <c r="BM11" s="2">
        <f ca="1"/>
        <v>8</v>
      </c>
      <c r="BN11" s="2">
        <f ca="1"/>
        <v>14.600000000000001</v>
      </c>
    </row>
    <row r="12" spans="2:66" x14ac:dyDescent="0.2">
      <c r="B12" s="8">
        <v>100</v>
      </c>
      <c r="C12" s="9">
        <v>200</v>
      </c>
      <c r="D12" s="12" t="b">
        <f t="shared" si="7"/>
        <v>0</v>
      </c>
      <c r="E12" s="8">
        <v>4.5</v>
      </c>
      <c r="F12" s="9"/>
      <c r="G12" s="24" cm="1">
        <f t="array" ref="G12">_xlfn.IFS(AND(E12&lt;&gt;"",F12=""),1,AND(E12="",F12&lt;&gt;""),2,AND(E12="",F12&lt;&gt;""),0)</f>
        <v>1</v>
      </c>
      <c r="H12" s="24">
        <f t="shared" si="8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N12" s="2"/>
      <c r="O12" s="2"/>
      <c r="P12" s="2"/>
      <c r="Q12" s="2"/>
      <c r="R12" s="2"/>
      <c r="U12" s="2">
        <v>99</v>
      </c>
      <c r="V12" s="47">
        <v>45693</v>
      </c>
      <c r="W12" s="48">
        <v>0.42811342592592594</v>
      </c>
      <c r="X12" s="49" t="str">
        <f ca="1"/>
        <v>29,6</v>
      </c>
      <c r="Y12" s="2">
        <f ca="1"/>
        <v>100</v>
      </c>
      <c r="Z12" s="2">
        <f ca="1"/>
        <v>2</v>
      </c>
      <c r="AA12" s="2">
        <f ca="1"/>
        <v>8.1</v>
      </c>
      <c r="AB12" s="36">
        <f ca="1"/>
        <v>21.5</v>
      </c>
      <c r="AE12" s="52">
        <f t="shared" si="1"/>
        <v>52</v>
      </c>
      <c r="AF12" s="52">
        <f t="shared" si="2"/>
        <v>61</v>
      </c>
      <c r="AG12" s="36">
        <f ca="1">IFERROR(AVERAGEIFS(data_brute!M:M,data_brute!J:J,"&gt;="&amp;AE12,data_brute!J:J,"&lt;="&amp;AF12),NA())</f>
        <v>21.669999999999995</v>
      </c>
      <c r="AH12" s="52">
        <f t="shared" ca="1" si="3"/>
        <v>60</v>
      </c>
      <c r="AK12" s="52">
        <f t="shared" si="4"/>
        <v>52</v>
      </c>
      <c r="AL12" s="52">
        <f t="shared" si="5"/>
        <v>61</v>
      </c>
      <c r="AM12" s="36">
        <f ca="1">IFERROR(AVERAGEIFS(data_brute!M:M,data_brute!J:J,"&lt;="&amp;AL12),NA())</f>
        <v>20.30500000000001</v>
      </c>
      <c r="AN12" s="52">
        <f t="shared" ca="1" si="6"/>
        <v>60</v>
      </c>
      <c r="AO12" s="9"/>
      <c r="AP12" s="2"/>
      <c r="AQ12" s="64" t="s">
        <v>9</v>
      </c>
      <c r="AR12" s="65"/>
      <c r="AS12" s="65"/>
      <c r="AT12" s="65"/>
      <c r="AU12" s="66"/>
      <c r="AX12" s="2"/>
      <c r="AY12" s="47"/>
      <c r="AZ12" s="48"/>
      <c r="BA12" s="2"/>
      <c r="BB12" s="2"/>
      <c r="BC12" s="2"/>
      <c r="BD12" s="2"/>
      <c r="BE12" s="2"/>
      <c r="BG12" s="2">
        <f ca="1"/>
        <v>31</v>
      </c>
      <c r="BH12" s="47">
        <f ca="1"/>
        <v>45693</v>
      </c>
      <c r="BI12" s="48">
        <f ca="1"/>
        <v>0.42800925925925926</v>
      </c>
      <c r="BJ12" s="2" t="str">
        <f ca="1"/>
        <v>11,3</v>
      </c>
      <c r="BK12" s="2">
        <f ca="1"/>
        <v>32</v>
      </c>
      <c r="BL12" s="2">
        <f ca="1"/>
        <v>1</v>
      </c>
      <c r="BM12" s="2">
        <f ca="1"/>
        <v>8</v>
      </c>
      <c r="BN12" s="2">
        <f ca="1"/>
        <v>3.3000000000000007</v>
      </c>
    </row>
    <row r="13" spans="2:66" x14ac:dyDescent="0.2">
      <c r="B13" s="8">
        <v>200</v>
      </c>
      <c r="C13" s="9">
        <v>300</v>
      </c>
      <c r="D13" s="12" t="b">
        <f t="shared" si="7"/>
        <v>0</v>
      </c>
      <c r="E13" s="8"/>
      <c r="F13" s="9">
        <v>9</v>
      </c>
      <c r="G13" s="24" cm="1">
        <f t="array" ref="G13">_xlfn.IFS(AND(E13&lt;&gt;"",F13=""),1,AND(E13="",F13&lt;&gt;""),2,AND(E13="",F13&lt;&gt;""),0)</f>
        <v>2</v>
      </c>
      <c r="H13" s="24">
        <f t="shared" si="8"/>
        <v>9</v>
      </c>
      <c r="I13" s="8" t="str" cm="1">
        <f t="array" ref="I13">_xlfn.IFS(AND(D13,G13=1),H13*$C$4/100,AND(D13,G13=2),H13,NOT(D13),"")</f>
        <v/>
      </c>
      <c r="J13" s="9" t="str">
        <f t="shared" si="9"/>
        <v/>
      </c>
      <c r="K13" s="9" t="str" cm="1">
        <f t="array" ref="K13">_xlfn.IFS(AND(D13,G13=1),H13*$C$4/100,AND(D13,G13=2),H13,NOT(D13),"")</f>
        <v/>
      </c>
      <c r="L13" s="2"/>
      <c r="M13" s="2"/>
      <c r="N13" s="2"/>
      <c r="O13" s="2"/>
      <c r="P13" s="2"/>
      <c r="Q13" s="2"/>
      <c r="R13" s="2"/>
      <c r="U13" s="2">
        <v>100</v>
      </c>
      <c r="V13" s="47">
        <v>45693</v>
      </c>
      <c r="W13" s="48">
        <v>0.42811342592592594</v>
      </c>
      <c r="X13" s="49" t="str">
        <f ca="1"/>
        <v>29,6</v>
      </c>
      <c r="Y13" s="2">
        <f ca="1"/>
        <v>101</v>
      </c>
      <c r="Z13" s="2">
        <f ca="1"/>
        <v>2</v>
      </c>
      <c r="AA13" s="2">
        <f ca="1"/>
        <v>8.1</v>
      </c>
      <c r="AB13" s="36">
        <f ca="1"/>
        <v>21.5</v>
      </c>
      <c r="AE13" s="52">
        <f t="shared" si="1"/>
        <v>62</v>
      </c>
      <c r="AF13" s="52">
        <f t="shared" si="2"/>
        <v>71</v>
      </c>
      <c r="AG13" s="36">
        <f ca="1">IFERROR(AVERAGEIFS(data_brute!M:M,data_brute!J:J,"&gt;="&amp;AE13,data_brute!J:J,"&lt;="&amp;AF13),NA())</f>
        <v>18.04</v>
      </c>
      <c r="AH13" s="52">
        <f t="shared" ca="1" si="3"/>
        <v>70</v>
      </c>
      <c r="AK13" s="52">
        <f t="shared" si="4"/>
        <v>62</v>
      </c>
      <c r="AL13" s="52">
        <f t="shared" si="5"/>
        <v>71</v>
      </c>
      <c r="AM13" s="36">
        <f ca="1">IFERROR(AVERAGEIFS(data_brute!M:M,data_brute!J:J,"&lt;="&amp;AL13),NA())</f>
        <v>19.981428571428577</v>
      </c>
      <c r="AN13" s="52">
        <f t="shared" ca="1" si="6"/>
        <v>70</v>
      </c>
      <c r="AO13" s="9"/>
      <c r="AP13" s="2"/>
      <c r="AQ13" s="26" t="s">
        <v>63</v>
      </c>
      <c r="AR13" s="26" t="b">
        <f ca="1">AR7&lt;AR6</f>
        <v>0</v>
      </c>
      <c r="AS13" s="26" t="b">
        <f ca="1">AS7&lt;AS9</f>
        <v>0</v>
      </c>
      <c r="AT13" s="26" t="b">
        <f ca="1">AT7&gt;AT10</f>
        <v>0</v>
      </c>
      <c r="AU13" s="26" t="b">
        <f ca="1">AU8&lt;AU6</f>
        <v>1</v>
      </c>
      <c r="AX13" s="2"/>
      <c r="AY13" s="47"/>
      <c r="AZ13" s="48"/>
      <c r="BA13" s="2"/>
      <c r="BB13" s="2"/>
      <c r="BC13" s="2"/>
      <c r="BD13" s="2"/>
      <c r="BE13" s="2"/>
      <c r="BG13" s="2">
        <f ca="1"/>
        <v>35</v>
      </c>
      <c r="BH13" s="47">
        <f ca="1"/>
        <v>45693</v>
      </c>
      <c r="BI13" s="48">
        <f ca="1"/>
        <v>0.42827546296296298</v>
      </c>
      <c r="BJ13" s="2" t="str">
        <f ca="1"/>
        <v>22,6</v>
      </c>
      <c r="BK13" s="2">
        <f ca="1"/>
        <v>36</v>
      </c>
      <c r="BL13" s="2">
        <f ca="1"/>
        <v>1</v>
      </c>
      <c r="BM13" s="2">
        <f ca="1"/>
        <v>8</v>
      </c>
      <c r="BN13" s="2">
        <f ca="1"/>
        <v>14.600000000000001</v>
      </c>
    </row>
    <row r="14" spans="2:66" x14ac:dyDescent="0.2">
      <c r="B14" s="8">
        <v>300</v>
      </c>
      <c r="C14" s="9">
        <v>500</v>
      </c>
      <c r="D14" s="12" t="b">
        <f t="shared" si="7"/>
        <v>0</v>
      </c>
      <c r="E14" s="8">
        <v>3</v>
      </c>
      <c r="F14" s="9"/>
      <c r="G14" s="24" cm="1">
        <f t="array" ref="G14">_xlfn.IFS(AND(E14&lt;&gt;"",F14=""),1,AND(E14="",F14&lt;&gt;""),2,AND(E14="",F14&lt;&gt;""),0)</f>
        <v>1</v>
      </c>
      <c r="H14" s="24">
        <f t="shared" si="8"/>
        <v>3</v>
      </c>
      <c r="I14" s="8" t="str" cm="1">
        <f t="array" ref="I14">_xlfn.IFS(AND(D14,G14=1),H14*$C$4/100,AND(D14,G14=2),H14,NOT(D14),"")</f>
        <v/>
      </c>
      <c r="J14" s="9" t="str">
        <f t="shared" si="9"/>
        <v/>
      </c>
      <c r="K14" s="9" t="str" cm="1">
        <f t="array" ref="K14">_xlfn.IFS(AND(D14,G14=1),H14*$C$4/100,AND(D14,G14=2),H14,NOT(D14),"")</f>
        <v/>
      </c>
      <c r="L14" s="2"/>
      <c r="M14" s="2"/>
      <c r="N14" s="2"/>
      <c r="O14" s="2"/>
      <c r="P14" s="2"/>
      <c r="Q14" s="2"/>
      <c r="R14" s="2"/>
      <c r="U14" s="2">
        <v>101</v>
      </c>
      <c r="V14" s="47">
        <v>45693</v>
      </c>
      <c r="W14" s="48">
        <v>0.42811342592592594</v>
      </c>
      <c r="X14" s="49" t="str">
        <f ca="1"/>
        <v>29,6</v>
      </c>
      <c r="Y14" s="2">
        <f ca="1"/>
        <v>102</v>
      </c>
      <c r="Z14" s="2">
        <f ca="1"/>
        <v>2</v>
      </c>
      <c r="AA14" s="2">
        <f ca="1"/>
        <v>8.1</v>
      </c>
      <c r="AB14" s="36">
        <f ca="1"/>
        <v>21.5</v>
      </c>
      <c r="AE14" s="52">
        <f t="shared" si="1"/>
        <v>72</v>
      </c>
      <c r="AF14" s="52">
        <f t="shared" si="2"/>
        <v>81</v>
      </c>
      <c r="AG14" s="36">
        <f ca="1">IFERROR(AVERAGEIFS(data_brute!M:M,data_brute!J:J,"&gt;="&amp;AE14,data_brute!J:J,"&lt;="&amp;AF14),NA())</f>
        <v>20.100000000000001</v>
      </c>
      <c r="AH14" s="52">
        <f t="shared" ca="1" si="3"/>
        <v>80</v>
      </c>
      <c r="AK14" s="52">
        <f t="shared" si="4"/>
        <v>72</v>
      </c>
      <c r="AL14" s="52">
        <f t="shared" si="5"/>
        <v>81</v>
      </c>
      <c r="AM14" s="36">
        <f ca="1">IFERROR(AVERAGEIFS(data_brute!M:M,data_brute!J:J,"&lt;="&amp;AL14),NA())</f>
        <v>19.996250000000003</v>
      </c>
      <c r="AN14" s="52">
        <f t="shared" ca="1" si="6"/>
        <v>80</v>
      </c>
      <c r="AO14" s="9"/>
      <c r="AP14" s="2"/>
      <c r="AQ14" s="2"/>
      <c r="AR14" s="2"/>
      <c r="AS14" s="2"/>
      <c r="AT14" s="2"/>
      <c r="AU14" s="2"/>
      <c r="AX14" s="2"/>
      <c r="AY14" s="47"/>
      <c r="AZ14" s="48"/>
      <c r="BA14" s="2"/>
      <c r="BB14" s="2"/>
      <c r="BC14" s="2"/>
      <c r="BD14" s="2"/>
      <c r="BE14" s="2"/>
      <c r="BG14" s="2">
        <f ca="1"/>
        <v>37</v>
      </c>
      <c r="BH14" s="47">
        <f ca="1"/>
        <v>45693</v>
      </c>
      <c r="BI14" s="48">
        <f ca="1"/>
        <v>0.42836805555555557</v>
      </c>
      <c r="BJ14" s="2" t="str">
        <f ca="1"/>
        <v>22,6</v>
      </c>
      <c r="BK14" s="2">
        <f ca="1"/>
        <v>38</v>
      </c>
      <c r="BL14" s="2">
        <f ca="1"/>
        <v>1</v>
      </c>
      <c r="BM14" s="2">
        <f ca="1"/>
        <v>8</v>
      </c>
      <c r="BN14" s="2">
        <f ca="1"/>
        <v>14.600000000000001</v>
      </c>
    </row>
    <row r="15" spans="2:66" x14ac:dyDescent="0.2">
      <c r="B15" s="8">
        <v>500</v>
      </c>
      <c r="C15" s="9">
        <v>1000</v>
      </c>
      <c r="D15" s="12" t="b">
        <f t="shared" si="7"/>
        <v>0</v>
      </c>
      <c r="E15" s="8"/>
      <c r="F15" s="9">
        <v>15</v>
      </c>
      <c r="G15" s="24" cm="1">
        <f t="array" ref="G15">_xlfn.IFS(AND(E15&lt;&gt;"",F15=""),1,AND(E15="",F15&lt;&gt;""),2,AND(E15="",F15&lt;&gt;""),0)</f>
        <v>2</v>
      </c>
      <c r="H15" s="24">
        <f t="shared" si="8"/>
        <v>15</v>
      </c>
      <c r="I15" s="8" t="str" cm="1">
        <f t="array" ref="I15">_xlfn.IFS(AND(D15,G15=1),H15*$C$4/100,AND(D15,G15=2),H15,NOT(D15),"")</f>
        <v/>
      </c>
      <c r="J15" s="9" t="str">
        <f t="shared" si="9"/>
        <v/>
      </c>
      <c r="K15" s="9" t="str" cm="1">
        <f t="array" ref="K15">_xlfn.IFS(AND(D15,G15=1),H15*$C$4/100,AND(D15,G15=2),H15,NOT(D15),"")</f>
        <v/>
      </c>
      <c r="L15" s="2"/>
      <c r="M15" s="2"/>
      <c r="N15" s="2"/>
      <c r="O15" s="2"/>
      <c r="P15" s="2"/>
      <c r="Q15" s="2"/>
      <c r="R15" s="2"/>
      <c r="U15" s="2">
        <v>102</v>
      </c>
      <c r="V15" s="47">
        <v>45693</v>
      </c>
      <c r="W15" s="48">
        <v>0.42811342592592594</v>
      </c>
      <c r="X15" s="49" t="str">
        <f ca="1"/>
        <v>29,6</v>
      </c>
      <c r="Y15" s="2">
        <f ca="1"/>
        <v>103</v>
      </c>
      <c r="Z15" s="2">
        <f ca="1"/>
        <v>2</v>
      </c>
      <c r="AA15" s="2">
        <f ca="1"/>
        <v>8.1</v>
      </c>
      <c r="AB15" s="36">
        <f ca="1"/>
        <v>21.5</v>
      </c>
      <c r="AE15" s="52">
        <f t="shared" si="1"/>
        <v>82</v>
      </c>
      <c r="AF15" s="52">
        <f t="shared" si="2"/>
        <v>91</v>
      </c>
      <c r="AG15" s="36">
        <f ca="1">IFERROR(AVERAGEIFS(data_brute!M:M,data_brute!J:J,"&gt;="&amp;AE15,data_brute!J:J,"&lt;="&amp;AF15),NA())</f>
        <v>18.020000000000003</v>
      </c>
      <c r="AH15" s="52">
        <f t="shared" ca="1" si="3"/>
        <v>90</v>
      </c>
      <c r="AK15" s="52">
        <f t="shared" si="4"/>
        <v>82</v>
      </c>
      <c r="AL15" s="52">
        <f t="shared" si="5"/>
        <v>91</v>
      </c>
      <c r="AM15" s="36">
        <f ca="1">IFERROR(AVERAGEIFS(data_brute!M:M,data_brute!J:J,"&lt;="&amp;AL15),NA())</f>
        <v>19.776666666666667</v>
      </c>
      <c r="AN15" s="52">
        <f t="shared" ca="1" si="6"/>
        <v>90</v>
      </c>
      <c r="AO15" s="9"/>
      <c r="AP15" s="2"/>
      <c r="AQ15" s="2"/>
      <c r="AR15" s="2"/>
      <c r="AS15" s="2"/>
      <c r="AT15" s="2"/>
      <c r="AU15" s="2"/>
      <c r="AX15" s="2"/>
      <c r="AY15" s="47"/>
      <c r="AZ15" s="48"/>
      <c r="BA15" s="2"/>
      <c r="BB15" s="2"/>
      <c r="BC15" s="2"/>
      <c r="BD15" s="2"/>
      <c r="BE15" s="2"/>
      <c r="BG15" s="2">
        <f ca="1"/>
        <v>38</v>
      </c>
      <c r="BH15" s="47">
        <f ca="1"/>
        <v>45693</v>
      </c>
      <c r="BI15" s="48">
        <f ca="1"/>
        <v>0.42842592592592593</v>
      </c>
      <c r="BJ15" s="2" t="str">
        <f ca="1"/>
        <v>22,6</v>
      </c>
      <c r="BK15" s="2">
        <f ca="1"/>
        <v>39</v>
      </c>
      <c r="BL15" s="2">
        <f ca="1"/>
        <v>1</v>
      </c>
      <c r="BM15" s="2">
        <f ca="1"/>
        <v>8</v>
      </c>
      <c r="BN15" s="2">
        <f ca="1"/>
        <v>14.600000000000001</v>
      </c>
    </row>
    <row r="16" spans="2:66" x14ac:dyDescent="0.2">
      <c r="B16" s="10">
        <v>1000</v>
      </c>
      <c r="C16" s="11">
        <v>10000</v>
      </c>
      <c r="D16" s="13" t="b">
        <f t="shared" si="7"/>
        <v>0</v>
      </c>
      <c r="E16" s="10">
        <v>1.5</v>
      </c>
      <c r="F16" s="11"/>
      <c r="G16" s="25" cm="1">
        <f t="array" ref="G16">_xlfn.IFS(AND(E16&lt;&gt;"",F16=""),1,AND(E16="",F16&lt;&gt;""),2,AND(E16="",F16&lt;&gt;""),0)</f>
        <v>1</v>
      </c>
      <c r="H16" s="25">
        <f t="shared" si="8"/>
        <v>1.5</v>
      </c>
      <c r="I16" s="10" t="str" cm="1">
        <f t="array" ref="I16">_xlfn.IFS(AND(D16,G16=1),H16*$C$4/100,AND(D16,G16=2),H16,NOT(D16),"")</f>
        <v/>
      </c>
      <c r="J16" s="11" t="str">
        <f t="shared" si="9"/>
        <v/>
      </c>
      <c r="K16" s="9" t="str" cm="1">
        <f t="array" ref="K16">_xlfn.IFS(AND(D16,G16=1),H16*$C$4/100,AND(D16,G16=2),H16,NOT(D16),"")</f>
        <v/>
      </c>
      <c r="L16" s="2"/>
      <c r="M16" s="2"/>
      <c r="U16" s="2">
        <v>103</v>
      </c>
      <c r="V16" s="47">
        <v>45693</v>
      </c>
      <c r="W16" s="48">
        <v>0.42811342592592594</v>
      </c>
      <c r="X16" s="49" t="str">
        <f ca="1"/>
        <v>29,6</v>
      </c>
      <c r="Y16" s="2">
        <f ca="1"/>
        <v>104</v>
      </c>
      <c r="Z16" s="2">
        <f ca="1"/>
        <v>2</v>
      </c>
      <c r="AA16" s="2">
        <f ca="1"/>
        <v>8.1</v>
      </c>
      <c r="AB16" s="36">
        <f ca="1"/>
        <v>21.5</v>
      </c>
      <c r="AE16" s="52">
        <f t="shared" si="1"/>
        <v>92</v>
      </c>
      <c r="AF16" s="52">
        <f t="shared" si="2"/>
        <v>101</v>
      </c>
      <c r="AG16" s="36">
        <f ca="1">IFERROR(AVERAGEIFS(data_brute!M:M,data_brute!J:J,"&gt;="&amp;AE16,data_brute!J:J,"&lt;="&amp;AF16),NA())</f>
        <v>20.100000000000001</v>
      </c>
      <c r="AH16" s="52">
        <f t="shared" ca="1" si="3"/>
        <v>100</v>
      </c>
      <c r="AK16" s="52">
        <f t="shared" si="4"/>
        <v>92</v>
      </c>
      <c r="AL16" s="52">
        <f t="shared" si="5"/>
        <v>101</v>
      </c>
      <c r="AM16" s="36">
        <f ca="1">IFERROR(AVERAGEIFS(data_brute!M:M,data_brute!J:J,"&lt;="&amp;AL16),NA())</f>
        <v>19.809000000000001</v>
      </c>
      <c r="AN16" s="52">
        <f t="shared" ca="1" si="6"/>
        <v>100</v>
      </c>
      <c r="AO16" s="9"/>
      <c r="AP16" s="2"/>
      <c r="AQ16" s="2"/>
      <c r="AR16" s="2"/>
      <c r="AS16" s="2"/>
      <c r="AT16" s="2"/>
      <c r="AU16" s="2"/>
      <c r="AX16" s="2"/>
      <c r="AY16" s="47"/>
      <c r="AZ16" s="48"/>
      <c r="BA16" s="2"/>
      <c r="BB16" s="2"/>
      <c r="BC16" s="2"/>
      <c r="BD16" s="2"/>
      <c r="BE16" s="2"/>
      <c r="BG16" s="2">
        <f ca="1"/>
        <v>48</v>
      </c>
      <c r="BH16" s="47">
        <f ca="1"/>
        <v>45693</v>
      </c>
      <c r="BI16" s="48">
        <f ca="1"/>
        <v>0.42898148148148146</v>
      </c>
      <c r="BJ16" s="2" t="str">
        <f ca="1"/>
        <v>22,6</v>
      </c>
      <c r="BK16" s="2">
        <f ca="1"/>
        <v>49</v>
      </c>
      <c r="BL16" s="2">
        <f ca="1"/>
        <v>1</v>
      </c>
      <c r="BM16" s="2">
        <f ca="1"/>
        <v>8</v>
      </c>
      <c r="BN16" s="2">
        <f ca="1"/>
        <v>14.600000000000001</v>
      </c>
    </row>
    <row r="17" spans="2:66" x14ac:dyDescent="0.2">
      <c r="U17" s="5"/>
      <c r="AE17" s="52">
        <f t="shared" si="1"/>
        <v>102</v>
      </c>
      <c r="AF17" s="52">
        <f t="shared" si="2"/>
        <v>111</v>
      </c>
      <c r="AG17" s="36">
        <f ca="1">IFERROR(AVERAGEIFS(data_brute!M:M,data_brute!J:J,"&gt;="&amp;AE17,data_brute!J:J,"&lt;="&amp;AF17),NA())</f>
        <v>21.5</v>
      </c>
      <c r="AH17" s="52">
        <f t="shared" ca="1" si="3"/>
        <v>110</v>
      </c>
      <c r="AK17" s="52">
        <f t="shared" si="4"/>
        <v>102</v>
      </c>
      <c r="AL17" s="52">
        <f t="shared" si="5"/>
        <v>111</v>
      </c>
      <c r="AM17" s="36">
        <f ca="1">IFERROR(AVERAGEIFS(data_brute!M:M,data_brute!J:J,"&lt;="&amp;AL17),NA())</f>
        <v>19.858252427184468</v>
      </c>
      <c r="AN17" s="52">
        <f t="shared" ca="1" si="6"/>
        <v>110</v>
      </c>
      <c r="AO17" s="9"/>
      <c r="AP17" s="2"/>
      <c r="AQ17" s="2"/>
      <c r="AR17" s="2"/>
      <c r="AS17" s="2"/>
      <c r="AT17" s="2"/>
      <c r="AU17" s="2"/>
      <c r="AX17" s="2"/>
      <c r="AY17" s="47"/>
      <c r="AZ17" s="48"/>
      <c r="BA17" s="2"/>
      <c r="BB17" s="2"/>
      <c r="BC17" s="2"/>
      <c r="BD17" s="2"/>
      <c r="BE17" s="2"/>
      <c r="BG17" s="2">
        <f ca="1"/>
        <v>50</v>
      </c>
      <c r="BH17" s="47">
        <f ca="1"/>
        <v>45693</v>
      </c>
      <c r="BI17" s="48">
        <f ca="1"/>
        <v>0.42907407407407405</v>
      </c>
      <c r="BJ17" s="2" t="str">
        <f ca="1"/>
        <v>22,6</v>
      </c>
      <c r="BK17" s="2">
        <f ca="1"/>
        <v>51</v>
      </c>
      <c r="BL17" s="2">
        <f ca="1"/>
        <v>1</v>
      </c>
      <c r="BM17" s="2">
        <f ca="1"/>
        <v>8</v>
      </c>
      <c r="BN17" s="2">
        <f ca="1"/>
        <v>14.600000000000001</v>
      </c>
    </row>
    <row r="18" spans="2:66" x14ac:dyDescent="0.2">
      <c r="B18" s="15" t="s">
        <v>5</v>
      </c>
      <c r="C18" s="16" cm="1">
        <f t="array" ref="C18">C4-INDEX($I$10:$I$16,$C$6)</f>
        <v>18.2</v>
      </c>
      <c r="AE18" s="52">
        <f t="shared" si="1"/>
        <v>112</v>
      </c>
      <c r="AF18" s="52">
        <f t="shared" si="2"/>
        <v>121</v>
      </c>
      <c r="AG18" s="36" t="e">
        <f>IFERROR(AVERAGEIFS(data_brute!M:M,data_brute!J:J,"&gt;="&amp;AE18,data_brute!J:J,"&lt;="&amp;AF18),NA())</f>
        <v>#N/A</v>
      </c>
      <c r="AH18" s="52" t="e">
        <f t="shared" si="3"/>
        <v>#N/A</v>
      </c>
      <c r="AK18" s="52">
        <f t="shared" si="4"/>
        <v>112</v>
      </c>
      <c r="AL18" s="52">
        <f t="shared" si="5"/>
        <v>121</v>
      </c>
      <c r="AM18" s="36">
        <f ca="1">IFERROR(AVERAGEIFS(data_brute!M:M,data_brute!J:J,"&lt;="&amp;AL18),NA())</f>
        <v>19.858252427184468</v>
      </c>
      <c r="AN18" s="52">
        <f t="shared" ca="1" si="6"/>
        <v>120</v>
      </c>
      <c r="AO18" s="9"/>
      <c r="AP18" s="2"/>
      <c r="AQ18" s="2"/>
      <c r="AR18" s="2"/>
      <c r="AS18" s="2"/>
      <c r="AT18" s="2"/>
      <c r="AU18" s="2"/>
      <c r="AX18" s="2"/>
      <c r="AY18" s="47"/>
      <c r="AZ18" s="48"/>
      <c r="BA18" s="2"/>
      <c r="BB18" s="2"/>
      <c r="BC18" s="2"/>
      <c r="BD18" s="2"/>
      <c r="BE18" s="2"/>
      <c r="BG18" s="2">
        <f ca="1"/>
        <v>61</v>
      </c>
      <c r="BH18" s="47">
        <f ca="1"/>
        <v>45693</v>
      </c>
      <c r="BI18" s="48">
        <f ca="1"/>
        <v>0.42964120370370368</v>
      </c>
      <c r="BJ18" s="2" t="str">
        <f ca="1"/>
        <v>22,6</v>
      </c>
      <c r="BK18" s="2">
        <f ca="1"/>
        <v>62</v>
      </c>
      <c r="BL18" s="2">
        <f ca="1"/>
        <v>1</v>
      </c>
      <c r="BM18" s="2">
        <f ca="1"/>
        <v>8</v>
      </c>
      <c r="BN18" s="2">
        <f ca="1"/>
        <v>14.600000000000001</v>
      </c>
    </row>
    <row r="19" spans="2:66" x14ac:dyDescent="0.2">
      <c r="B19" s="10" t="s">
        <v>9</v>
      </c>
      <c r="C19" s="11" cm="1">
        <f t="array" ref="C19">C4-INDEX($J$10:$J$16,$C$6)</f>
        <v>16.399999999999999</v>
      </c>
      <c r="AE19" s="52">
        <f t="shared" si="1"/>
        <v>122</v>
      </c>
      <c r="AF19" s="52">
        <f t="shared" si="2"/>
        <v>131</v>
      </c>
      <c r="AG19" s="36" t="e">
        <f>IFERROR(AVERAGEIFS(data_brute!M:M,data_brute!J:J,"&gt;="&amp;AE19,data_brute!J:J,"&lt;="&amp;AF19),NA())</f>
        <v>#N/A</v>
      </c>
      <c r="AH19" s="52" t="e">
        <f t="shared" si="3"/>
        <v>#N/A</v>
      </c>
      <c r="AK19" s="52">
        <f t="shared" si="4"/>
        <v>122</v>
      </c>
      <c r="AL19" s="52">
        <f t="shared" si="5"/>
        <v>131</v>
      </c>
      <c r="AM19" s="36">
        <f ca="1">IFERROR(AVERAGEIFS(data_brute!M:M,data_brute!J:J,"&lt;="&amp;AL19),NA())</f>
        <v>19.858252427184468</v>
      </c>
      <c r="AN19" s="52">
        <f t="shared" ca="1" si="6"/>
        <v>130</v>
      </c>
      <c r="AO19" s="9"/>
      <c r="AP19" s="2"/>
      <c r="AQ19" s="2"/>
      <c r="AR19" s="2"/>
      <c r="AS19" s="2"/>
      <c r="AT19" s="2"/>
      <c r="AU19" s="2"/>
      <c r="AX19" s="2"/>
      <c r="AY19" s="47"/>
      <c r="AZ19" s="48"/>
      <c r="BA19" s="2"/>
      <c r="BB19" s="2"/>
      <c r="BC19" s="2"/>
      <c r="BD19" s="2"/>
      <c r="BE19" s="2"/>
      <c r="BG19" s="2">
        <f ca="1"/>
        <v>62</v>
      </c>
      <c r="BH19" s="47">
        <f ca="1"/>
        <v>45693</v>
      </c>
      <c r="BI19" s="48">
        <f ca="1"/>
        <v>0.42964120370370368</v>
      </c>
      <c r="BJ19" s="2" t="str">
        <f ca="1"/>
        <v>22,6</v>
      </c>
      <c r="BK19" s="2">
        <f ca="1"/>
        <v>63</v>
      </c>
      <c r="BL19" s="2">
        <f ca="1"/>
        <v>1</v>
      </c>
      <c r="BM19" s="2">
        <f ca="1"/>
        <v>8</v>
      </c>
      <c r="BN19" s="2">
        <f ca="1"/>
        <v>14.600000000000001</v>
      </c>
    </row>
    <row r="20" spans="2:66" x14ac:dyDescent="0.2">
      <c r="AE20" s="52">
        <f t="shared" si="1"/>
        <v>132</v>
      </c>
      <c r="AF20" s="52">
        <f t="shared" si="2"/>
        <v>141</v>
      </c>
      <c r="AG20" s="36" t="e">
        <f>IFERROR(AVERAGEIFS(data_brute!M:M,data_brute!J:J,"&gt;="&amp;AE20,data_brute!J:J,"&lt;="&amp;AF20),NA())</f>
        <v>#N/A</v>
      </c>
      <c r="AH20" s="52" t="e">
        <f t="shared" si="3"/>
        <v>#N/A</v>
      </c>
      <c r="AK20" s="52">
        <f t="shared" si="4"/>
        <v>132</v>
      </c>
      <c r="AL20" s="52">
        <f t="shared" si="5"/>
        <v>141</v>
      </c>
      <c r="AM20" s="36">
        <f ca="1">IFERROR(AVERAGEIFS(data_brute!M:M,data_brute!J:J,"&lt;="&amp;AL20),NA())</f>
        <v>19.858252427184468</v>
      </c>
      <c r="AN20" s="52">
        <f t="shared" ca="1" si="6"/>
        <v>140</v>
      </c>
      <c r="AO20" s="9"/>
      <c r="AP20" s="2"/>
      <c r="AQ20" s="2"/>
      <c r="AR20" s="2"/>
      <c r="AS20" s="2"/>
      <c r="AT20" s="2"/>
      <c r="AU20" s="2"/>
      <c r="AX20" s="2"/>
      <c r="AY20" s="47"/>
      <c r="AZ20" s="48"/>
      <c r="BA20" s="2"/>
      <c r="BB20" s="2"/>
      <c r="BC20" s="2"/>
      <c r="BD20" s="2"/>
      <c r="BE20" s="2"/>
      <c r="BG20" s="2">
        <f ca="1"/>
        <v>63</v>
      </c>
      <c r="BH20" s="47">
        <f ca="1"/>
        <v>45693</v>
      </c>
      <c r="BI20" s="48">
        <f ca="1"/>
        <v>0.42964120370370368</v>
      </c>
      <c r="BJ20" s="2" t="str">
        <f ca="1"/>
        <v>22,6</v>
      </c>
      <c r="BK20" s="2">
        <f ca="1"/>
        <v>64</v>
      </c>
      <c r="BL20" s="2">
        <f ca="1"/>
        <v>1</v>
      </c>
      <c r="BM20" s="2">
        <f ca="1"/>
        <v>8</v>
      </c>
      <c r="BN20" s="2">
        <f ca="1"/>
        <v>14.600000000000001</v>
      </c>
    </row>
    <row r="21" spans="2:66" x14ac:dyDescent="0.2">
      <c r="B21" s="15" t="s">
        <v>21</v>
      </c>
      <c r="C21" s="16">
        <f>C4-C18</f>
        <v>1.8000000000000007</v>
      </c>
      <c r="AE21" s="52">
        <f t="shared" si="1"/>
        <v>142</v>
      </c>
      <c r="AF21" s="52">
        <f t="shared" si="2"/>
        <v>151</v>
      </c>
      <c r="AG21" s="36" t="e">
        <f>IFERROR(AVERAGEIFS(data_brute!M:M,data_brute!J:J,"&gt;="&amp;AE21,data_brute!J:J,"&lt;="&amp;AF21),NA())</f>
        <v>#N/A</v>
      </c>
      <c r="AH21" s="52" t="e">
        <f t="shared" si="3"/>
        <v>#N/A</v>
      </c>
      <c r="AK21" s="52">
        <f t="shared" si="4"/>
        <v>142</v>
      </c>
      <c r="AL21" s="52">
        <f t="shared" si="5"/>
        <v>151</v>
      </c>
      <c r="AM21" s="36">
        <f ca="1">IFERROR(AVERAGEIFS(data_brute!M:M,data_brute!J:J,"&lt;="&amp;AL21),NA())</f>
        <v>19.858252427184468</v>
      </c>
      <c r="AN21" s="52">
        <f t="shared" ca="1" si="6"/>
        <v>150</v>
      </c>
      <c r="AO21" s="9"/>
      <c r="AP21" s="2"/>
      <c r="AQ21" s="2"/>
      <c r="AR21" s="2"/>
      <c r="AS21" s="2"/>
      <c r="AT21" s="2"/>
      <c r="AU21" s="2"/>
      <c r="AX21" s="2"/>
      <c r="AY21" s="47"/>
      <c r="AZ21" s="48"/>
      <c r="BA21" s="2"/>
      <c r="BB21" s="2"/>
      <c r="BC21" s="2"/>
      <c r="BD21" s="2"/>
      <c r="BE21" s="2"/>
      <c r="BG21" s="2">
        <f ca="1"/>
        <v>64</v>
      </c>
      <c r="BH21" s="47">
        <f ca="1"/>
        <v>45693</v>
      </c>
      <c r="BI21" s="48">
        <f ca="1"/>
        <v>0.42964120370370368</v>
      </c>
      <c r="BJ21" s="2" t="str">
        <f ca="1"/>
        <v>22,6</v>
      </c>
      <c r="BK21" s="2">
        <f ca="1"/>
        <v>65</v>
      </c>
      <c r="BL21" s="2">
        <f ca="1"/>
        <v>1</v>
      </c>
      <c r="BM21" s="2">
        <f ca="1"/>
        <v>8</v>
      </c>
      <c r="BN21" s="2">
        <f ca="1"/>
        <v>14.600000000000001</v>
      </c>
    </row>
    <row r="22" spans="2:66" x14ac:dyDescent="0.2">
      <c r="B22" s="8" t="s">
        <v>23</v>
      </c>
      <c r="C22" s="42">
        <f>1/6</f>
        <v>0.16666666666666666</v>
      </c>
      <c r="AE22" s="52">
        <f t="shared" si="1"/>
        <v>152</v>
      </c>
      <c r="AF22" s="52">
        <f t="shared" si="2"/>
        <v>161</v>
      </c>
      <c r="AG22" s="36" t="e">
        <f>IFERROR(AVERAGEIFS(data_brute!M:M,data_brute!J:J,"&gt;="&amp;AE22,data_brute!J:J,"&lt;="&amp;AF22),NA())</f>
        <v>#N/A</v>
      </c>
      <c r="AH22" s="52" t="e">
        <f t="shared" si="3"/>
        <v>#N/A</v>
      </c>
      <c r="AK22" s="52">
        <f t="shared" si="4"/>
        <v>152</v>
      </c>
      <c r="AL22" s="52">
        <f t="shared" si="5"/>
        <v>161</v>
      </c>
      <c r="AM22" s="36">
        <f ca="1">IFERROR(AVERAGEIFS(data_brute!M:M,data_brute!J:J,"&lt;="&amp;AL22),NA())</f>
        <v>19.858252427184468</v>
      </c>
      <c r="AN22" s="52">
        <f t="shared" ca="1" si="6"/>
        <v>160</v>
      </c>
      <c r="AO22" s="9"/>
      <c r="AP22" s="2"/>
      <c r="AQ22" s="2"/>
      <c r="AR22" s="2"/>
      <c r="AS22" s="2"/>
      <c r="AT22" s="2"/>
      <c r="AU22" s="2"/>
      <c r="AX22" s="2"/>
      <c r="AY22" s="47"/>
      <c r="AZ22" s="48"/>
      <c r="BA22" s="2"/>
      <c r="BB22" s="2"/>
      <c r="BC22" s="2"/>
      <c r="BD22" s="2"/>
      <c r="BE22" s="2"/>
      <c r="BG22" s="2">
        <f ca="1"/>
        <v>65</v>
      </c>
      <c r="BH22" s="47">
        <f ca="1"/>
        <v>45693</v>
      </c>
      <c r="BI22" s="48">
        <f ca="1"/>
        <v>0.42964120370370368</v>
      </c>
      <c r="BJ22" s="2" t="str">
        <f ca="1"/>
        <v>22,6</v>
      </c>
      <c r="BK22" s="2">
        <f ca="1"/>
        <v>66</v>
      </c>
      <c r="BL22" s="2">
        <f ca="1"/>
        <v>2</v>
      </c>
      <c r="BM22" s="2">
        <f ca="1"/>
        <v>8.1</v>
      </c>
      <c r="BN22" s="2">
        <f ca="1"/>
        <v>14.500000000000002</v>
      </c>
    </row>
    <row r="23" spans="2:66" x14ac:dyDescent="0.2">
      <c r="B23" s="10" t="s">
        <v>22</v>
      </c>
      <c r="C23" s="38">
        <f>C21*C22</f>
        <v>0.3000000000000001</v>
      </c>
      <c r="AE23" s="52">
        <f t="shared" si="1"/>
        <v>162</v>
      </c>
      <c r="AF23" s="52">
        <f t="shared" si="2"/>
        <v>171</v>
      </c>
      <c r="AG23" s="36" t="e">
        <f>IFERROR(AVERAGEIFS(data_brute!M:M,data_brute!J:J,"&gt;="&amp;AE23,data_brute!J:J,"&lt;="&amp;AF23),NA())</f>
        <v>#N/A</v>
      </c>
      <c r="AH23" s="52" t="e">
        <f t="shared" si="3"/>
        <v>#N/A</v>
      </c>
      <c r="AK23" s="52">
        <f t="shared" si="4"/>
        <v>162</v>
      </c>
      <c r="AL23" s="52">
        <f t="shared" si="5"/>
        <v>171</v>
      </c>
      <c r="AM23" s="36">
        <f ca="1">IFERROR(AVERAGEIFS(data_brute!M:M,data_brute!J:J,"&lt;="&amp;AL23),NA())</f>
        <v>19.858252427184468</v>
      </c>
      <c r="AN23" s="52">
        <f t="shared" ca="1" si="6"/>
        <v>170</v>
      </c>
      <c r="AO23" s="9"/>
      <c r="AP23" s="2"/>
      <c r="AQ23" s="2"/>
      <c r="AR23" s="2"/>
      <c r="AS23" s="2"/>
      <c r="AT23" s="2"/>
      <c r="AU23" s="2"/>
      <c r="AX23" s="2"/>
      <c r="AY23" s="47"/>
      <c r="AZ23" s="48"/>
      <c r="BA23" s="2"/>
      <c r="BB23" s="2"/>
      <c r="BC23" s="2"/>
      <c r="BD23" s="2"/>
      <c r="BE23" s="2"/>
      <c r="BG23" s="2">
        <f ca="1"/>
        <v>72</v>
      </c>
      <c r="BH23" s="47">
        <f ca="1"/>
        <v>45693</v>
      </c>
      <c r="BI23" s="48">
        <f ca="1"/>
        <v>0.42964120370370368</v>
      </c>
      <c r="BJ23" s="2" t="str">
        <f ca="1"/>
        <v>22,6</v>
      </c>
      <c r="BK23" s="2">
        <f ca="1"/>
        <v>73</v>
      </c>
      <c r="BL23" s="2">
        <f ca="1"/>
        <v>2</v>
      </c>
      <c r="BM23" s="2">
        <f ca="1"/>
        <v>8.1</v>
      </c>
      <c r="BN23" s="2">
        <f ca="1"/>
        <v>14.500000000000002</v>
      </c>
    </row>
    <row r="24" spans="2:66" x14ac:dyDescent="0.2">
      <c r="AE24" s="52">
        <f t="shared" si="1"/>
        <v>172</v>
      </c>
      <c r="AF24" s="52">
        <f t="shared" si="2"/>
        <v>181</v>
      </c>
      <c r="AG24" s="36" t="e">
        <f>IFERROR(AVERAGEIFS(data_brute!M:M,data_brute!J:J,"&gt;="&amp;AE24,data_brute!J:J,"&lt;="&amp;AF24),NA())</f>
        <v>#N/A</v>
      </c>
      <c r="AH24" s="52" t="e">
        <f t="shared" si="3"/>
        <v>#N/A</v>
      </c>
      <c r="AK24" s="52">
        <f t="shared" si="4"/>
        <v>172</v>
      </c>
      <c r="AL24" s="52">
        <f t="shared" si="5"/>
        <v>181</v>
      </c>
      <c r="AM24" s="36">
        <f ca="1">IFERROR(AVERAGEIFS(data_brute!M:M,data_brute!J:J,"&lt;="&amp;AL24),NA())</f>
        <v>19.858252427184468</v>
      </c>
      <c r="AN24" s="52">
        <f t="shared" ca="1" si="6"/>
        <v>180</v>
      </c>
      <c r="AO24" s="9"/>
      <c r="AP24" s="2"/>
      <c r="AQ24" s="2"/>
      <c r="AR24" s="2"/>
      <c r="AS24" s="2"/>
      <c r="AT24" s="2"/>
      <c r="AU24" s="2"/>
      <c r="AX24" s="2"/>
      <c r="AY24" s="47"/>
      <c r="AZ24" s="48"/>
      <c r="BA24" s="2"/>
      <c r="BB24" s="2"/>
      <c r="BC24" s="2"/>
      <c r="BD24" s="2"/>
      <c r="BE24" s="2"/>
      <c r="BG24" s="2">
        <f ca="1"/>
        <v>73</v>
      </c>
      <c r="BH24" s="47">
        <f ca="1"/>
        <v>45693</v>
      </c>
      <c r="BI24" s="48">
        <f ca="1"/>
        <v>0.42964120370370368</v>
      </c>
      <c r="BJ24" s="2" t="str">
        <f ca="1"/>
        <v>22,6</v>
      </c>
      <c r="BK24" s="2">
        <f ca="1"/>
        <v>74</v>
      </c>
      <c r="BL24" s="2">
        <f ca="1"/>
        <v>2</v>
      </c>
      <c r="BM24" s="2">
        <f ca="1"/>
        <v>8.1</v>
      </c>
      <c r="BN24" s="2">
        <f ca="1"/>
        <v>14.500000000000002</v>
      </c>
    </row>
    <row r="25" spans="2:66" x14ac:dyDescent="0.2">
      <c r="B25" s="15" t="s">
        <v>24</v>
      </c>
      <c r="C25" s="17">
        <f>C4-C23</f>
        <v>19.7</v>
      </c>
      <c r="AE25" s="52">
        <f t="shared" si="1"/>
        <v>182</v>
      </c>
      <c r="AF25" s="52">
        <f t="shared" si="2"/>
        <v>191</v>
      </c>
      <c r="AG25" s="36" t="e">
        <f>IFERROR(AVERAGEIFS(data_brute!M:M,data_brute!J:J,"&gt;="&amp;AE25,data_brute!J:J,"&lt;="&amp;AF25),NA())</f>
        <v>#N/A</v>
      </c>
      <c r="AH25" s="52" t="e">
        <f t="shared" si="3"/>
        <v>#N/A</v>
      </c>
      <c r="AK25" s="52">
        <f t="shared" si="4"/>
        <v>182</v>
      </c>
      <c r="AL25" s="52">
        <f t="shared" si="5"/>
        <v>191</v>
      </c>
      <c r="AM25" s="36">
        <f ca="1">IFERROR(AVERAGEIFS(data_brute!M:M,data_brute!J:J,"&lt;="&amp;AL25),NA())</f>
        <v>19.858252427184468</v>
      </c>
      <c r="AN25" s="52">
        <f t="shared" ca="1" si="6"/>
        <v>190</v>
      </c>
      <c r="AO25" s="9"/>
      <c r="AP25" s="2"/>
      <c r="AQ25" s="2"/>
      <c r="AR25" s="2"/>
      <c r="AS25" s="2"/>
      <c r="AT25" s="2"/>
      <c r="AU25" s="2"/>
      <c r="AX25" s="2"/>
      <c r="AY25" s="47"/>
      <c r="AZ25" s="48"/>
      <c r="BA25" s="2"/>
      <c r="BB25" s="2"/>
      <c r="BC25" s="2"/>
      <c r="BD25" s="2"/>
      <c r="BE25" s="2"/>
      <c r="BG25" s="2">
        <f ca="1"/>
        <v>84</v>
      </c>
      <c r="BH25" s="47">
        <f ca="1"/>
        <v>45693</v>
      </c>
      <c r="BI25" s="48">
        <f ca="1"/>
        <v>0.42964120370370368</v>
      </c>
      <c r="BJ25" s="2" t="str">
        <f ca="1"/>
        <v>22,6</v>
      </c>
      <c r="BK25" s="2">
        <f ca="1"/>
        <v>85</v>
      </c>
      <c r="BL25" s="2">
        <f ca="1"/>
        <v>2</v>
      </c>
      <c r="BM25" s="2">
        <f ca="1"/>
        <v>8.1</v>
      </c>
      <c r="BN25" s="2">
        <f ca="1"/>
        <v>14.500000000000002</v>
      </c>
    </row>
    <row r="26" spans="2:66" x14ac:dyDescent="0.2">
      <c r="B26" s="10" t="s">
        <v>25</v>
      </c>
      <c r="C26" s="38">
        <f>C4+C23</f>
        <v>20.3</v>
      </c>
      <c r="AE26" s="52">
        <f t="shared" si="1"/>
        <v>192</v>
      </c>
      <c r="AF26" s="52">
        <f t="shared" si="2"/>
        <v>201</v>
      </c>
      <c r="AG26" s="36" t="e">
        <f>IFERROR(AVERAGEIFS(data_brute!M:M,data_brute!J:J,"&gt;="&amp;AE26,data_brute!J:J,"&lt;="&amp;AF26),NA())</f>
        <v>#N/A</v>
      </c>
      <c r="AH26" s="52" t="e">
        <f t="shared" si="3"/>
        <v>#N/A</v>
      </c>
      <c r="AK26" s="52">
        <f t="shared" si="4"/>
        <v>192</v>
      </c>
      <c r="AL26" s="52">
        <f t="shared" si="5"/>
        <v>201</v>
      </c>
      <c r="AM26" s="36">
        <f ca="1">IFERROR(AVERAGEIFS(data_brute!M:M,data_brute!J:J,"&lt;="&amp;AL26),NA())</f>
        <v>19.858252427184468</v>
      </c>
      <c r="AN26" s="52">
        <f t="shared" ca="1" si="6"/>
        <v>200</v>
      </c>
      <c r="AO26" s="9"/>
      <c r="AP26" s="2"/>
      <c r="AQ26" s="2"/>
      <c r="AR26" s="2"/>
      <c r="AS26" s="2"/>
      <c r="AT26" s="2"/>
      <c r="AU26" s="2"/>
      <c r="AX26" s="2"/>
      <c r="AY26" s="47"/>
      <c r="AZ26" s="48"/>
      <c r="BA26" s="2"/>
      <c r="BB26" s="2"/>
      <c r="BC26" s="2"/>
      <c r="BD26" s="2"/>
      <c r="BE26" s="2"/>
      <c r="BG26" s="2">
        <f ca="1"/>
        <v>85</v>
      </c>
      <c r="BH26" s="47">
        <f ca="1"/>
        <v>45693</v>
      </c>
      <c r="BI26" s="48">
        <f ca="1"/>
        <v>0.42964120370370368</v>
      </c>
      <c r="BJ26" s="2" t="str">
        <f ca="1"/>
        <v>22,6</v>
      </c>
      <c r="BK26" s="2">
        <f ca="1"/>
        <v>86</v>
      </c>
      <c r="BL26" s="2">
        <f ca="1"/>
        <v>2</v>
      </c>
      <c r="BM26" s="2">
        <f ca="1"/>
        <v>8.1</v>
      </c>
      <c r="BN26" s="2">
        <f ca="1"/>
        <v>14.500000000000002</v>
      </c>
    </row>
    <row r="27" spans="2:66" x14ac:dyDescent="0.2">
      <c r="AE27" s="52">
        <f t="shared" si="1"/>
        <v>202</v>
      </c>
      <c r="AF27" s="52">
        <f t="shared" si="2"/>
        <v>211</v>
      </c>
      <c r="AG27" s="36" t="e">
        <f>IFERROR(AVERAGEIFS(data_brute!M:M,data_brute!J:J,"&gt;="&amp;AE27,data_brute!J:J,"&lt;="&amp;AF27),NA())</f>
        <v>#N/A</v>
      </c>
      <c r="AH27" s="52" t="e">
        <f t="shared" si="3"/>
        <v>#N/A</v>
      </c>
      <c r="AK27" s="52">
        <f t="shared" si="4"/>
        <v>202</v>
      </c>
      <c r="AL27" s="52">
        <f t="shared" si="5"/>
        <v>211</v>
      </c>
      <c r="AM27" s="36">
        <f ca="1">IFERROR(AVERAGEIFS(data_brute!M:M,data_brute!J:J,"&lt;="&amp;AL27),NA())</f>
        <v>19.858252427184468</v>
      </c>
      <c r="AN27" s="52">
        <f t="shared" ca="1" si="6"/>
        <v>210</v>
      </c>
      <c r="AO27" s="9"/>
      <c r="AP27" s="2"/>
      <c r="AQ27" s="2"/>
      <c r="AR27" s="2"/>
      <c r="AS27" s="2"/>
      <c r="AT27" s="2"/>
      <c r="AU27" s="2"/>
      <c r="AX27" s="2"/>
      <c r="AY27" s="47"/>
      <c r="AZ27" s="48"/>
      <c r="BA27" s="2"/>
      <c r="BB27" s="2"/>
      <c r="BC27" s="2"/>
      <c r="BD27" s="2"/>
      <c r="BE27" s="2"/>
      <c r="BG27" s="2">
        <f ca="1"/>
        <v>86</v>
      </c>
      <c r="BH27" s="47">
        <f ca="1"/>
        <v>45693</v>
      </c>
      <c r="BI27" s="48">
        <f ca="1"/>
        <v>0.42964120370370368</v>
      </c>
      <c r="BJ27" s="2" t="str">
        <f ca="1"/>
        <v>22,6</v>
      </c>
      <c r="BK27" s="2">
        <f ca="1"/>
        <v>87</v>
      </c>
      <c r="BL27" s="2">
        <f ca="1"/>
        <v>2</v>
      </c>
      <c r="BM27" s="2">
        <f ca="1"/>
        <v>8.1</v>
      </c>
      <c r="BN27" s="2">
        <f ca="1"/>
        <v>14.500000000000002</v>
      </c>
    </row>
    <row r="28" spans="2:66" x14ac:dyDescent="0.2">
      <c r="B28" s="2"/>
      <c r="C28" s="2"/>
      <c r="AE28" s="52">
        <f t="shared" si="1"/>
        <v>212</v>
      </c>
      <c r="AF28" s="52">
        <f t="shared" si="2"/>
        <v>221</v>
      </c>
      <c r="AG28" s="36" t="e">
        <f>IFERROR(AVERAGEIFS(data_brute!M:M,data_brute!J:J,"&gt;="&amp;AE28,data_brute!J:J,"&lt;="&amp;AF28),NA())</f>
        <v>#N/A</v>
      </c>
      <c r="AH28" s="52" t="e">
        <f t="shared" si="3"/>
        <v>#N/A</v>
      </c>
      <c r="AK28" s="52">
        <f t="shared" si="4"/>
        <v>212</v>
      </c>
      <c r="AL28" s="52">
        <f t="shared" si="5"/>
        <v>221</v>
      </c>
      <c r="AM28" s="36">
        <f ca="1">IFERROR(AVERAGEIFS(data_brute!M:M,data_brute!J:J,"&lt;="&amp;AL28),NA())</f>
        <v>19.858252427184468</v>
      </c>
      <c r="AN28" s="52">
        <f t="shared" ca="1" si="6"/>
        <v>220</v>
      </c>
      <c r="AO28" s="9"/>
      <c r="AP28" s="2"/>
      <c r="AQ28" s="2"/>
      <c r="AR28" s="2"/>
      <c r="AS28" s="2"/>
      <c r="AT28" s="2"/>
      <c r="AU28" s="2"/>
      <c r="AX28" s="2"/>
      <c r="AY28" s="47"/>
      <c r="AZ28" s="48"/>
      <c r="BA28" s="2"/>
      <c r="BB28" s="2"/>
      <c r="BC28" s="2"/>
      <c r="BD28" s="2"/>
      <c r="BE28" s="2"/>
      <c r="BG28" s="2">
        <f ca="1"/>
        <v>87</v>
      </c>
      <c r="BH28" s="47">
        <f ca="1"/>
        <v>45693</v>
      </c>
      <c r="BI28" s="48">
        <f ca="1"/>
        <v>0.42964120370370368</v>
      </c>
      <c r="BJ28" s="2" t="str">
        <f ca="1"/>
        <v>22,6</v>
      </c>
      <c r="BK28" s="2">
        <f ca="1"/>
        <v>88</v>
      </c>
      <c r="BL28" s="2">
        <f ca="1"/>
        <v>2</v>
      </c>
      <c r="BM28" s="2">
        <f ca="1"/>
        <v>8.1</v>
      </c>
      <c r="BN28" s="2">
        <f ca="1"/>
        <v>14.500000000000002</v>
      </c>
    </row>
    <row r="29" spans="2:66" x14ac:dyDescent="0.2">
      <c r="B29" s="2"/>
      <c r="C29" s="2"/>
      <c r="AE29" s="52">
        <f t="shared" si="1"/>
        <v>222</v>
      </c>
      <c r="AF29" s="52">
        <f t="shared" si="2"/>
        <v>231</v>
      </c>
      <c r="AG29" s="36" t="e">
        <f>IFERROR(AVERAGEIFS(data_brute!M:M,data_brute!J:J,"&gt;="&amp;AE29,data_brute!J:J,"&lt;="&amp;AF29),NA())</f>
        <v>#N/A</v>
      </c>
      <c r="AH29" s="52" t="e">
        <f t="shared" si="3"/>
        <v>#N/A</v>
      </c>
      <c r="AK29" s="52">
        <f t="shared" si="4"/>
        <v>222</v>
      </c>
      <c r="AL29" s="52">
        <f t="shared" si="5"/>
        <v>231</v>
      </c>
      <c r="AM29" s="36">
        <f ca="1">IFERROR(AVERAGEIFS(data_brute!M:M,data_brute!J:J,"&lt;="&amp;AL29),NA())</f>
        <v>19.858252427184468</v>
      </c>
      <c r="AN29" s="52">
        <f t="shared" ca="1" si="6"/>
        <v>230</v>
      </c>
      <c r="AO29" s="9"/>
      <c r="AP29" s="2"/>
      <c r="AQ29" s="2"/>
      <c r="AR29" s="2"/>
      <c r="AS29" s="2"/>
      <c r="AT29" s="2"/>
      <c r="AU29" s="2"/>
      <c r="AX29" s="2"/>
      <c r="AY29" s="47"/>
      <c r="AZ29" s="48"/>
      <c r="BA29" s="2"/>
      <c r="BB29" s="2"/>
      <c r="BC29" s="2"/>
      <c r="BD29" s="2"/>
      <c r="BE29" s="2"/>
      <c r="BG29" s="2">
        <f ca="1"/>
        <v>88</v>
      </c>
      <c r="BH29" s="47">
        <f ca="1"/>
        <v>45693</v>
      </c>
      <c r="BI29" s="48">
        <f ca="1"/>
        <v>0.42964120370370368</v>
      </c>
      <c r="BJ29" s="2" t="str">
        <f ca="1"/>
        <v>22,6</v>
      </c>
      <c r="BK29" s="2">
        <f ca="1"/>
        <v>89</v>
      </c>
      <c r="BL29" s="2">
        <f ca="1"/>
        <v>2</v>
      </c>
      <c r="BM29" s="2">
        <f ca="1"/>
        <v>8.1</v>
      </c>
      <c r="BN29" s="2">
        <f ca="1"/>
        <v>14.500000000000002</v>
      </c>
    </row>
    <row r="30" spans="2:66" x14ac:dyDescent="0.2">
      <c r="AE30" s="52">
        <f t="shared" si="1"/>
        <v>232</v>
      </c>
      <c r="AF30" s="52">
        <f t="shared" si="2"/>
        <v>241</v>
      </c>
      <c r="AG30" s="36" t="e">
        <f>IFERROR(AVERAGEIFS(data_brute!M:M,data_brute!J:J,"&gt;="&amp;AE30,data_brute!J:J,"&lt;="&amp;AF30),NA())</f>
        <v>#N/A</v>
      </c>
      <c r="AH30" s="52" t="e">
        <f t="shared" si="3"/>
        <v>#N/A</v>
      </c>
      <c r="AK30" s="52">
        <f t="shared" si="4"/>
        <v>232</v>
      </c>
      <c r="AL30" s="52">
        <f t="shared" si="5"/>
        <v>241</v>
      </c>
      <c r="AM30" s="36">
        <f ca="1">IFERROR(AVERAGEIFS(data_brute!M:M,data_brute!J:J,"&lt;="&amp;AL30),NA())</f>
        <v>19.858252427184468</v>
      </c>
      <c r="AN30" s="52">
        <f t="shared" ca="1" si="6"/>
        <v>240</v>
      </c>
      <c r="AO30" s="9"/>
      <c r="AP30" s="2"/>
      <c r="AQ30" s="2"/>
      <c r="AR30" s="2"/>
      <c r="AS30" s="2"/>
      <c r="AT30" s="2"/>
      <c r="AU30" s="2"/>
      <c r="AX30" s="2"/>
      <c r="AY30" s="47"/>
      <c r="AZ30" s="48"/>
      <c r="BA30" s="2"/>
      <c r="BB30" s="2"/>
      <c r="BC30" s="2"/>
      <c r="BD30" s="2"/>
      <c r="BE30" s="2"/>
      <c r="BG30" s="2">
        <f ca="1"/>
        <v>95</v>
      </c>
      <c r="BH30" s="47">
        <f ca="1"/>
        <v>45693</v>
      </c>
      <c r="BI30" s="48">
        <f ca="1"/>
        <v>0.42964120370370368</v>
      </c>
      <c r="BJ30" s="2" t="str">
        <f ca="1"/>
        <v>22,6</v>
      </c>
      <c r="BK30" s="2">
        <f ca="1"/>
        <v>96</v>
      </c>
      <c r="BL30" s="2">
        <f ca="1"/>
        <v>2</v>
      </c>
      <c r="BM30" s="2">
        <f ca="1"/>
        <v>8.1</v>
      </c>
      <c r="BN30" s="2">
        <f ca="1"/>
        <v>14.500000000000002</v>
      </c>
    </row>
    <row r="31" spans="2:66" x14ac:dyDescent="0.2">
      <c r="B31" s="29"/>
      <c r="AE31" s="52">
        <f t="shared" si="1"/>
        <v>242</v>
      </c>
      <c r="AF31" s="52">
        <f t="shared" si="2"/>
        <v>251</v>
      </c>
      <c r="AG31" s="36" t="e">
        <f>IFERROR(AVERAGEIFS(data_brute!M:M,data_brute!J:J,"&gt;="&amp;AE31,data_brute!J:J,"&lt;="&amp;AF31),NA())</f>
        <v>#N/A</v>
      </c>
      <c r="AH31" s="52" t="e">
        <f t="shared" si="3"/>
        <v>#N/A</v>
      </c>
      <c r="AK31" s="52">
        <f t="shared" si="4"/>
        <v>242</v>
      </c>
      <c r="AL31" s="52">
        <f t="shared" si="5"/>
        <v>251</v>
      </c>
      <c r="AM31" s="36">
        <f ca="1">IFERROR(AVERAGEIFS(data_brute!M:M,data_brute!J:J,"&lt;="&amp;AL31),NA())</f>
        <v>19.858252427184468</v>
      </c>
      <c r="AN31" s="52">
        <f t="shared" ca="1" si="6"/>
        <v>250</v>
      </c>
      <c r="AO31" s="9"/>
      <c r="AP31" s="2"/>
      <c r="AQ31" s="2"/>
      <c r="AR31" s="2"/>
      <c r="AS31" s="2"/>
      <c r="AT31" s="2"/>
      <c r="AU31" s="2"/>
      <c r="AX31" s="2"/>
      <c r="AY31" s="47"/>
      <c r="AZ31" s="48"/>
      <c r="BA31" s="2"/>
      <c r="BB31" s="2"/>
      <c r="BC31" s="2"/>
      <c r="BD31" s="2"/>
      <c r="BE31" s="2"/>
      <c r="BG31" s="2">
        <f ca="1"/>
        <v>96</v>
      </c>
      <c r="BH31" s="47">
        <f ca="1"/>
        <v>45693</v>
      </c>
      <c r="BI31" s="48">
        <f ca="1"/>
        <v>0.42964120370370368</v>
      </c>
      <c r="BJ31" s="2" t="str">
        <f ca="1"/>
        <v>22,6</v>
      </c>
      <c r="BK31" s="2">
        <f ca="1"/>
        <v>97</v>
      </c>
      <c r="BL31" s="2">
        <f ca="1"/>
        <v>2</v>
      </c>
      <c r="BM31" s="2">
        <f ca="1"/>
        <v>8.1</v>
      </c>
      <c r="BN31" s="2">
        <f ca="1"/>
        <v>14.500000000000002</v>
      </c>
    </row>
    <row r="32" spans="2:66" x14ac:dyDescent="0.2">
      <c r="AE32" s="52">
        <f t="shared" si="1"/>
        <v>252</v>
      </c>
      <c r="AF32" s="52">
        <f t="shared" si="2"/>
        <v>261</v>
      </c>
      <c r="AG32" s="36" t="e">
        <f>IFERROR(AVERAGEIFS(data_brute!M:M,data_brute!J:J,"&gt;="&amp;AE32,data_brute!J:J,"&lt;="&amp;AF32),NA())</f>
        <v>#N/A</v>
      </c>
      <c r="AH32" s="52" t="e">
        <f t="shared" si="3"/>
        <v>#N/A</v>
      </c>
      <c r="AK32" s="52">
        <f t="shared" si="4"/>
        <v>252</v>
      </c>
      <c r="AL32" s="52">
        <f t="shared" si="5"/>
        <v>261</v>
      </c>
      <c r="AM32" s="36">
        <f ca="1">IFERROR(AVERAGEIFS(data_brute!M:M,data_brute!J:J,"&lt;="&amp;AL32),NA())</f>
        <v>19.858252427184468</v>
      </c>
      <c r="AN32" s="52">
        <f t="shared" ca="1" si="6"/>
        <v>260</v>
      </c>
      <c r="AO32" s="9"/>
      <c r="AP32" s="2"/>
      <c r="AQ32" s="2"/>
      <c r="AR32" s="2"/>
      <c r="AS32" s="2"/>
      <c r="AT32" s="2"/>
      <c r="AU32" s="2"/>
      <c r="AX32" s="2"/>
      <c r="AY32" s="47"/>
      <c r="AZ32" s="48"/>
      <c r="BA32" s="2"/>
      <c r="BB32" s="2"/>
      <c r="BC32" s="2"/>
      <c r="BD32" s="2"/>
      <c r="BE32" s="2"/>
    </row>
    <row r="33" spans="11:61" x14ac:dyDescent="0.2">
      <c r="AE33" s="52">
        <f t="shared" si="1"/>
        <v>262</v>
      </c>
      <c r="AF33" s="52">
        <f t="shared" si="2"/>
        <v>271</v>
      </c>
      <c r="AG33" s="36" t="e">
        <f>IFERROR(AVERAGEIFS(data_brute!M:M,data_brute!J:J,"&gt;="&amp;AE33,data_brute!J:J,"&lt;="&amp;AF33),NA())</f>
        <v>#N/A</v>
      </c>
      <c r="AH33" s="52" t="e">
        <f t="shared" si="3"/>
        <v>#N/A</v>
      </c>
      <c r="AK33" s="52">
        <f t="shared" si="4"/>
        <v>262</v>
      </c>
      <c r="AL33" s="52">
        <f t="shared" si="5"/>
        <v>271</v>
      </c>
      <c r="AM33" s="36">
        <f ca="1">IFERROR(AVERAGEIFS(data_brute!M:M,data_brute!J:J,"&lt;="&amp;AL33),NA())</f>
        <v>19.858252427184468</v>
      </c>
      <c r="AN33" s="52">
        <f t="shared" ca="1" si="6"/>
        <v>270</v>
      </c>
      <c r="AO33" s="9"/>
      <c r="AP33" s="2"/>
      <c r="AQ33" s="2"/>
      <c r="AR33" s="2"/>
      <c r="AS33" s="2"/>
      <c r="AT33" s="2"/>
      <c r="AU33" s="2"/>
      <c r="AX33" s="2"/>
      <c r="AY33" s="47"/>
      <c r="AZ33" s="48"/>
      <c r="BA33" s="2"/>
      <c r="BB33" s="2"/>
      <c r="BC33" s="2"/>
      <c r="BD33" s="2"/>
      <c r="BE33" s="2"/>
    </row>
    <row r="34" spans="11:61" s="2" customFormat="1" x14ac:dyDescent="0.2">
      <c r="K34" s="9"/>
      <c r="S34" s="9"/>
      <c r="AB34" s="36"/>
      <c r="AC34" s="9"/>
      <c r="AE34" s="52">
        <f t="shared" si="1"/>
        <v>272</v>
      </c>
      <c r="AF34" s="52">
        <f t="shared" si="2"/>
        <v>281</v>
      </c>
      <c r="AG34" s="36" t="e">
        <f>IFERROR(AVERAGEIFS(data_brute!M:M,data_brute!J:J,"&gt;="&amp;AE34,data_brute!J:J,"&lt;="&amp;AF34),NA())</f>
        <v>#N/A</v>
      </c>
      <c r="AH34" s="52" t="e">
        <f t="shared" si="3"/>
        <v>#N/A</v>
      </c>
      <c r="AI34" s="9"/>
      <c r="AK34" s="52">
        <f t="shared" si="4"/>
        <v>272</v>
      </c>
      <c r="AL34" s="52">
        <f t="shared" si="5"/>
        <v>281</v>
      </c>
      <c r="AM34" s="36">
        <f ca="1">IFERROR(AVERAGEIFS(data_brute!M:M,data_brute!J:J,"&lt;="&amp;AL34),NA())</f>
        <v>19.858252427184468</v>
      </c>
      <c r="AN34" s="52">
        <f t="shared" ca="1" si="6"/>
        <v>280</v>
      </c>
      <c r="AO34" s="9"/>
      <c r="AV34" s="9"/>
      <c r="AY34" s="47"/>
      <c r="AZ34" s="48"/>
      <c r="BH34" s="47"/>
      <c r="BI34" s="48"/>
    </row>
    <row r="35" spans="11:61" x14ac:dyDescent="0.2">
      <c r="AE35" s="52">
        <f t="shared" si="1"/>
        <v>282</v>
      </c>
      <c r="AF35" s="52">
        <f t="shared" si="2"/>
        <v>291</v>
      </c>
      <c r="AG35" s="36" t="e">
        <f>IFERROR(AVERAGEIFS(data_brute!M:M,data_brute!J:J,"&gt;="&amp;AE35,data_brute!J:J,"&lt;="&amp;AF35),NA())</f>
        <v>#N/A</v>
      </c>
      <c r="AH35" s="52" t="e">
        <f t="shared" si="3"/>
        <v>#N/A</v>
      </c>
      <c r="AK35" s="52">
        <f t="shared" si="4"/>
        <v>282</v>
      </c>
      <c r="AL35" s="52">
        <f t="shared" si="5"/>
        <v>291</v>
      </c>
      <c r="AM35" s="36">
        <f ca="1">IFERROR(AVERAGEIFS(data_brute!M:M,data_brute!J:J,"&lt;="&amp;AL35),NA())</f>
        <v>19.858252427184468</v>
      </c>
      <c r="AN35" s="52">
        <f t="shared" ca="1" si="6"/>
        <v>290</v>
      </c>
      <c r="AO35" s="9"/>
      <c r="AP35" s="2"/>
      <c r="AQ35" s="2"/>
      <c r="AR35" s="2"/>
      <c r="AS35" s="2"/>
      <c r="AT35" s="2"/>
      <c r="AU35" s="2"/>
      <c r="AX35" s="2"/>
      <c r="AY35" s="47"/>
      <c r="AZ35" s="48"/>
      <c r="BA35" s="2"/>
      <c r="BB35" s="2"/>
      <c r="BC35" s="2"/>
      <c r="BD35" s="2"/>
      <c r="BE35" s="2"/>
    </row>
    <row r="36" spans="11:61" x14ac:dyDescent="0.2">
      <c r="AE36" s="52">
        <f t="shared" si="1"/>
        <v>292</v>
      </c>
      <c r="AF36" s="52">
        <f t="shared" si="2"/>
        <v>301</v>
      </c>
      <c r="AG36" s="36" t="e">
        <f>IFERROR(AVERAGEIFS(data_brute!M:M,data_brute!J:J,"&gt;="&amp;AE36,data_brute!J:J,"&lt;="&amp;AF36),NA())</f>
        <v>#N/A</v>
      </c>
      <c r="AH36" s="52" t="e">
        <f t="shared" si="3"/>
        <v>#N/A</v>
      </c>
      <c r="AK36" s="52">
        <f t="shared" si="4"/>
        <v>292</v>
      </c>
      <c r="AL36" s="52">
        <f t="shared" si="5"/>
        <v>301</v>
      </c>
      <c r="AM36" s="36">
        <f ca="1">IFERROR(AVERAGEIFS(data_brute!M:M,data_brute!J:J,"&lt;="&amp;AL36),NA())</f>
        <v>19.858252427184468</v>
      </c>
      <c r="AN36" s="52">
        <f t="shared" ca="1" si="6"/>
        <v>300</v>
      </c>
      <c r="AO36" s="9"/>
      <c r="AP36" s="2"/>
      <c r="AQ36" s="2"/>
      <c r="AR36" s="2"/>
      <c r="AS36" s="2"/>
      <c r="AT36" s="2"/>
      <c r="AU36" s="2"/>
      <c r="AX36" s="2"/>
      <c r="AY36" s="47"/>
      <c r="AZ36" s="48"/>
      <c r="BA36" s="2"/>
      <c r="BB36" s="2"/>
      <c r="BC36" s="2"/>
      <c r="BD36" s="2"/>
      <c r="BE36" s="2"/>
    </row>
    <row r="37" spans="11:61" x14ac:dyDescent="0.2">
      <c r="AE37" s="52">
        <f t="shared" si="1"/>
        <v>302</v>
      </c>
      <c r="AF37" s="52">
        <f t="shared" si="2"/>
        <v>311</v>
      </c>
      <c r="AG37" s="36" t="e">
        <f>IFERROR(AVERAGEIFS(data_brute!M:M,data_brute!J:J,"&gt;="&amp;AE37,data_brute!J:J,"&lt;="&amp;AF37),NA())</f>
        <v>#N/A</v>
      </c>
      <c r="AH37" s="52" t="e">
        <f t="shared" si="3"/>
        <v>#N/A</v>
      </c>
      <c r="AK37" s="52">
        <f t="shared" si="4"/>
        <v>302</v>
      </c>
      <c r="AL37" s="52">
        <f t="shared" si="5"/>
        <v>311</v>
      </c>
      <c r="AM37" s="36">
        <f ca="1">IFERROR(AVERAGEIFS(data_brute!M:M,data_brute!J:J,"&lt;="&amp;AL37),NA())</f>
        <v>19.858252427184468</v>
      </c>
      <c r="AN37" s="52">
        <f t="shared" ca="1" si="6"/>
        <v>310</v>
      </c>
      <c r="AO37" s="9"/>
      <c r="AP37" s="2"/>
      <c r="AQ37" s="2"/>
      <c r="AR37" s="2"/>
      <c r="AS37" s="2"/>
      <c r="AT37" s="2"/>
      <c r="AU37" s="2"/>
      <c r="AX37" s="2"/>
      <c r="AY37" s="47"/>
      <c r="AZ37" s="48"/>
      <c r="BA37" s="2"/>
      <c r="BB37" s="2"/>
      <c r="BC37" s="2"/>
      <c r="BD37" s="2"/>
      <c r="BE37" s="2"/>
    </row>
    <row r="38" spans="11:61" x14ac:dyDescent="0.2">
      <c r="AE38" s="52">
        <f t="shared" si="1"/>
        <v>312</v>
      </c>
      <c r="AF38" s="52">
        <f t="shared" si="2"/>
        <v>321</v>
      </c>
      <c r="AG38" s="36" t="e">
        <f>IFERROR(AVERAGEIFS(data_brute!M:M,data_brute!J:J,"&gt;="&amp;AE38,data_brute!J:J,"&lt;="&amp;AF38),NA())</f>
        <v>#N/A</v>
      </c>
      <c r="AH38" s="52" t="e">
        <f t="shared" si="3"/>
        <v>#N/A</v>
      </c>
      <c r="AK38" s="52">
        <f t="shared" si="4"/>
        <v>312</v>
      </c>
      <c r="AL38" s="52">
        <f t="shared" si="5"/>
        <v>321</v>
      </c>
      <c r="AM38" s="36">
        <f ca="1">IFERROR(AVERAGEIFS(data_brute!M:M,data_brute!J:J,"&lt;="&amp;AL38),NA())</f>
        <v>19.858252427184468</v>
      </c>
      <c r="AN38" s="52">
        <f t="shared" ca="1" si="6"/>
        <v>320</v>
      </c>
      <c r="AO38" s="9"/>
      <c r="AP38" s="2"/>
      <c r="AQ38" s="2"/>
      <c r="AR38" s="2"/>
      <c r="AS38" s="2"/>
      <c r="AT38" s="2"/>
      <c r="AU38" s="2"/>
      <c r="AX38" s="2"/>
      <c r="AY38" s="47"/>
      <c r="AZ38" s="48"/>
      <c r="BA38" s="2"/>
      <c r="BB38" s="2"/>
      <c r="BC38" s="2"/>
      <c r="BD38" s="2"/>
      <c r="BE38" s="2"/>
    </row>
    <row r="39" spans="11:61" x14ac:dyDescent="0.2">
      <c r="AE39" s="52">
        <f t="shared" si="1"/>
        <v>322</v>
      </c>
      <c r="AF39" s="52">
        <f t="shared" si="2"/>
        <v>331</v>
      </c>
      <c r="AG39" s="36" t="e">
        <f>IFERROR(AVERAGEIFS(data_brute!M:M,data_brute!J:J,"&gt;="&amp;AE39,data_brute!J:J,"&lt;="&amp;AF39),NA())</f>
        <v>#N/A</v>
      </c>
      <c r="AH39" s="52" t="e">
        <f t="shared" si="3"/>
        <v>#N/A</v>
      </c>
      <c r="AK39" s="52">
        <f t="shared" si="4"/>
        <v>322</v>
      </c>
      <c r="AL39" s="52">
        <f t="shared" si="5"/>
        <v>331</v>
      </c>
      <c r="AM39" s="36">
        <f ca="1">IFERROR(AVERAGEIFS(data_brute!M:M,data_brute!J:J,"&lt;="&amp;AL39),NA())</f>
        <v>19.858252427184468</v>
      </c>
      <c r="AN39" s="52">
        <f t="shared" ca="1" si="6"/>
        <v>330</v>
      </c>
      <c r="AX39" s="2"/>
      <c r="AY39" s="47"/>
      <c r="AZ39" s="48"/>
      <c r="BA39" s="2"/>
      <c r="BB39" s="2"/>
      <c r="BC39" s="2"/>
      <c r="BD39" s="2"/>
      <c r="BE39" s="2"/>
    </row>
    <row r="40" spans="11:61" x14ac:dyDescent="0.2">
      <c r="AE40" s="52">
        <f t="shared" si="1"/>
        <v>332</v>
      </c>
      <c r="AF40" s="52">
        <f t="shared" si="2"/>
        <v>341</v>
      </c>
      <c r="AG40" s="36" t="e">
        <f>IFERROR(AVERAGEIFS(data_brute!M:M,data_brute!J:J,"&gt;="&amp;AE40,data_brute!J:J,"&lt;="&amp;AF40),NA())</f>
        <v>#N/A</v>
      </c>
      <c r="AH40" s="52" t="e">
        <f t="shared" si="3"/>
        <v>#N/A</v>
      </c>
      <c r="AK40" s="52">
        <f t="shared" si="4"/>
        <v>332</v>
      </c>
      <c r="AL40" s="52">
        <f t="shared" si="5"/>
        <v>341</v>
      </c>
      <c r="AM40" s="36">
        <f ca="1">IFERROR(AVERAGEIFS(data_brute!M:M,data_brute!J:J,"&lt;="&amp;AL40),NA())</f>
        <v>19.858252427184468</v>
      </c>
      <c r="AN40" s="52">
        <f t="shared" ca="1" si="6"/>
        <v>340</v>
      </c>
      <c r="AX40" s="2"/>
      <c r="AY40" s="47"/>
      <c r="AZ40" s="48"/>
      <c r="BA40" s="2"/>
      <c r="BB40" s="2"/>
      <c r="BC40" s="2"/>
      <c r="BD40" s="2"/>
      <c r="BE40" s="2"/>
    </row>
    <row r="41" spans="11:61" x14ac:dyDescent="0.2">
      <c r="AE41" s="52">
        <f t="shared" si="1"/>
        <v>342</v>
      </c>
      <c r="AF41" s="52">
        <f t="shared" si="2"/>
        <v>351</v>
      </c>
      <c r="AG41" s="36" t="e">
        <f>IFERROR(AVERAGEIFS(data_brute!M:M,data_brute!J:J,"&gt;="&amp;AE41,data_brute!J:J,"&lt;="&amp;AF41),NA())</f>
        <v>#N/A</v>
      </c>
      <c r="AH41" s="52" t="e">
        <f t="shared" si="3"/>
        <v>#N/A</v>
      </c>
      <c r="AK41" s="52">
        <f t="shared" si="4"/>
        <v>342</v>
      </c>
      <c r="AL41" s="52">
        <f t="shared" si="5"/>
        <v>351</v>
      </c>
      <c r="AM41" s="36">
        <f ca="1">IFERROR(AVERAGEIFS(data_brute!M:M,data_brute!J:J,"&lt;="&amp;AL41),NA())</f>
        <v>19.858252427184468</v>
      </c>
      <c r="AN41" s="52">
        <f t="shared" ca="1" si="6"/>
        <v>350</v>
      </c>
      <c r="AX41" s="2"/>
      <c r="AY41" s="47"/>
      <c r="AZ41" s="48"/>
      <c r="BA41" s="2"/>
      <c r="BB41" s="2"/>
      <c r="BC41" s="2"/>
      <c r="BD41" s="2"/>
      <c r="BE41" s="2"/>
    </row>
    <row r="42" spans="11:61" x14ac:dyDescent="0.2">
      <c r="AE42" s="52">
        <f t="shared" si="1"/>
        <v>352</v>
      </c>
      <c r="AF42" s="52">
        <f t="shared" si="2"/>
        <v>361</v>
      </c>
      <c r="AG42" s="36" t="e">
        <f>IFERROR(AVERAGEIFS(data_brute!M:M,data_brute!J:J,"&gt;="&amp;AE42,data_brute!J:J,"&lt;="&amp;AF42),NA())</f>
        <v>#N/A</v>
      </c>
      <c r="AH42" s="52" t="e">
        <f t="shared" si="3"/>
        <v>#N/A</v>
      </c>
      <c r="AK42" s="52">
        <f t="shared" si="4"/>
        <v>352</v>
      </c>
      <c r="AL42" s="52">
        <f t="shared" si="5"/>
        <v>361</v>
      </c>
      <c r="AM42" s="36">
        <f ca="1">IFERROR(AVERAGEIFS(data_brute!M:M,data_brute!J:J,"&lt;="&amp;AL42),NA())</f>
        <v>19.858252427184468</v>
      </c>
      <c r="AN42" s="52">
        <f t="shared" ca="1" si="6"/>
        <v>360</v>
      </c>
      <c r="AX42" s="2"/>
      <c r="AY42" s="47"/>
      <c r="AZ42" s="48"/>
      <c r="BA42" s="2"/>
      <c r="BB42" s="2"/>
      <c r="BC42" s="2"/>
      <c r="BD42" s="2"/>
      <c r="BE42" s="2"/>
    </row>
    <row r="43" spans="11:61" x14ac:dyDescent="0.2">
      <c r="AE43" s="2"/>
      <c r="AF43" s="2"/>
      <c r="AG43" s="36"/>
      <c r="AH43" s="52"/>
      <c r="AX43" s="2"/>
      <c r="AY43" s="47"/>
      <c r="AZ43" s="48"/>
      <c r="BA43" s="2"/>
      <c r="BB43" s="2"/>
      <c r="BC43" s="2"/>
      <c r="BD43" s="2"/>
      <c r="BE43" s="2"/>
    </row>
    <row r="44" spans="11:61" x14ac:dyDescent="0.2">
      <c r="AE44" s="2"/>
      <c r="AF44" s="2"/>
      <c r="AG44" s="36"/>
      <c r="AH44" s="52"/>
      <c r="AX44" s="2"/>
      <c r="AY44" s="47"/>
      <c r="AZ44" s="48"/>
      <c r="BA44" s="2"/>
      <c r="BB44" s="2"/>
      <c r="BC44" s="2"/>
      <c r="BD44" s="2"/>
      <c r="BE44" s="2"/>
    </row>
    <row r="45" spans="11:61" x14ac:dyDescent="0.2">
      <c r="AE45" s="2"/>
      <c r="AF45" s="2"/>
      <c r="AG45" s="36"/>
      <c r="AH45" s="52"/>
      <c r="AX45" s="2"/>
      <c r="AY45" s="47"/>
      <c r="AZ45" s="48"/>
      <c r="BA45" s="2"/>
      <c r="BB45" s="2"/>
      <c r="BC45" s="2"/>
      <c r="BD45" s="2"/>
      <c r="BE45" s="2"/>
    </row>
    <row r="46" spans="11:61" x14ac:dyDescent="0.2">
      <c r="AE46" s="2"/>
      <c r="AF46" s="2"/>
      <c r="AG46" s="36"/>
      <c r="AH46" s="52"/>
      <c r="AX46" s="2"/>
      <c r="AY46" s="47"/>
      <c r="AZ46" s="48"/>
      <c r="BA46" s="2"/>
      <c r="BB46" s="2"/>
      <c r="BC46" s="2"/>
      <c r="BD46" s="2"/>
      <c r="BE46" s="2"/>
    </row>
    <row r="47" spans="11:61" x14ac:dyDescent="0.2">
      <c r="AE47" s="2"/>
      <c r="AF47" s="2"/>
      <c r="AG47" s="36"/>
      <c r="AH47" s="52"/>
      <c r="AX47" s="2"/>
      <c r="AY47" s="47"/>
      <c r="AZ47" s="48"/>
      <c r="BA47" s="2"/>
      <c r="BB47" s="2"/>
      <c r="BC47" s="2"/>
      <c r="BD47" s="2"/>
      <c r="BE47" s="2"/>
    </row>
    <row r="48" spans="11:61" x14ac:dyDescent="0.2">
      <c r="AE48" s="2"/>
      <c r="AF48" s="2"/>
      <c r="AG48" s="36"/>
      <c r="AH48" s="52"/>
      <c r="AX48" s="2"/>
      <c r="AY48" s="47"/>
      <c r="AZ48" s="48"/>
      <c r="BA48" s="2"/>
      <c r="BB48" s="2"/>
      <c r="BC48" s="2"/>
      <c r="BD48" s="2"/>
      <c r="BE48" s="2"/>
    </row>
    <row r="49" spans="31:57" x14ac:dyDescent="0.2">
      <c r="AE49" s="2"/>
      <c r="AF49" s="2"/>
      <c r="AG49" s="36"/>
      <c r="AH49" s="52"/>
      <c r="AX49" s="2"/>
      <c r="AY49" s="47"/>
      <c r="AZ49" s="48"/>
      <c r="BA49" s="2"/>
      <c r="BB49" s="2"/>
      <c r="BC49" s="2"/>
      <c r="BD49" s="2"/>
      <c r="BE49" s="2"/>
    </row>
    <row r="50" spans="31:57" x14ac:dyDescent="0.2">
      <c r="AE50" s="2"/>
      <c r="AF50" s="2"/>
      <c r="AG50" s="36"/>
      <c r="AH50" s="52"/>
      <c r="AX50" s="2"/>
      <c r="AY50" s="47"/>
      <c r="AZ50" s="48"/>
      <c r="BA50" s="2"/>
      <c r="BB50" s="2"/>
      <c r="BC50" s="2"/>
      <c r="BD50" s="2"/>
      <c r="BE50" s="2"/>
    </row>
    <row r="51" spans="31:57" x14ac:dyDescent="0.2">
      <c r="AE51" s="2"/>
      <c r="AF51" s="2"/>
      <c r="AG51" s="36"/>
      <c r="AH51" s="52"/>
      <c r="AX51" s="2"/>
      <c r="AY51" s="47"/>
      <c r="AZ51" s="48"/>
      <c r="BA51" s="2"/>
      <c r="BB51" s="2"/>
      <c r="BC51" s="2"/>
      <c r="BD51" s="2"/>
      <c r="BE51" s="2"/>
    </row>
    <row r="52" spans="31:57" x14ac:dyDescent="0.2">
      <c r="AE52" s="2"/>
      <c r="AF52" s="2"/>
      <c r="AG52" s="36"/>
      <c r="AH52" s="52"/>
      <c r="AX52" s="2"/>
      <c r="AY52" s="47"/>
      <c r="AZ52" s="48"/>
      <c r="BA52" s="2"/>
      <c r="BB52" s="2"/>
      <c r="BC52" s="2"/>
      <c r="BD52" s="2"/>
      <c r="BE52" s="2"/>
    </row>
    <row r="53" spans="31:57" x14ac:dyDescent="0.2">
      <c r="AE53" s="2"/>
      <c r="AF53" s="2"/>
      <c r="AG53" s="36"/>
      <c r="AH53" s="52"/>
      <c r="AX53" s="2"/>
      <c r="AY53" s="47"/>
      <c r="AZ53" s="48"/>
      <c r="BA53" s="2"/>
      <c r="BB53" s="2"/>
      <c r="BC53" s="2"/>
      <c r="BD53" s="2"/>
      <c r="BE53" s="2"/>
    </row>
    <row r="54" spans="31:57" x14ac:dyDescent="0.2">
      <c r="AE54" s="2"/>
      <c r="AF54" s="2"/>
      <c r="AG54" s="36"/>
      <c r="AH54" s="52"/>
      <c r="AX54" s="2"/>
      <c r="AY54" s="47"/>
      <c r="AZ54" s="48"/>
      <c r="BA54" s="2"/>
      <c r="BB54" s="2"/>
      <c r="BC54" s="2"/>
      <c r="BD54" s="2"/>
      <c r="BE54" s="2"/>
    </row>
    <row r="55" spans="31:57" x14ac:dyDescent="0.2">
      <c r="AE55" s="2"/>
      <c r="AF55" s="2"/>
      <c r="AG55" s="36"/>
      <c r="AH55" s="52"/>
      <c r="AX55" s="2"/>
      <c r="AY55" s="47"/>
      <c r="AZ55" s="48"/>
      <c r="BA55" s="2"/>
      <c r="BB55" s="2"/>
      <c r="BC55" s="2"/>
      <c r="BD55" s="2"/>
      <c r="BE55" s="2"/>
    </row>
    <row r="56" spans="31:57" x14ac:dyDescent="0.2">
      <c r="AE56" s="2"/>
      <c r="AF56" s="2"/>
      <c r="AG56" s="36"/>
      <c r="AH56" s="52"/>
      <c r="AX56" s="2"/>
      <c r="AY56" s="47"/>
      <c r="AZ56" s="48"/>
      <c r="BA56" s="2"/>
      <c r="BB56" s="2"/>
      <c r="BC56" s="2"/>
      <c r="BD56" s="2"/>
      <c r="BE56" s="2"/>
    </row>
    <row r="57" spans="31:57" x14ac:dyDescent="0.2">
      <c r="AE57" s="2"/>
      <c r="AF57" s="2"/>
      <c r="AG57" s="36"/>
      <c r="AH57" s="52"/>
      <c r="AX57" s="2"/>
      <c r="AY57" s="47"/>
      <c r="AZ57" s="48"/>
      <c r="BA57" s="2"/>
      <c r="BB57" s="2"/>
      <c r="BC57" s="2"/>
      <c r="BD57" s="2"/>
      <c r="BE57" s="2"/>
    </row>
    <row r="58" spans="31:57" x14ac:dyDescent="0.2">
      <c r="AE58" s="2"/>
      <c r="AF58" s="2"/>
      <c r="AG58" s="36"/>
      <c r="AH58" s="52"/>
      <c r="AX58" s="2"/>
      <c r="AY58" s="47"/>
      <c r="AZ58" s="48"/>
      <c r="BA58" s="2"/>
      <c r="BB58" s="2"/>
      <c r="BC58" s="2"/>
      <c r="BD58" s="2"/>
      <c r="BE58" s="2"/>
    </row>
    <row r="59" spans="31:57" x14ac:dyDescent="0.2">
      <c r="AE59" s="2"/>
      <c r="AF59" s="2"/>
      <c r="AG59" s="36"/>
      <c r="AH59" s="52"/>
      <c r="AX59" s="2"/>
      <c r="AY59" s="47"/>
      <c r="AZ59" s="48"/>
      <c r="BA59" s="2"/>
      <c r="BB59" s="2"/>
      <c r="BC59" s="2"/>
      <c r="BD59" s="2"/>
      <c r="BE59" s="2"/>
    </row>
    <row r="60" spans="31:57" x14ac:dyDescent="0.2">
      <c r="AE60" s="2"/>
      <c r="AF60" s="2"/>
      <c r="AG60" s="36"/>
      <c r="AH60" s="52"/>
      <c r="AX60" s="2"/>
      <c r="AY60" s="47"/>
      <c r="AZ60" s="48"/>
      <c r="BA60" s="2"/>
      <c r="BB60" s="2"/>
      <c r="BC60" s="2"/>
      <c r="BD60" s="2"/>
      <c r="BE60" s="2"/>
    </row>
    <row r="61" spans="31:57" x14ac:dyDescent="0.2">
      <c r="AE61" s="2"/>
      <c r="AF61" s="2"/>
      <c r="AG61" s="36"/>
      <c r="AH61" s="52"/>
      <c r="AX61" s="2"/>
      <c r="AY61" s="47"/>
      <c r="AZ61" s="48"/>
      <c r="BA61" s="2"/>
      <c r="BB61" s="2"/>
      <c r="BC61" s="2"/>
      <c r="BD61" s="2"/>
      <c r="BE61" s="2"/>
    </row>
    <row r="62" spans="31:57" x14ac:dyDescent="0.2">
      <c r="AE62" s="2"/>
      <c r="AF62" s="2"/>
      <c r="AG62" s="36"/>
      <c r="AH62" s="52"/>
      <c r="AX62" s="2"/>
      <c r="AY62" s="47"/>
      <c r="AZ62" s="48"/>
      <c r="BA62" s="2"/>
      <c r="BB62" s="2"/>
      <c r="BC62" s="2"/>
      <c r="BD62" s="2"/>
      <c r="BE62" s="2"/>
    </row>
    <row r="63" spans="31:57" x14ac:dyDescent="0.2">
      <c r="AE63" s="2"/>
      <c r="AF63" s="2"/>
      <c r="AG63" s="36"/>
      <c r="AH63" s="52"/>
      <c r="AX63" s="2"/>
      <c r="AY63" s="47"/>
      <c r="AZ63" s="48"/>
      <c r="BA63" s="2"/>
      <c r="BB63" s="2"/>
      <c r="BC63" s="2"/>
      <c r="BD63" s="2"/>
      <c r="BE63" s="2"/>
    </row>
    <row r="64" spans="31:57" x14ac:dyDescent="0.2">
      <c r="AE64" s="2"/>
      <c r="AF64" s="2"/>
      <c r="AG64" s="36"/>
      <c r="AH64" s="52"/>
      <c r="AX64" s="2"/>
      <c r="AY64" s="47"/>
      <c r="AZ64" s="48"/>
      <c r="BA64" s="2"/>
      <c r="BB64" s="2"/>
      <c r="BC64" s="2"/>
      <c r="BD64" s="2"/>
      <c r="BE64" s="2"/>
    </row>
    <row r="65" spans="31:57" x14ac:dyDescent="0.2">
      <c r="AE65" s="2"/>
      <c r="AF65" s="2"/>
      <c r="AG65" s="36"/>
      <c r="AH65" s="52"/>
      <c r="AX65" s="2"/>
      <c r="AY65" s="47"/>
      <c r="AZ65" s="48"/>
      <c r="BA65" s="2"/>
      <c r="BB65" s="2"/>
      <c r="BC65" s="2"/>
      <c r="BD65" s="2"/>
      <c r="BE65" s="2"/>
    </row>
    <row r="66" spans="31:57" x14ac:dyDescent="0.2">
      <c r="AE66" s="2"/>
      <c r="AF66" s="2"/>
      <c r="AG66" s="36"/>
      <c r="AH66" s="52"/>
      <c r="AX66" s="2"/>
      <c r="AY66" s="47"/>
      <c r="AZ66" s="48"/>
      <c r="BA66" s="2"/>
      <c r="BB66" s="2"/>
      <c r="BC66" s="2"/>
      <c r="BD66" s="2"/>
      <c r="BE66" s="2"/>
    </row>
    <row r="67" spans="31:57" x14ac:dyDescent="0.2">
      <c r="AE67" s="2"/>
      <c r="AF67" s="2"/>
      <c r="AG67" s="36"/>
      <c r="AH67" s="52"/>
      <c r="AX67" s="2"/>
      <c r="AY67" s="47"/>
      <c r="AZ67" s="48"/>
      <c r="BA67" s="2"/>
      <c r="BB67" s="2"/>
      <c r="BC67" s="2"/>
      <c r="BD67" s="2"/>
      <c r="BE67" s="2"/>
    </row>
    <row r="68" spans="31:57" x14ac:dyDescent="0.2">
      <c r="AE68" s="2"/>
      <c r="AF68" s="2"/>
      <c r="AG68" s="36"/>
      <c r="AH68" s="52"/>
      <c r="AX68" s="2"/>
      <c r="AY68" s="47"/>
      <c r="AZ68" s="48"/>
      <c r="BA68" s="2"/>
      <c r="BB68" s="2"/>
      <c r="BC68" s="2"/>
      <c r="BD68" s="2"/>
      <c r="BE68" s="2"/>
    </row>
    <row r="69" spans="31:57" x14ac:dyDescent="0.2">
      <c r="AE69" s="2"/>
      <c r="AF69" s="2"/>
      <c r="AG69" s="36"/>
      <c r="AH69" s="52"/>
      <c r="AX69" s="2"/>
      <c r="AY69" s="47"/>
      <c r="AZ69" s="48"/>
      <c r="BA69" s="2"/>
      <c r="BB69" s="2"/>
      <c r="BC69" s="2"/>
      <c r="BD69" s="2"/>
      <c r="BE69" s="2"/>
    </row>
    <row r="70" spans="31:57" x14ac:dyDescent="0.2">
      <c r="AE70" s="2"/>
      <c r="AF70" s="2"/>
      <c r="AG70" s="36"/>
      <c r="AH70" s="52"/>
      <c r="AX70" s="2"/>
      <c r="AY70" s="47"/>
      <c r="AZ70" s="48"/>
      <c r="BA70" s="2"/>
      <c r="BB70" s="2"/>
      <c r="BC70" s="2"/>
      <c r="BD70" s="2"/>
      <c r="BE70" s="2"/>
    </row>
    <row r="71" spans="31:57" x14ac:dyDescent="0.2">
      <c r="AE71" s="2"/>
      <c r="AF71" s="2"/>
      <c r="AG71" s="36"/>
      <c r="AH71" s="52"/>
      <c r="AX71" s="2"/>
      <c r="AY71" s="47"/>
      <c r="AZ71" s="48"/>
      <c r="BA71" s="2"/>
      <c r="BB71" s="2"/>
      <c r="BC71" s="2"/>
      <c r="BD71" s="2"/>
      <c r="BE71" s="2"/>
    </row>
    <row r="72" spans="31:57" x14ac:dyDescent="0.2">
      <c r="AE72" s="2"/>
      <c r="AF72" s="2"/>
      <c r="AG72" s="36"/>
      <c r="AH72" s="52"/>
      <c r="AX72" s="2"/>
      <c r="AY72" s="47"/>
      <c r="AZ72" s="48"/>
      <c r="BA72" s="2"/>
      <c r="BB72" s="2"/>
      <c r="BC72" s="2"/>
      <c r="BD72" s="2"/>
      <c r="BE72" s="2"/>
    </row>
    <row r="73" spans="31:57" x14ac:dyDescent="0.2">
      <c r="AX73" s="2"/>
      <c r="AY73" s="47"/>
      <c r="AZ73" s="48"/>
      <c r="BA73" s="2"/>
      <c r="BB73" s="2"/>
      <c r="BC73" s="2"/>
      <c r="BD73" s="2"/>
      <c r="BE73" s="2"/>
    </row>
    <row r="74" spans="31:57" x14ac:dyDescent="0.2">
      <c r="AX74" s="2"/>
      <c r="AY74" s="47"/>
      <c r="AZ74" s="48"/>
      <c r="BA74" s="2"/>
      <c r="BB74" s="2"/>
      <c r="BC74" s="2"/>
      <c r="BD74" s="2"/>
      <c r="BE74" s="2"/>
    </row>
    <row r="75" spans="31:57" x14ac:dyDescent="0.2">
      <c r="AX75" s="2"/>
      <c r="AY75" s="47"/>
      <c r="AZ75" s="48"/>
      <c r="BA75" s="2"/>
      <c r="BB75" s="2"/>
      <c r="BC75" s="2"/>
      <c r="BD75" s="2"/>
      <c r="BE75" s="2"/>
    </row>
    <row r="76" spans="31:57" x14ac:dyDescent="0.2">
      <c r="AX76" s="2"/>
      <c r="AY76" s="47"/>
      <c r="AZ76" s="48"/>
      <c r="BA76" s="2"/>
      <c r="BB76" s="2"/>
      <c r="BC76" s="2"/>
      <c r="BD76" s="2"/>
      <c r="BE76" s="2"/>
    </row>
    <row r="77" spans="31:57" x14ac:dyDescent="0.2">
      <c r="AX77" s="2"/>
      <c r="AY77" s="47"/>
      <c r="AZ77" s="48"/>
      <c r="BA77" s="2"/>
      <c r="BB77" s="2"/>
      <c r="BC77" s="2"/>
      <c r="BD77" s="2"/>
      <c r="BE77" s="2"/>
    </row>
    <row r="78" spans="31:57" x14ac:dyDescent="0.2">
      <c r="AX78" s="2"/>
      <c r="AY78" s="47"/>
      <c r="AZ78" s="48"/>
      <c r="BA78" s="2"/>
      <c r="BB78" s="2"/>
      <c r="BC78" s="2"/>
      <c r="BD78" s="2"/>
      <c r="BE78" s="2"/>
    </row>
    <row r="79" spans="31:57" x14ac:dyDescent="0.2">
      <c r="AX79" s="2"/>
      <c r="AY79" s="47"/>
      <c r="AZ79" s="48"/>
      <c r="BA79" s="2"/>
      <c r="BB79" s="2"/>
      <c r="BC79" s="2"/>
      <c r="BD79" s="2"/>
      <c r="BE79" s="2"/>
    </row>
    <row r="80" spans="31:57" x14ac:dyDescent="0.2">
      <c r="AX80" s="2"/>
      <c r="AY80" s="47"/>
      <c r="AZ80" s="48"/>
      <c r="BA80" s="2"/>
      <c r="BB80" s="2"/>
      <c r="BC80" s="2"/>
      <c r="BD80" s="2"/>
      <c r="BE80" s="2"/>
    </row>
    <row r="81" spans="50:57" x14ac:dyDescent="0.2">
      <c r="AX81" s="2"/>
      <c r="AY81" s="47"/>
      <c r="AZ81" s="48"/>
      <c r="BA81" s="2"/>
      <c r="BB81" s="2"/>
      <c r="BC81" s="2"/>
      <c r="BD81" s="2"/>
      <c r="BE81" s="2"/>
    </row>
    <row r="82" spans="50:57" x14ac:dyDescent="0.2">
      <c r="AX82" s="2"/>
      <c r="AY82" s="47"/>
      <c r="AZ82" s="48"/>
      <c r="BA82" s="2"/>
      <c r="BB82" s="2"/>
      <c r="BC82" s="2"/>
      <c r="BD82" s="2"/>
      <c r="BE82" s="2"/>
    </row>
    <row r="83" spans="50:57" x14ac:dyDescent="0.2">
      <c r="AX83" s="2"/>
      <c r="AY83" s="47"/>
      <c r="AZ83" s="48"/>
      <c r="BA83" s="2"/>
      <c r="BB83" s="2"/>
      <c r="BC83" s="2"/>
      <c r="BD83" s="2"/>
      <c r="BE83" s="2"/>
    </row>
    <row r="84" spans="50:57" x14ac:dyDescent="0.2">
      <c r="AX84" s="2"/>
      <c r="AY84" s="47"/>
      <c r="AZ84" s="48"/>
      <c r="BA84" s="2"/>
      <c r="BB84" s="2"/>
      <c r="BC84" s="2"/>
      <c r="BD84" s="2"/>
      <c r="BE84" s="2"/>
    </row>
    <row r="85" spans="50:57" x14ac:dyDescent="0.2">
      <c r="AX85" s="2"/>
      <c r="AY85" s="47"/>
      <c r="AZ85" s="48"/>
      <c r="BA85" s="2"/>
      <c r="BB85" s="2"/>
      <c r="BC85" s="2"/>
      <c r="BD85" s="2"/>
      <c r="BE85" s="2"/>
    </row>
    <row r="86" spans="50:57" x14ac:dyDescent="0.2">
      <c r="AX86" s="2"/>
      <c r="AY86" s="47"/>
      <c r="AZ86" s="48"/>
      <c r="BA86" s="2"/>
      <c r="BB86" s="2"/>
      <c r="BC86" s="2"/>
      <c r="BD86" s="2"/>
      <c r="BE86" s="2"/>
    </row>
    <row r="87" spans="50:57" x14ac:dyDescent="0.2">
      <c r="AX87" s="2"/>
      <c r="AY87" s="47"/>
      <c r="AZ87" s="48"/>
      <c r="BA87" s="2"/>
      <c r="BB87" s="2"/>
      <c r="BC87" s="2"/>
      <c r="BD87" s="2"/>
      <c r="BE87" s="2"/>
    </row>
    <row r="88" spans="50:57" x14ac:dyDescent="0.2">
      <c r="AX88" s="2"/>
      <c r="AY88" s="47"/>
      <c r="AZ88" s="48"/>
      <c r="BA88" s="2"/>
      <c r="BB88" s="2"/>
      <c r="BC88" s="2"/>
      <c r="BD88" s="2"/>
      <c r="BE88" s="2"/>
    </row>
    <row r="89" spans="50:57" x14ac:dyDescent="0.2">
      <c r="AX89" s="2"/>
      <c r="AY89" s="47"/>
      <c r="AZ89" s="48"/>
      <c r="BA89" s="2"/>
      <c r="BB89" s="2"/>
      <c r="BC89" s="2"/>
      <c r="BD89" s="2"/>
      <c r="BE89" s="2"/>
    </row>
    <row r="90" spans="50:57" x14ac:dyDescent="0.2">
      <c r="AX90" s="2"/>
      <c r="AY90" s="47"/>
      <c r="AZ90" s="48"/>
      <c r="BA90" s="2"/>
      <c r="BB90" s="2"/>
      <c r="BC90" s="2"/>
      <c r="BD90" s="2"/>
      <c r="BE90" s="2"/>
    </row>
    <row r="91" spans="50:57" x14ac:dyDescent="0.2">
      <c r="AX91" s="2"/>
      <c r="AY91" s="47"/>
      <c r="AZ91" s="48"/>
      <c r="BA91" s="2"/>
      <c r="BB91" s="2"/>
      <c r="BC91" s="2"/>
      <c r="BD91" s="2"/>
      <c r="BE91" s="2"/>
    </row>
    <row r="92" spans="50:57" x14ac:dyDescent="0.2">
      <c r="AX92" s="2"/>
      <c r="AY92" s="47"/>
      <c r="AZ92" s="48"/>
      <c r="BA92" s="2"/>
      <c r="BB92" s="2"/>
      <c r="BC92" s="2"/>
      <c r="BD92" s="2"/>
      <c r="BE92" s="2"/>
    </row>
    <row r="93" spans="50:57" x14ac:dyDescent="0.2">
      <c r="AX93" s="2"/>
      <c r="AY93" s="47"/>
      <c r="AZ93" s="48"/>
      <c r="BA93" s="2"/>
      <c r="BB93" s="2"/>
      <c r="BC93" s="2"/>
      <c r="BD93" s="2"/>
      <c r="BE93" s="2"/>
    </row>
    <row r="94" spans="50:57" x14ac:dyDescent="0.2">
      <c r="AX94" s="2"/>
      <c r="AY94" s="47"/>
      <c r="AZ94" s="48"/>
      <c r="BA94" s="2"/>
      <c r="BB94" s="2"/>
      <c r="BC94" s="2"/>
      <c r="BD94" s="2"/>
      <c r="BE94" s="2"/>
    </row>
  </sheetData>
  <sheetProtection algorithmName="SHA-512" hashValue="HxU+KMnOtWAZnjsspxz/91jmxyJ6YNbkkTMB/yPc20bTAbK6aMWwMNqjkwaGgnDSz0h9laTmpse6CcD1+PEDnA==" saltValue="7XPje8apVQdraqs6q8O4eA==" spinCount="100000" sheet="1" objects="1" scenarios="1"/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showGridLines="0" workbookViewId="0">
      <selection activeCell="L3" sqref="L3"/>
    </sheetView>
    <sheetView workbookViewId="1"/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46.5" style="2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5" t="s">
        <v>29</v>
      </c>
      <c r="C2" s="45" t="s">
        <v>30</v>
      </c>
      <c r="D2" s="45"/>
      <c r="E2" s="45" t="s">
        <v>31</v>
      </c>
      <c r="F2" s="45" t="s">
        <v>47</v>
      </c>
      <c r="G2" s="45" t="s">
        <v>48</v>
      </c>
      <c r="H2" s="45" t="s">
        <v>55</v>
      </c>
      <c r="I2" s="46" t="s">
        <v>56</v>
      </c>
      <c r="J2" s="46" t="s">
        <v>57</v>
      </c>
      <c r="K2" s="46" t="s">
        <v>58</v>
      </c>
      <c r="L2" s="46" t="s">
        <v>59</v>
      </c>
      <c r="M2" s="46" t="s">
        <v>60</v>
      </c>
    </row>
    <row r="3" spans="2:13" s="26" customFormat="1" ht="409.6" x14ac:dyDescent="0.2">
      <c r="B3" s="26" t="s">
        <v>80</v>
      </c>
      <c r="C3" s="26" t="s">
        <v>73</v>
      </c>
      <c r="D3" s="43"/>
      <c r="E3" s="43" t="str">
        <f ca="1">IF(interface!K3&gt;=interface!C5, "Fin de lot - PROD conforme (Moyenne Longue : "&amp;ROUND(interface!K3,2)&amp;" - QN : "&amp;interface!C5&amp;")","Fin de lot - PROD non conforme (Moyenne Longue : "&amp;ROUND(interface!K3,2)&amp;" - QN : "&amp;interface!C5&amp;")")</f>
        <v>Fin de lot - PROD non conforme (Moyenne Longue : 19,86 - QN : 20)</v>
      </c>
      <c r="F3" s="43" t="s">
        <v>53</v>
      </c>
      <c r="G3" s="43" t="s">
        <v>49</v>
      </c>
      <c r="H3" s="43" t="s">
        <v>85</v>
      </c>
      <c r="I3" s="43" t="s">
        <v>86</v>
      </c>
      <c r="J3" s="43" t="s">
        <v>86</v>
      </c>
      <c r="K3" s="43" t="s">
        <v>87</v>
      </c>
      <c r="L3" s="43" t="s">
        <v>88</v>
      </c>
      <c r="M3" s="43" t="s">
        <v>61</v>
      </c>
    </row>
    <row r="4" spans="2:13" s="26" customFormat="1" ht="17" x14ac:dyDescent="0.2">
      <c r="B4" s="26" t="s">
        <v>28</v>
      </c>
      <c r="C4" s="43" t="s">
        <v>51</v>
      </c>
      <c r="D4" s="43"/>
      <c r="E4" s="43"/>
      <c r="F4" s="43" t="s">
        <v>81</v>
      </c>
      <c r="G4" s="43"/>
      <c r="H4" s="43"/>
      <c r="I4" s="43"/>
      <c r="J4" s="43"/>
      <c r="K4" s="43"/>
      <c r="L4" s="43"/>
      <c r="M4" s="43"/>
    </row>
    <row r="5" spans="2:13" s="26" customFormat="1" ht="17" x14ac:dyDescent="0.2">
      <c r="B5" s="43" t="s">
        <v>50</v>
      </c>
      <c r="C5" s="26" t="s">
        <v>74</v>
      </c>
      <c r="D5" s="43"/>
      <c r="E5" s="43"/>
      <c r="F5" s="43" t="s">
        <v>82</v>
      </c>
      <c r="G5" s="43"/>
      <c r="H5" s="43"/>
      <c r="I5" s="43"/>
      <c r="J5" s="43"/>
      <c r="K5" s="43"/>
      <c r="L5" s="43"/>
      <c r="M5" s="43"/>
    </row>
    <row r="6" spans="2:13" s="26" customFormat="1" ht="17" x14ac:dyDescent="0.2">
      <c r="B6" s="43"/>
      <c r="C6" s="43" t="s">
        <v>75</v>
      </c>
      <c r="D6" s="43"/>
      <c r="E6" s="43"/>
      <c r="F6" s="43" t="s">
        <v>83</v>
      </c>
      <c r="G6" s="43"/>
      <c r="H6" s="43"/>
      <c r="I6" s="43"/>
      <c r="J6" s="43"/>
      <c r="K6" s="43"/>
      <c r="L6" s="43"/>
      <c r="M6" s="43"/>
    </row>
    <row r="7" spans="2:13" s="26" customFormat="1" ht="17" x14ac:dyDescent="0.2">
      <c r="B7" s="43"/>
      <c r="C7" s="26" t="s">
        <v>89</v>
      </c>
      <c r="D7" s="43"/>
      <c r="E7" s="43"/>
      <c r="F7" s="43" t="s">
        <v>71</v>
      </c>
      <c r="G7" s="43"/>
      <c r="H7" s="43"/>
      <c r="I7" s="43"/>
      <c r="J7" s="43"/>
      <c r="K7" s="43"/>
      <c r="L7" s="43"/>
      <c r="M7" s="43"/>
    </row>
    <row r="8" spans="2:13" s="26" customFormat="1" ht="18" customHeight="1" x14ac:dyDescent="0.2">
      <c r="B8" s="43"/>
      <c r="C8" s="43" t="s">
        <v>90</v>
      </c>
      <c r="D8" s="43"/>
      <c r="F8" s="43" t="s">
        <v>72</v>
      </c>
      <c r="G8" s="43"/>
      <c r="H8" s="43"/>
      <c r="I8" s="43"/>
      <c r="J8" s="43"/>
      <c r="K8" s="43"/>
      <c r="L8" s="43"/>
      <c r="M8" s="43"/>
    </row>
    <row r="9" spans="2:13" s="26" customFormat="1" ht="17" x14ac:dyDescent="0.2">
      <c r="B9" s="43"/>
      <c r="C9" s="44" t="s">
        <v>52</v>
      </c>
      <c r="D9" s="43"/>
      <c r="E9" s="43"/>
      <c r="F9" s="43" t="s">
        <v>54</v>
      </c>
      <c r="G9" s="43"/>
      <c r="H9" s="43"/>
      <c r="I9" s="43"/>
      <c r="J9" s="43"/>
      <c r="K9" s="43"/>
      <c r="L9" s="43"/>
      <c r="M9" s="43"/>
    </row>
    <row r="10" spans="2:13" s="26" customFormat="1" ht="34" x14ac:dyDescent="0.2">
      <c r="F10" s="43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data_brute</vt:lpstr>
      <vt:lpstr>interface</vt:lpstr>
      <vt:lpstr>calculs_intermediaires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2025-02-10T07:58:30Z</dcterms:modified>
</cp:coreProperties>
</file>