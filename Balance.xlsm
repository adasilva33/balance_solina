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+xml"/>
  <Override PartName="/xl/ctrlProps/ctrlProp8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119" codeName="{857A39E2-67AF-9BA6-E15C-A4B3A0C7559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/Users/adslv/Documents/zeta/auto_entrepreneur/solina/projet_3/balance_solina/"/>
    </mc:Choice>
  </mc:AlternateContent>
  <xr:revisionPtr revIDLastSave="0" documentId="13_ncr:1_{4799DC90-E108-D246-A6CA-B6F71055C0E9}" xr6:coauthVersionLast="47" xr6:coauthVersionMax="47" xr10:uidLastSave="{00000000-0000-0000-0000-000000000000}"/>
  <bookViews>
    <workbookView xWindow="0" yWindow="760" windowWidth="30240" windowHeight="17580" activeTab="1" xr2:uid="{544A7DCE-AC30-9242-8DF9-1AFEC1D6DC84}"/>
  </bookViews>
  <sheets>
    <sheet name="data_brute" sheetId="10" r:id="rId1"/>
    <sheet name="interface" sheetId="1" r:id="rId2"/>
    <sheet name="calculs_intermediaires" sheetId="3" r:id="rId3"/>
    <sheet name="test" sheetId="8" r:id="rId4"/>
    <sheet name="pop_up" sheetId="5" r:id="rId5"/>
  </sheets>
  <functionGroups builtInGroupCount="19"/>
  <definedNames>
    <definedName name="_xleta.FILTER" hidden="1" xlm="1">#NAME?</definedName>
    <definedName name="_xleta.NOMINAL" hidden="1" xlm="1">#NAME?</definedName>
    <definedName name="_xleta.PY" hidden="1" xlm="1">#NAME?</definedName>
    <definedName name="_xleta.ROW" hidden="1" xlm="1">#NAME?</definedName>
    <definedName name="_xleta.SUM" hidden="1" xlm="1">#NAME?</definedName>
    <definedName name="_xleta.T" hidden="1" xlm="1">#NAME?</definedName>
    <definedName name="_xlpm.row" hidden="1" xlm="1">#NAME?</definedName>
    <definedName name="x_pesee">OFFSET(data_brute!$A$2,0,0,COUNTA(data_brute!$A:$A)-1,1)</definedName>
    <definedName name="y_lci">OFFSET(data_brute!$J$2,0,0,COUNTA(data_brute!$J:$J)-1,1)</definedName>
    <definedName name="y_lcs">OFFSET(data_brute!$K$2,0,0,COUNTA(data_brute!$K:$K)-1,1)</definedName>
    <definedName name="y_poids_net">OFFSET(data_brute!$H$2,0,0,COUNTA(data_brute!$H:$H)-1,1)</definedName>
    <definedName name="y_qn">OFFSET(data_brute!$I$2,0,0,COUNTA(data_brute!$I:$I)-1,1)</definedName>
  </definedNames>
  <calcPr calcId="191029" calcOnSave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2" i="10" l="1" a="1"/>
  <c r="A2" i="10" s="1"/>
  <c r="V6" i="3"/>
  <c r="W6" i="3"/>
  <c r="X6" i="3"/>
  <c r="Y6" i="3"/>
  <c r="Z6" i="3"/>
  <c r="AA6" i="3"/>
  <c r="AB6" i="3"/>
  <c r="U6" i="3"/>
  <c r="F3" i="3"/>
  <c r="H10" i="1"/>
  <c r="H9" i="8"/>
  <c r="C9" i="8"/>
  <c r="F9" i="8"/>
  <c r="G9" i="8"/>
  <c r="E9" i="8"/>
  <c r="D9" i="8"/>
  <c r="C22" i="3"/>
  <c r="H11" i="1"/>
  <c r="H28" i="3"/>
  <c r="G28" i="3"/>
  <c r="E2" i="10" l="1" a="1"/>
  <c r="E2" i="10" s="1"/>
  <c r="F4" i="3"/>
  <c r="AE7" i="3"/>
  <c r="AF7" i="3" s="1"/>
  <c r="AE8" i="3" s="1"/>
  <c r="AF8" i="3" s="1"/>
  <c r="AE9" i="3" s="1"/>
  <c r="AF9" i="3" s="1"/>
  <c r="AE10" i="3" s="1"/>
  <c r="AF10" i="3" s="1"/>
  <c r="AE11" i="3" s="1"/>
  <c r="C4" i="3"/>
  <c r="I2" i="10" l="1" a="1"/>
  <c r="I2" i="10" s="1"/>
  <c r="F5" i="3"/>
  <c r="Y3" i="3" s="1"/>
  <c r="N4" i="3"/>
  <c r="P7" i="3" s="1"/>
  <c r="AF11" i="3"/>
  <c r="AE12" i="3" s="1"/>
  <c r="G11" i="3" a="1"/>
  <c r="G11" i="3" s="1"/>
  <c r="H11" i="3" s="1"/>
  <c r="G12" i="3" a="1"/>
  <c r="G12" i="3" s="1"/>
  <c r="H12" i="3" s="1"/>
  <c r="G13" i="3" a="1"/>
  <c r="G13" i="3" s="1"/>
  <c r="H13" i="3" s="1"/>
  <c r="G14" i="3" a="1"/>
  <c r="G14" i="3" s="1"/>
  <c r="H14" i="3" s="1"/>
  <c r="G15" i="3" a="1"/>
  <c r="G15" i="3" s="1"/>
  <c r="H15" i="3" s="1"/>
  <c r="G16" i="3" a="1"/>
  <c r="G16" i="3" s="1"/>
  <c r="H16" i="3" s="1"/>
  <c r="G10" i="3" a="1"/>
  <c r="G10" i="3" s="1"/>
  <c r="H10" i="3" s="1"/>
  <c r="D11" i="3"/>
  <c r="Y2" i="3" l="1"/>
  <c r="AF12" i="3"/>
  <c r="AE13" i="3" s="1"/>
  <c r="AG11" i="3"/>
  <c r="AH11" i="3" s="1"/>
  <c r="Q7" i="3"/>
  <c r="I11" i="3" a="1"/>
  <c r="I11" i="3" s="1"/>
  <c r="J11" i="3" s="1"/>
  <c r="D10" i="3"/>
  <c r="D16" i="3"/>
  <c r="I16" i="3" s="1" a="1"/>
  <c r="I16" i="3" s="1"/>
  <c r="J16" i="3" s="1"/>
  <c r="D15" i="3"/>
  <c r="I15" i="3" s="1" a="1"/>
  <c r="I15" i="3" s="1"/>
  <c r="J15" i="3" s="1"/>
  <c r="D14" i="3"/>
  <c r="I14" i="3" s="1" a="1"/>
  <c r="I14" i="3" s="1"/>
  <c r="J14" i="3" s="1"/>
  <c r="D13" i="3"/>
  <c r="I13" i="3" s="1" a="1"/>
  <c r="I13" i="3" s="1"/>
  <c r="J13" i="3" s="1"/>
  <c r="D12" i="3"/>
  <c r="I12" i="3" s="1" a="1"/>
  <c r="I12" i="3" s="1"/>
  <c r="J12" i="3" s="1"/>
  <c r="AG12" i="3" l="1"/>
  <c r="AH12" i="3" s="1"/>
  <c r="AF13" i="3"/>
  <c r="AE14" i="3" s="1"/>
  <c r="K16" i="3" a="1"/>
  <c r="K16" i="3" s="1"/>
  <c r="C6" i="3"/>
  <c r="C18" i="3" s="1" a="1"/>
  <c r="C18" i="3" s="1"/>
  <c r="D10" i="1" s="1"/>
  <c r="I10" i="3" a="1"/>
  <c r="I10" i="3" s="1"/>
  <c r="J10" i="3" s="1"/>
  <c r="K13" i="3" a="1"/>
  <c r="K13" i="3" s="1"/>
  <c r="K14" i="3" a="1"/>
  <c r="K14" i="3" s="1"/>
  <c r="K15" i="3" a="1"/>
  <c r="K15" i="3" s="1"/>
  <c r="AF14" i="3" l="1"/>
  <c r="AE15" i="3" s="1"/>
  <c r="AG13" i="3"/>
  <c r="AH13" i="3" s="1"/>
  <c r="C21" i="3"/>
  <c r="C23" i="3" s="1"/>
  <c r="C19" i="3" a="1"/>
  <c r="C19" i="3" s="1"/>
  <c r="D11" i="1" s="1"/>
  <c r="AF15" i="3" l="1"/>
  <c r="AE16" i="3" s="1"/>
  <c r="AG14" i="3"/>
  <c r="AH14" i="3" s="1"/>
  <c r="C26" i="3"/>
  <c r="K2" i="10" s="1" a="1"/>
  <c r="K2" i="10" s="1"/>
  <c r="C25" i="3"/>
  <c r="D2" i="10" l="1" a="1"/>
  <c r="J2" i="10" a="1"/>
  <c r="J2" i="10" s="1"/>
  <c r="AF16" i="3"/>
  <c r="AE17" i="3" s="1"/>
  <c r="AG15" i="3"/>
  <c r="AH15" i="3" s="1"/>
  <c r="C2" i="1"/>
  <c r="D2" i="10" l="1"/>
  <c r="AF17" i="3"/>
  <c r="AE18" i="3" s="1"/>
  <c r="AG16" i="3"/>
  <c r="AH16" i="3" s="1"/>
  <c r="Q4" i="3"/>
  <c r="F2" i="10" l="1" a="1"/>
  <c r="AF18" i="3"/>
  <c r="AE19" i="3" s="1"/>
  <c r="AG17" i="3"/>
  <c r="AH17" i="3" s="1"/>
  <c r="F2" i="10" l="1"/>
  <c r="G2" i="10" s="1" a="1"/>
  <c r="G2" i="10" s="1"/>
  <c r="H2" i="10" s="1" a="1"/>
  <c r="U7" i="3" s="1" a="1"/>
  <c r="AF19" i="3"/>
  <c r="AE20" i="3" s="1"/>
  <c r="AG18" i="3"/>
  <c r="AH18" i="3" s="1"/>
  <c r="U7" i="3" l="1"/>
  <c r="AB2" i="3"/>
  <c r="AG8" i="3"/>
  <c r="AH8" i="3" s="1"/>
  <c r="AG10" i="3"/>
  <c r="AH10" i="3" s="1"/>
  <c r="H2" i="10"/>
  <c r="AG9" i="3"/>
  <c r="AH9" i="3" s="1"/>
  <c r="AF20" i="3"/>
  <c r="AE21" i="3" s="1"/>
  <c r="AG19" i="3"/>
  <c r="AH19" i="3" s="1"/>
  <c r="AG7" i="3" l="1"/>
  <c r="AH7" i="3" s="1"/>
  <c r="AB3" i="3"/>
  <c r="AF21" i="3"/>
  <c r="AE22" i="3" s="1"/>
  <c r="AG20" i="3"/>
  <c r="AH20" i="3" s="1"/>
  <c r="AF22" i="3" l="1"/>
  <c r="AE23" i="3" s="1"/>
  <c r="AG21" i="3"/>
  <c r="AH21" i="3" s="1"/>
  <c r="AF23" i="3" l="1"/>
  <c r="AE24" i="3" s="1"/>
  <c r="AG22" i="3"/>
  <c r="AH22" i="3" s="1"/>
  <c r="AF24" i="3" l="1"/>
  <c r="AE25" i="3" s="1"/>
  <c r="AG23" i="3"/>
  <c r="AH23" i="3" s="1"/>
  <c r="AF25" i="3" l="1"/>
  <c r="AE26" i="3" s="1"/>
  <c r="AG24" i="3"/>
  <c r="AH24" i="3" s="1"/>
  <c r="AF26" i="3" l="1"/>
  <c r="AE27" i="3" s="1"/>
  <c r="AG25" i="3"/>
  <c r="AH25" i="3" s="1"/>
  <c r="AF27" i="3" l="1"/>
  <c r="AE28" i="3" s="1"/>
  <c r="AG26" i="3"/>
  <c r="AH26" i="3" s="1"/>
  <c r="AF28" i="3" l="1"/>
  <c r="AE29" i="3" s="1"/>
  <c r="AG27" i="3"/>
  <c r="AH27" i="3" s="1"/>
  <c r="AF29" i="3" l="1"/>
  <c r="AE30" i="3" s="1"/>
  <c r="AG28" i="3"/>
  <c r="AH28" i="3" s="1"/>
  <c r="AF30" i="3" l="1"/>
  <c r="AE31" i="3" s="1"/>
  <c r="AG29" i="3"/>
  <c r="AH29" i="3" s="1"/>
  <c r="AF31" i="3" l="1"/>
  <c r="AE32" i="3" s="1"/>
  <c r="AG30" i="3"/>
  <c r="AH30" i="3" s="1"/>
  <c r="AF32" i="3" l="1"/>
  <c r="AE33" i="3" s="1"/>
  <c r="AG31" i="3"/>
  <c r="AH31" i="3" s="1"/>
  <c r="AF33" i="3" l="1"/>
  <c r="AE34" i="3" s="1"/>
  <c r="AG32" i="3"/>
  <c r="AH32" i="3" s="1"/>
  <c r="AF34" i="3" l="1"/>
  <c r="AE35" i="3" s="1"/>
  <c r="AG33" i="3"/>
  <c r="AH33" i="3" s="1"/>
  <c r="AF35" i="3" l="1"/>
  <c r="AE36" i="3" s="1"/>
  <c r="AG34" i="3"/>
  <c r="AH34" i="3" s="1"/>
  <c r="AF36" i="3" l="1"/>
  <c r="AE37" i="3" s="1"/>
  <c r="AG35" i="3"/>
  <c r="AH35" i="3" s="1"/>
  <c r="AF37" i="3" l="1"/>
  <c r="AE38" i="3" s="1"/>
  <c r="AG36" i="3"/>
  <c r="AH36" i="3" s="1"/>
  <c r="AF38" i="3" l="1"/>
  <c r="AE39" i="3" s="1"/>
  <c r="AG37" i="3"/>
  <c r="AH37" i="3" s="1"/>
  <c r="AF39" i="3" l="1"/>
  <c r="AE40" i="3" s="1"/>
  <c r="AG38" i="3"/>
  <c r="AH38" i="3" s="1"/>
  <c r="AG39" i="3" l="1"/>
  <c r="AH39" i="3" s="1"/>
  <c r="AF40" i="3"/>
  <c r="AE41" i="3" s="1"/>
  <c r="AF41" i="3" l="1"/>
  <c r="AE42" i="3" s="1"/>
  <c r="AG40" i="3"/>
  <c r="AH40" i="3" s="1"/>
  <c r="AF42" i="3" l="1"/>
  <c r="AG42" i="3" s="1"/>
  <c r="AH42" i="3" s="1"/>
  <c r="AG41" i="3"/>
  <c r="AH41" i="3" s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<sst xmlns="http://schemas.openxmlformats.org/spreadsheetml/2006/main" count="108" uniqueCount="88">
  <si>
    <t>Date</t>
  </si>
  <si>
    <t>Produit</t>
  </si>
  <si>
    <t>N° de lot</t>
  </si>
  <si>
    <t>Pesée</t>
  </si>
  <si>
    <t>Poids Brut</t>
  </si>
  <si>
    <t>TU1</t>
  </si>
  <si>
    <t>QN</t>
  </si>
  <si>
    <t>QN (g)</t>
  </si>
  <si>
    <t>Heure</t>
  </si>
  <si>
    <t>TU2</t>
  </si>
  <si>
    <t>Calcul QN</t>
  </si>
  <si>
    <t>max</t>
  </si>
  <si>
    <t>min</t>
  </si>
  <si>
    <t xml:space="preserve"> %</t>
  </si>
  <si>
    <t>tolerance</t>
  </si>
  <si>
    <t>g ou mL</t>
  </si>
  <si>
    <t>Consideration</t>
  </si>
  <si>
    <t>colonne tolerance</t>
  </si>
  <si>
    <t>% (1) - g ou mL (2)</t>
  </si>
  <si>
    <t>information</t>
  </si>
  <si>
    <t>ligne information:</t>
  </si>
  <si>
    <t>sigma</t>
  </si>
  <si>
    <t>cible s</t>
  </si>
  <si>
    <t>coefficient</t>
  </si>
  <si>
    <t>LCI</t>
  </si>
  <si>
    <t>LCS</t>
  </si>
  <si>
    <t>Poids net</t>
  </si>
  <si>
    <t>Nombre</t>
  </si>
  <si>
    <t>total pesée:</t>
  </si>
  <si>
    <t>Valeur</t>
  </si>
  <si>
    <t>produit_a</t>
  </si>
  <si>
    <t>lot_a</t>
  </si>
  <si>
    <t>Tare</t>
  </si>
  <si>
    <t>AJUSTER TARE</t>
  </si>
  <si>
    <t>Text 2 - TARE</t>
  </si>
  <si>
    <t>Debut OF</t>
  </si>
  <si>
    <t>FIN OF</t>
  </si>
  <si>
    <t>FIN LOT</t>
  </si>
  <si>
    <t>Text 2 - debut OF</t>
  </si>
  <si>
    <t>Text 1 - fin of</t>
  </si>
  <si>
    <t>Bobine</t>
  </si>
  <si>
    <t>Ligne debut</t>
  </si>
  <si>
    <t>Ligne fin</t>
  </si>
  <si>
    <t>bobine actuelle:</t>
  </si>
  <si>
    <t>Nb</t>
  </si>
  <si>
    <t>tare associée:</t>
  </si>
  <si>
    <t>Moyenne</t>
  </si>
  <si>
    <t>Ligne début</t>
  </si>
  <si>
    <t>première ligne:</t>
  </si>
  <si>
    <t>Moyenne / séries</t>
  </si>
  <si>
    <t>nb mesures:</t>
  </si>
  <si>
    <t xml:space="preserve">dernière ligne: </t>
  </si>
  <si>
    <t>Valeur x</t>
  </si>
  <si>
    <t>Ligne</t>
  </si>
  <si>
    <t>nb bobine actuel:</t>
  </si>
  <si>
    <t>Debut Equipe</t>
  </si>
  <si>
    <t>Fin Equipe</t>
  </si>
  <si>
    <t>Text 1 - fin Equipe</t>
  </si>
  <si>
    <t>Renseigner la nouvelle Tare (en g)</t>
  </si>
  <si>
    <t>Renseigner le code article</t>
  </si>
  <si>
    <t>Renseigner le n°lot</t>
  </si>
  <si>
    <t>Appuyer sur le bouton « DEBUT EQUIPE »</t>
  </si>
  <si>
    <t>Appuyer sur « Print OFF ».</t>
  </si>
  <si>
    <t>Régler la balance (bulle, stabilité).</t>
  </si>
  <si>
    <t>Contrôler le poids étalon.</t>
  </si>
  <si>
    <t>Régler les poids.</t>
  </si>
  <si>
    <t>Appuyer sur « Print ON ».</t>
  </si>
  <si>
    <t>Fermer cette fenêtre puis contrôler 10 dosettes à la suite.</t>
  </si>
  <si>
    <t>Moyenne courte &lt; QN</t>
  </si>
  <si>
    <t>Recontrôler 10 dosettes à la suite. 
Si moyenne des 10 est inférieur au poids nominal deux fois de suite, faire un réglage poids + recontrôler 10 dosettes à la suite. 
Recommencer l’opération jusqu’à avoir une moyenne des 10 supérieure ou égale au poids nominal</t>
  </si>
  <si>
    <t>Moyenne courte est &lt;LCI</t>
  </si>
  <si>
    <t>Réglage poids + contrôler 10 dosettes à la suite</t>
  </si>
  <si>
    <t>Moyenne courte est &gt;LCS</t>
  </si>
  <si>
    <t>Apparition TU1</t>
  </si>
  <si>
    <t>Apparition TU2</t>
  </si>
  <si>
    <t>Moyenne longue &lt; QN</t>
  </si>
  <si>
    <t>Augmenter les poids + contrôler 10 dosettes à la suite</t>
  </si>
  <si>
    <t>Moyenne courte</t>
  </si>
  <si>
    <t>alerte</t>
  </si>
  <si>
    <t>Moyenne longue</t>
  </si>
  <si>
    <t>Attention dosette en TU1 ! 
- Arrêter la production. Retirer la dosette. 
- Appuyer sur « Print OFF ». 
- Recontrôler le carton précédent à 100%. 
- Répéter cette opération jusqu’à avoir un carton sans TU1/TU2. 
- Appuyer sur « Print ON » et reprendre la production.</t>
  </si>
  <si>
    <t>Attention dosette en TU2 ! 
-Arrêter la production. 
- Alerter une experte ou cheffe d’équipe. 
- Retirer la dosette. 
- Appuyer sur « Print OFF ». 
- Recontrôler le carton précédent à 100%. 
- Répéter cette opération jusqu’à avoir un carton sans TU1/TU2. 
- Appuyer sur « Print ON » et reprendre la production</t>
  </si>
  <si>
    <t>Nb dernières mesures</t>
  </si>
  <si>
    <t>ligne min</t>
  </si>
  <si>
    <t>ligne max</t>
  </si>
  <si>
    <t xml:space="preserve">moyenne longue : </t>
  </si>
  <si>
    <t>moyenne courte:</t>
  </si>
  <si>
    <t>parametre simulation 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</si>
</sst>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"/>
    <numFmt numFmtId="165" formatCode="[$-F400]h:mm:ss\ AM/PM"/>
  </numFmts>
  <fonts count="8" x14ac:knownFonts="1">
    <font>
      <sz val="12"/>
      <color theme="1"/>
      <name val="Aptos Narrow"/>
      <family val="2"/>
      <scheme val="minor"/>
    </font>
    <font>
      <b/>
      <sz val="12"/>
      <color theme="1"/>
      <name val="Aptos Narrow"/>
      <scheme val="minor"/>
    </font>
    <font>
      <sz val="12"/>
      <color theme="1"/>
      <name val="Aptos Narrow"/>
      <scheme val="minor"/>
    </font>
    <font>
      <i/>
      <sz val="12"/>
      <color theme="1"/>
      <name val="Aptos Narrow"/>
      <scheme val="minor"/>
    </font>
    <font>
      <sz val="12"/>
      <color rgb="FF000000"/>
      <name val="Aptos Narrow"/>
    </font>
    <font>
      <sz val="12"/>
      <color rgb="FFFF0000"/>
      <name val="Aptos Narrow"/>
      <family val="2"/>
      <scheme val="minor"/>
    </font>
    <font>
      <sz val="12"/>
      <color rgb="FF000000"/>
      <name val="Aptos Narrow"/>
      <family val="2"/>
    </font>
    <font>
      <sz val="12"/>
      <color theme="1"/>
      <name val="Aptos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5" tint="0.59999389629810485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double">
        <color indexed="64"/>
      </bottom>
      <diagonal/>
    </border>
  </borders>
  <cellStyleXfs count="1">
    <xf numFmtId="0" fontId="0" fillId="0" borderId="0"/>
  </cellStyleXfs>
  <cellXfs count="69">
    <xf numFmtId="0" fontId="0" fillId="0" borderId="0" xfId="0"/>
    <xf numFmtId="22" fontId="0" fillId="0" borderId="0" xfId="0" applyNumberFormat="1"/>
    <xf numFmtId="0" fontId="0" fillId="0" borderId="0" xfId="0" applyAlignment="1">
      <alignment horizontal="center"/>
    </xf>
    <xf numFmtId="0" fontId="0" fillId="2" borderId="0" xfId="0" applyFill="1" applyAlignment="1">
      <alignment horizontal="center"/>
    </xf>
    <xf numFmtId="0" fontId="1" fillId="0" borderId="0" xfId="0" applyFont="1" applyAlignment="1">
      <alignment horizontal="center"/>
    </xf>
    <xf numFmtId="0" fontId="3" fillId="0" borderId="0" xfId="0" applyFont="1" applyAlignment="1">
      <alignment horizontal="center"/>
    </xf>
    <xf numFmtId="0" fontId="3" fillId="0" borderId="0" xfId="0" applyFont="1"/>
    <xf numFmtId="0" fontId="1" fillId="0" borderId="4" xfId="0" applyFont="1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5" xfId="0" applyBorder="1"/>
    <xf numFmtId="0" fontId="0" fillId="0" borderId="7" xfId="0" applyBorder="1"/>
    <xf numFmtId="0" fontId="0" fillId="0" borderId="0" xfId="0" applyAlignment="1">
      <alignment horizontal="right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2" fontId="0" fillId="0" borderId="4" xfId="0" applyNumberFormat="1" applyBorder="1" applyAlignment="1">
      <alignment horizontal="center"/>
    </xf>
    <xf numFmtId="0" fontId="3" fillId="0" borderId="7" xfId="0" applyFont="1" applyBorder="1" applyAlignment="1">
      <alignment horizontal="center"/>
    </xf>
    <xf numFmtId="0" fontId="3" fillId="0" borderId="8" xfId="0" applyFont="1" applyBorder="1" applyAlignment="1">
      <alignment horizontal="center"/>
    </xf>
    <xf numFmtId="0" fontId="0" fillId="4" borderId="0" xfId="0" applyFill="1" applyAlignment="1">
      <alignment horizontal="center"/>
    </xf>
    <xf numFmtId="0" fontId="0" fillId="3" borderId="1" xfId="0" applyFill="1" applyBorder="1" applyAlignment="1">
      <alignment horizontal="center"/>
    </xf>
    <xf numFmtId="0" fontId="0" fillId="3" borderId="2" xfId="0" applyFill="1" applyBorder="1" applyAlignment="1">
      <alignment horizontal="center"/>
    </xf>
    <xf numFmtId="0" fontId="0" fillId="2" borderId="9" xfId="0" applyFill="1" applyBorder="1" applyAlignment="1">
      <alignment horizontal="center"/>
    </xf>
    <xf numFmtId="0" fontId="3" fillId="0" borderId="6" xfId="0" applyFont="1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0" xfId="0" applyAlignment="1">
      <alignment horizontal="center" vertical="center"/>
    </xf>
    <xf numFmtId="0" fontId="3" fillId="0" borderId="0" xfId="0" applyFont="1" applyAlignment="1">
      <alignment horizontal="right"/>
    </xf>
    <xf numFmtId="0" fontId="3" fillId="0" borderId="0" xfId="0" applyFont="1" applyAlignment="1">
      <alignment horizontal="left"/>
    </xf>
    <xf numFmtId="0" fontId="5" fillId="0" borderId="0" xfId="0" applyFont="1" applyAlignment="1">
      <alignment horizontal="center"/>
    </xf>
    <xf numFmtId="0" fontId="0" fillId="0" borderId="0" xfId="0" applyAlignment="1">
      <alignment horizontal="right" vertical="center"/>
    </xf>
    <xf numFmtId="0" fontId="0" fillId="0" borderId="6" xfId="0" applyBorder="1"/>
    <xf numFmtId="164" fontId="0" fillId="0" borderId="0" xfId="0" applyNumberFormat="1" applyAlignment="1">
      <alignment horizontal="center"/>
    </xf>
    <xf numFmtId="0" fontId="2" fillId="5" borderId="0" xfId="0" applyFont="1" applyFill="1" applyAlignment="1">
      <alignment horizontal="center"/>
    </xf>
    <xf numFmtId="2" fontId="0" fillId="0" borderId="0" xfId="0" applyNumberFormat="1" applyAlignment="1">
      <alignment horizontal="center" vertical="center"/>
    </xf>
    <xf numFmtId="2" fontId="0" fillId="0" borderId="0" xfId="0" applyNumberFormat="1"/>
    <xf numFmtId="2" fontId="0" fillId="0" borderId="0" xfId="0" applyNumberFormat="1" applyAlignment="1">
      <alignment horizontal="center"/>
    </xf>
    <xf numFmtId="2" fontId="0" fillId="6" borderId="0" xfId="0" applyNumberFormat="1" applyFill="1" applyAlignment="1">
      <alignment horizontal="center"/>
    </xf>
    <xf numFmtId="0" fontId="0" fillId="0" borderId="12" xfId="0" applyBorder="1" applyAlignment="1">
      <alignment horizontal="center"/>
    </xf>
    <xf numFmtId="0" fontId="0" fillId="0" borderId="11" xfId="0" applyBorder="1" applyAlignment="1">
      <alignment horizontal="center"/>
    </xf>
    <xf numFmtId="2" fontId="0" fillId="0" borderId="8" xfId="0" applyNumberFormat="1" applyBorder="1" applyAlignment="1">
      <alignment horizontal="center"/>
    </xf>
    <xf numFmtId="2" fontId="1" fillId="0" borderId="0" xfId="0" applyNumberFormat="1" applyFont="1" applyAlignment="1">
      <alignment horizontal="center"/>
    </xf>
    <xf numFmtId="0" fontId="0" fillId="6" borderId="1" xfId="0" applyFill="1" applyBorder="1" applyAlignment="1">
      <alignment horizontal="center"/>
    </xf>
    <xf numFmtId="0" fontId="0" fillId="6" borderId="2" xfId="0" applyFill="1" applyBorder="1" applyAlignment="1">
      <alignment horizontal="center"/>
    </xf>
    <xf numFmtId="1" fontId="0" fillId="2" borderId="0" xfId="0" applyNumberFormat="1" applyFill="1" applyAlignment="1">
      <alignment horizontal="center"/>
    </xf>
    <xf numFmtId="0" fontId="0" fillId="3" borderId="9" xfId="0" applyFill="1" applyBorder="1" applyAlignment="1">
      <alignment horizontal="center"/>
    </xf>
    <xf numFmtId="12" fontId="0" fillId="0" borderId="6" xfId="0" applyNumberFormat="1" applyBorder="1" applyAlignment="1">
      <alignment horizontal="center"/>
    </xf>
    <xf numFmtId="0" fontId="0" fillId="0" borderId="0" xfId="0" applyAlignment="1">
      <alignment horizontal="center" vertical="center" wrapText="1"/>
    </xf>
    <xf numFmtId="0" fontId="7" fillId="0" borderId="0" xfId="0" applyFont="1" applyAlignment="1">
      <alignment horizontal="center" vertical="center" wrapText="1"/>
    </xf>
    <xf numFmtId="0" fontId="0" fillId="0" borderId="0" xfId="0" applyAlignment="1">
      <alignment vertical="center" wrapText="1"/>
    </xf>
    <xf numFmtId="0" fontId="1" fillId="0" borderId="0" xfId="0" applyFont="1" applyAlignment="1">
      <alignment horizontal="center" vertical="center" wrapText="1"/>
    </xf>
    <xf numFmtId="0" fontId="1" fillId="0" borderId="0" xfId="0" applyFont="1" applyAlignment="1">
      <alignment horizontal="center" vertical="center"/>
    </xf>
    <xf numFmtId="0" fontId="0" fillId="2" borderId="12" xfId="0" applyFill="1" applyBorder="1" applyAlignment="1">
      <alignment horizontal="center"/>
    </xf>
    <xf numFmtId="0" fontId="0" fillId="2" borderId="4" xfId="0" applyFill="1" applyBorder="1" applyAlignment="1">
      <alignment horizontal="center"/>
    </xf>
    <xf numFmtId="14" fontId="0" fillId="0" borderId="0" xfId="0" applyNumberFormat="1" applyAlignment="1">
      <alignment horizontal="center"/>
    </xf>
    <xf numFmtId="165" fontId="0" fillId="0" borderId="0" xfId="0" applyNumberFormat="1" applyAlignment="1">
      <alignment horizontal="center"/>
    </xf>
    <xf numFmtId="4" fontId="0" fillId="0" borderId="0" xfId="0" applyNumberFormat="1" applyAlignment="1">
      <alignment horizontal="center"/>
    </xf>
    <xf numFmtId="0" fontId="2" fillId="0" borderId="0" xfId="0" applyFont="1" applyAlignment="1">
      <alignment horizontal="center"/>
    </xf>
    <xf numFmtId="0" fontId="1" fillId="0" borderId="13" xfId="0" applyFont="1" applyBorder="1" applyAlignment="1">
      <alignment horizontal="center"/>
    </xf>
    <xf numFmtId="1" fontId="0" fillId="0" borderId="0" xfId="0" applyNumberFormat="1" applyAlignment="1">
      <alignment horizontal="center"/>
    </xf>
    <xf numFmtId="2" fontId="1" fillId="0" borderId="13" xfId="0" applyNumberFormat="1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0" fontId="1" fillId="0" borderId="4" xfId="0" applyFont="1" applyBorder="1" applyAlignment="1">
      <alignment horizontal="center"/>
    </xf>
    <xf numFmtId="0" fontId="1" fillId="0" borderId="1" xfId="0" applyFont="1" applyBorder="1" applyAlignment="1">
      <alignment horizontal="center" vertical="center"/>
    </xf>
    <xf numFmtId="0" fontId="1" fillId="0" borderId="2" xfId="0" applyFont="1" applyBorder="1" applyAlignment="1">
      <alignment horizontal="center" vertical="center"/>
    </xf>
    <xf numFmtId="0" fontId="0" fillId="0" borderId="4" xfId="0" applyBorder="1"/>
    <xf numFmtId="0" fontId="0" fillId="0" borderId="8" xfId="0" applyBorder="1" applyAlignment="1">
      <alignment horizontal="center" vertical="center"/>
    </xf>
  </cellXfs>
  <cellStyles count="1">
    <cellStyle name="Normal" xfId="0" builtinId="0"/>
  </cellStyles>
  <dxfs count="3"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SUIVI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FR"/>
        </a:p>
      </c:txPr>
    </c:title>
    <c:autoTitleDeleted val="0"/>
    <c:plotArea>
      <c:layout/>
      <c:lineChart>
        <c:grouping val="standard"/>
        <c:varyColors val="0"/>
        <c:ser>
          <c:idx val="7"/>
          <c:order val="0"/>
          <c:tx>
            <c:strRef>
              <c:f>data_brute!$H$1</c:f>
              <c:strCache>
                <c:ptCount val="1"/>
                <c:pt idx="0">
                  <c:v>Poids net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cat>
            <c:numRef>
              <c:f>[0]!x_pesee</c:f>
              <c:numCache>
                <c:formatCode>General</c:formatCode>
                <c:ptCount val="31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</c:numCache>
            </c:numRef>
          </c:cat>
          <c:val>
            <c:numRef>
              <c:f>[0]!y_poids_net</c:f>
              <c:numCache>
                <c:formatCode>0.00</c:formatCode>
                <c:ptCount val="31"/>
                <c:pt idx="0">
                  <c:v>79.634367371977163</c:v>
                </c:pt>
                <c:pt idx="1">
                  <c:v>79.816189097368465</c:v>
                </c:pt>
                <c:pt idx="2">
                  <c:v>80.21324011454648</c:v>
                </c:pt>
                <c:pt idx="3">
                  <c:v>80.677909503397245</c:v>
                </c:pt>
                <c:pt idx="4">
                  <c:v>79.811758773448844</c:v>
                </c:pt>
                <c:pt idx="5">
                  <c:v>80.431962597806447</c:v>
                </c:pt>
                <c:pt idx="6">
                  <c:v>80.599437334142848</c:v>
                </c:pt>
                <c:pt idx="7">
                  <c:v>79.25983370662442</c:v>
                </c:pt>
                <c:pt idx="8">
                  <c:v>80.096261122954687</c:v>
                </c:pt>
                <c:pt idx="9">
                  <c:v>79.966279704972607</c:v>
                </c:pt>
                <c:pt idx="10">
                  <c:v>79.961336552770433</c:v>
                </c:pt>
                <c:pt idx="11">
                  <c:v>80.37593865110901</c:v>
                </c:pt>
                <c:pt idx="12">
                  <c:v>80.216648865577483</c:v>
                </c:pt>
                <c:pt idx="13">
                  <c:v>79.65279498208686</c:v>
                </c:pt>
                <c:pt idx="14">
                  <c:v>79.26421241681426</c:v>
                </c:pt>
                <c:pt idx="15">
                  <c:v>79.61734311151136</c:v>
                </c:pt>
                <c:pt idx="16">
                  <c:v>79.442132886958603</c:v>
                </c:pt>
                <c:pt idx="17">
                  <c:v>80.26052210764891</c:v>
                </c:pt>
                <c:pt idx="18">
                  <c:v>79.851070408261521</c:v>
                </c:pt>
                <c:pt idx="19">
                  <c:v>80.103548290337656</c:v>
                </c:pt>
                <c:pt idx="20">
                  <c:v>79.882072643473862</c:v>
                </c:pt>
                <c:pt idx="21">
                  <c:v>79.338412094129893</c:v>
                </c:pt>
                <c:pt idx="22">
                  <c:v>80.513012608040597</c:v>
                </c:pt>
                <c:pt idx="23">
                  <c:v>79.976647310293501</c:v>
                </c:pt>
                <c:pt idx="24">
                  <c:v>80.528700381559815</c:v>
                </c:pt>
                <c:pt idx="25">
                  <c:v>79.524593563046082</c:v>
                </c:pt>
                <c:pt idx="26">
                  <c:v>79.409680159865033</c:v>
                </c:pt>
                <c:pt idx="27">
                  <c:v>79.649439790516595</c:v>
                </c:pt>
                <c:pt idx="28">
                  <c:v>80.716236284702987</c:v>
                </c:pt>
                <c:pt idx="29">
                  <c:v>80.30140622215572</c:v>
                </c:pt>
                <c:pt idx="30">
                  <c:v>80.706313175924592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E0AE-9C42-8C9E-EDE9719B37D0}"/>
            </c:ext>
          </c:extLst>
        </c:ser>
        <c:ser>
          <c:idx val="8"/>
          <c:order val="1"/>
          <c:tx>
            <c:strRef>
              <c:f>data_brute!$I$1</c:f>
              <c:strCache>
                <c:ptCount val="1"/>
                <c:pt idx="0">
                  <c:v>QN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[0]!x_pesee</c:f>
              <c:numCache>
                <c:formatCode>General</c:formatCode>
                <c:ptCount val="31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</c:numCache>
            </c:numRef>
          </c:cat>
          <c:val>
            <c:numRef>
              <c:f>[0]!y_qn</c:f>
              <c:numCache>
                <c:formatCode>General</c:formatCode>
                <c:ptCount val="31"/>
                <c:pt idx="0">
                  <c:v>80</c:v>
                </c:pt>
                <c:pt idx="1">
                  <c:v>80</c:v>
                </c:pt>
                <c:pt idx="2">
                  <c:v>80</c:v>
                </c:pt>
                <c:pt idx="3">
                  <c:v>80</c:v>
                </c:pt>
                <c:pt idx="4">
                  <c:v>80</c:v>
                </c:pt>
                <c:pt idx="5">
                  <c:v>80</c:v>
                </c:pt>
                <c:pt idx="6">
                  <c:v>80</c:v>
                </c:pt>
                <c:pt idx="7">
                  <c:v>80</c:v>
                </c:pt>
                <c:pt idx="8">
                  <c:v>80</c:v>
                </c:pt>
                <c:pt idx="9">
                  <c:v>80</c:v>
                </c:pt>
                <c:pt idx="10">
                  <c:v>80</c:v>
                </c:pt>
                <c:pt idx="11">
                  <c:v>80</c:v>
                </c:pt>
                <c:pt idx="12">
                  <c:v>80</c:v>
                </c:pt>
                <c:pt idx="13">
                  <c:v>80</c:v>
                </c:pt>
                <c:pt idx="14">
                  <c:v>80</c:v>
                </c:pt>
                <c:pt idx="15">
                  <c:v>80</c:v>
                </c:pt>
                <c:pt idx="16">
                  <c:v>80</c:v>
                </c:pt>
                <c:pt idx="17">
                  <c:v>80</c:v>
                </c:pt>
                <c:pt idx="18">
                  <c:v>80</c:v>
                </c:pt>
                <c:pt idx="19">
                  <c:v>80</c:v>
                </c:pt>
                <c:pt idx="20">
                  <c:v>80</c:v>
                </c:pt>
                <c:pt idx="21">
                  <c:v>80</c:v>
                </c:pt>
                <c:pt idx="22">
                  <c:v>80</c:v>
                </c:pt>
                <c:pt idx="23">
                  <c:v>80</c:v>
                </c:pt>
                <c:pt idx="24">
                  <c:v>80</c:v>
                </c:pt>
                <c:pt idx="25">
                  <c:v>80</c:v>
                </c:pt>
                <c:pt idx="26">
                  <c:v>80</c:v>
                </c:pt>
                <c:pt idx="27">
                  <c:v>80</c:v>
                </c:pt>
                <c:pt idx="28">
                  <c:v>80</c:v>
                </c:pt>
                <c:pt idx="29">
                  <c:v>80</c:v>
                </c:pt>
                <c:pt idx="30">
                  <c:v>80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E0AE-9C42-8C9E-EDE9719B37D0}"/>
            </c:ext>
          </c:extLst>
        </c:ser>
        <c:ser>
          <c:idx val="0"/>
          <c:order val="2"/>
          <c:tx>
            <c:strRef>
              <c:f>data_brute!$J$1</c:f>
              <c:strCache>
                <c:ptCount val="1"/>
                <c:pt idx="0">
                  <c:v>LCI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[0]!x_pesee</c:f>
              <c:numCache>
                <c:formatCode>General</c:formatCode>
                <c:ptCount val="31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</c:numCache>
            </c:numRef>
          </c:cat>
          <c:val>
            <c:numRef>
              <c:f>[0]!y_lci</c:f>
              <c:numCache>
                <c:formatCode>General</c:formatCode>
                <c:ptCount val="31"/>
                <c:pt idx="0">
                  <c:v>79.25</c:v>
                </c:pt>
                <c:pt idx="1">
                  <c:v>79.25</c:v>
                </c:pt>
                <c:pt idx="2">
                  <c:v>79.25</c:v>
                </c:pt>
                <c:pt idx="3">
                  <c:v>79.25</c:v>
                </c:pt>
                <c:pt idx="4">
                  <c:v>79.25</c:v>
                </c:pt>
                <c:pt idx="5">
                  <c:v>79.25</c:v>
                </c:pt>
                <c:pt idx="6">
                  <c:v>79.25</c:v>
                </c:pt>
                <c:pt idx="7">
                  <c:v>79.25</c:v>
                </c:pt>
                <c:pt idx="8">
                  <c:v>79.25</c:v>
                </c:pt>
                <c:pt idx="9">
                  <c:v>79.25</c:v>
                </c:pt>
                <c:pt idx="10">
                  <c:v>79.25</c:v>
                </c:pt>
                <c:pt idx="11">
                  <c:v>79.25</c:v>
                </c:pt>
                <c:pt idx="12">
                  <c:v>79.25</c:v>
                </c:pt>
                <c:pt idx="13">
                  <c:v>79.25</c:v>
                </c:pt>
                <c:pt idx="14">
                  <c:v>79.25</c:v>
                </c:pt>
                <c:pt idx="15">
                  <c:v>79.25</c:v>
                </c:pt>
                <c:pt idx="16">
                  <c:v>79.25</c:v>
                </c:pt>
                <c:pt idx="17">
                  <c:v>79.25</c:v>
                </c:pt>
                <c:pt idx="18">
                  <c:v>79.25</c:v>
                </c:pt>
                <c:pt idx="19">
                  <c:v>79.25</c:v>
                </c:pt>
                <c:pt idx="20">
                  <c:v>79.25</c:v>
                </c:pt>
                <c:pt idx="21">
                  <c:v>79.25</c:v>
                </c:pt>
                <c:pt idx="22">
                  <c:v>79.25</c:v>
                </c:pt>
                <c:pt idx="23">
                  <c:v>79.25</c:v>
                </c:pt>
                <c:pt idx="24">
                  <c:v>79.25</c:v>
                </c:pt>
                <c:pt idx="25">
                  <c:v>79.25</c:v>
                </c:pt>
                <c:pt idx="26">
                  <c:v>79.25</c:v>
                </c:pt>
                <c:pt idx="27">
                  <c:v>79.25</c:v>
                </c:pt>
                <c:pt idx="28">
                  <c:v>79.25</c:v>
                </c:pt>
                <c:pt idx="29">
                  <c:v>79.25</c:v>
                </c:pt>
                <c:pt idx="30">
                  <c:v>79.25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E0AE-9C42-8C9E-EDE9719B37D0}"/>
            </c:ext>
          </c:extLst>
        </c:ser>
        <c:ser>
          <c:idx val="1"/>
          <c:order val="3"/>
          <c:tx>
            <c:strRef>
              <c:f>data_brute!$K$1</c:f>
              <c:strCache>
                <c:ptCount val="1"/>
                <c:pt idx="0">
                  <c:v>LCS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[0]!x_pesee</c:f>
              <c:numCache>
                <c:formatCode>General</c:formatCode>
                <c:ptCount val="31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</c:numCache>
            </c:numRef>
          </c:cat>
          <c:val>
            <c:numRef>
              <c:f>[0]!y_lcs</c:f>
              <c:numCache>
                <c:formatCode>General</c:formatCode>
                <c:ptCount val="31"/>
                <c:pt idx="0">
                  <c:v>80.75</c:v>
                </c:pt>
                <c:pt idx="1">
                  <c:v>80.75</c:v>
                </c:pt>
                <c:pt idx="2">
                  <c:v>80.75</c:v>
                </c:pt>
                <c:pt idx="3">
                  <c:v>80.75</c:v>
                </c:pt>
                <c:pt idx="4">
                  <c:v>80.75</c:v>
                </c:pt>
                <c:pt idx="5">
                  <c:v>80.75</c:v>
                </c:pt>
                <c:pt idx="6">
                  <c:v>80.75</c:v>
                </c:pt>
                <c:pt idx="7">
                  <c:v>80.75</c:v>
                </c:pt>
                <c:pt idx="8">
                  <c:v>80.75</c:v>
                </c:pt>
                <c:pt idx="9">
                  <c:v>80.75</c:v>
                </c:pt>
                <c:pt idx="10">
                  <c:v>80.75</c:v>
                </c:pt>
                <c:pt idx="11">
                  <c:v>80.75</c:v>
                </c:pt>
                <c:pt idx="12">
                  <c:v>80.75</c:v>
                </c:pt>
                <c:pt idx="13">
                  <c:v>80.75</c:v>
                </c:pt>
                <c:pt idx="14">
                  <c:v>80.75</c:v>
                </c:pt>
                <c:pt idx="15">
                  <c:v>80.75</c:v>
                </c:pt>
                <c:pt idx="16">
                  <c:v>80.75</c:v>
                </c:pt>
                <c:pt idx="17">
                  <c:v>80.75</c:v>
                </c:pt>
                <c:pt idx="18">
                  <c:v>80.75</c:v>
                </c:pt>
                <c:pt idx="19">
                  <c:v>80.75</c:v>
                </c:pt>
                <c:pt idx="20">
                  <c:v>80.75</c:v>
                </c:pt>
                <c:pt idx="21">
                  <c:v>80.75</c:v>
                </c:pt>
                <c:pt idx="22">
                  <c:v>80.75</c:v>
                </c:pt>
                <c:pt idx="23">
                  <c:v>80.75</c:v>
                </c:pt>
                <c:pt idx="24">
                  <c:v>80.75</c:v>
                </c:pt>
                <c:pt idx="25">
                  <c:v>80.75</c:v>
                </c:pt>
                <c:pt idx="26">
                  <c:v>80.75</c:v>
                </c:pt>
                <c:pt idx="27">
                  <c:v>80.75</c:v>
                </c:pt>
                <c:pt idx="28">
                  <c:v>80.75</c:v>
                </c:pt>
                <c:pt idx="29">
                  <c:v>80.75</c:v>
                </c:pt>
                <c:pt idx="30">
                  <c:v>80.75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E0AE-9C42-8C9E-EDE9719B37D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82337472"/>
        <c:axId val="890295264"/>
      </c:lineChart>
      <c:catAx>
        <c:axId val="11823374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FR"/>
          </a:p>
        </c:txPr>
        <c:crossAx val="890295264"/>
        <c:crosses val="autoZero"/>
        <c:auto val="1"/>
        <c:lblAlgn val="ctr"/>
        <c:lblOffset val="100"/>
        <c:noMultiLvlLbl val="0"/>
      </c:catAx>
      <c:valAx>
        <c:axId val="890295264"/>
        <c:scaling>
          <c:orientation val="minMax"/>
        </c:scaling>
        <c:delete val="0"/>
        <c:axPos val="l"/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FR"/>
          </a:p>
        </c:txPr>
        <c:crossAx val="11823374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F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Spin" dx="15" fmlaLink="$N$2" max="30000" page="10" val="3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520700</xdr:colOff>
          <xdr:row>2</xdr:row>
          <xdr:rowOff>152400</xdr:rowOff>
        </xdr:from>
        <xdr:to>
          <xdr:col>13</xdr:col>
          <xdr:colOff>190500</xdr:colOff>
          <xdr:row>6</xdr:row>
          <xdr:rowOff>139700</xdr:rowOff>
        </xdr:to>
        <xdr:sp macro="" textlink="">
          <xdr:nvSpPr>
            <xdr:cNvPr id="7169" name="Spinner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0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114300</xdr:colOff>
          <xdr:row>3</xdr:row>
          <xdr:rowOff>203200</xdr:rowOff>
        </xdr:from>
        <xdr:to>
          <xdr:col>7</xdr:col>
          <xdr:colOff>533400</xdr:colOff>
          <xdr:row>6</xdr:row>
          <xdr:rowOff>0</xdr:rowOff>
        </xdr:to>
        <xdr:sp macro="" textlink="">
          <xdr:nvSpPr>
            <xdr:cNvPr id="1050" name="Button 26" descr="TARE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1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Aptos Narrow" charset="0"/>
                </a:rPr>
                <a:t>FIN OF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673100</xdr:colOff>
          <xdr:row>3</xdr:row>
          <xdr:rowOff>177800</xdr:rowOff>
        </xdr:from>
        <xdr:to>
          <xdr:col>8</xdr:col>
          <xdr:colOff>850900</xdr:colOff>
          <xdr:row>6</xdr:row>
          <xdr:rowOff>0</xdr:rowOff>
        </xdr:to>
        <xdr:sp macro="" textlink="">
          <xdr:nvSpPr>
            <xdr:cNvPr id="1051" name="Button 27" descr="TARE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1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Aptos Narrow" charset="0"/>
                </a:rPr>
                <a:t>FIN LOT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88900</xdr:colOff>
          <xdr:row>1</xdr:row>
          <xdr:rowOff>50800</xdr:rowOff>
        </xdr:from>
        <xdr:to>
          <xdr:col>7</xdr:col>
          <xdr:colOff>495300</xdr:colOff>
          <xdr:row>3</xdr:row>
          <xdr:rowOff>88900</xdr:rowOff>
        </xdr:to>
        <xdr:sp macro="" textlink="">
          <xdr:nvSpPr>
            <xdr:cNvPr id="1052" name="Button 28" descr="TARE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1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Aptos Narrow" charset="0"/>
                </a:rPr>
                <a:t>DEBUT OF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622300</xdr:colOff>
          <xdr:row>1</xdr:row>
          <xdr:rowOff>76200</xdr:rowOff>
        </xdr:from>
        <xdr:to>
          <xdr:col>5</xdr:col>
          <xdr:colOff>787400</xdr:colOff>
          <xdr:row>3</xdr:row>
          <xdr:rowOff>114300</xdr:rowOff>
        </xdr:to>
        <xdr:sp macro="" textlink="">
          <xdr:nvSpPr>
            <xdr:cNvPr id="1057" name="Button 33" descr="TARE" hidden="1">
              <a:extLst>
                <a:ext uri="{63B3BB69-23CF-44E3-9099-C40C66FF867C}">
                  <a14:compatExt spid="_x0000_s1057"/>
                </a:ext>
                <a:ext uri="{FF2B5EF4-FFF2-40B4-BE49-F238E27FC236}">
                  <a16:creationId xmlns:a16="http://schemas.microsoft.com/office/drawing/2014/main" id="{00000000-0008-0000-0100-00002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Aptos Narrow" charset="0"/>
                </a:rPr>
                <a:t>DEBUT EQUIPE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622300</xdr:colOff>
          <xdr:row>3</xdr:row>
          <xdr:rowOff>203200</xdr:rowOff>
        </xdr:from>
        <xdr:to>
          <xdr:col>5</xdr:col>
          <xdr:colOff>787400</xdr:colOff>
          <xdr:row>6</xdr:row>
          <xdr:rowOff>25400</xdr:rowOff>
        </xdr:to>
        <xdr:sp macro="" textlink="">
          <xdr:nvSpPr>
            <xdr:cNvPr id="1058" name="Button 34" descr="TARE" hidden="1">
              <a:extLst>
                <a:ext uri="{63B3BB69-23CF-44E3-9099-C40C66FF867C}">
                  <a14:compatExt spid="_x0000_s1058"/>
                </a:ext>
                <a:ext uri="{FF2B5EF4-FFF2-40B4-BE49-F238E27FC236}">
                  <a16:creationId xmlns:a16="http://schemas.microsoft.com/office/drawing/2014/main" id="{00000000-0008-0000-0100-00002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Aptos Narrow" charset="0"/>
                </a:rPr>
                <a:t>FIN EQUIPE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622300</xdr:colOff>
          <xdr:row>1</xdr:row>
          <xdr:rowOff>38100</xdr:rowOff>
        </xdr:from>
        <xdr:to>
          <xdr:col>8</xdr:col>
          <xdr:colOff>876300</xdr:colOff>
          <xdr:row>3</xdr:row>
          <xdr:rowOff>76200</xdr:rowOff>
        </xdr:to>
        <xdr:sp macro="" textlink="">
          <xdr:nvSpPr>
            <xdr:cNvPr id="1059" name="Button 35" hidden="1">
              <a:extLst>
                <a:ext uri="{63B3BB69-23CF-44E3-9099-C40C66FF867C}">
                  <a14:compatExt spid="_x0000_s1059"/>
                </a:ext>
                <a:ext uri="{FF2B5EF4-FFF2-40B4-BE49-F238E27FC236}">
                  <a16:creationId xmlns:a16="http://schemas.microsoft.com/office/drawing/2014/main" id="{00000000-0008-0000-0100-00002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Aptos Narrow" pitchFamily="2" charset="0"/>
                </a:rPr>
                <a:t>AJUSTER TARE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38100</xdr:colOff>
      <xdr:row>12</xdr:row>
      <xdr:rowOff>82550</xdr:rowOff>
    </xdr:from>
    <xdr:to>
      <xdr:col>14</xdr:col>
      <xdr:colOff>571500</xdr:colOff>
      <xdr:row>46</xdr:row>
      <xdr:rowOff>165100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2C2F5E30-1915-4C28-1F24-8C65F2D6E5E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723900</xdr:colOff>
          <xdr:row>2</xdr:row>
          <xdr:rowOff>114300</xdr:rowOff>
        </xdr:from>
        <xdr:to>
          <xdr:col>18</xdr:col>
          <xdr:colOff>406400</xdr:colOff>
          <xdr:row>4</xdr:row>
          <xdr:rowOff>12700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2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Aptos Narrow" charset="0"/>
                </a:rPr>
                <a:t>Mise a zero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7.xml"/><Relationship Id="rId3" Type="http://schemas.openxmlformats.org/officeDocument/2006/relationships/ctrlProp" Target="../ctrlProps/ctrlProp2.xml"/><Relationship Id="rId7" Type="http://schemas.openxmlformats.org/officeDocument/2006/relationships/ctrlProp" Target="../ctrlProps/ctrlProp6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CD4B69-86FD-7745-BDF4-7795D02ABAE7}">
  <sheetPr codeName="Sheet7"/>
  <dimension ref="A1:N32"/>
  <sheetViews>
    <sheetView topLeftCell="A2" workbookViewId="0">
      <selection activeCell="R15" sqref="R15"/>
    </sheetView>
  </sheetViews>
  <sheetFormatPr baseColWidth="10" defaultRowHeight="16" outlineLevelCol="1" x14ac:dyDescent="0.2"/>
  <cols>
    <col min="1" max="3" width="10.83203125" style="2"/>
    <col min="4" max="4" width="10.83203125" style="38"/>
    <col min="5" max="7" width="10.83203125" style="2"/>
    <col min="8" max="8" width="10.83203125" style="38"/>
    <col min="9" max="9" width="3.83203125" style="2" customWidth="1" outlineLevel="1"/>
    <col min="10" max="10" width="7.5" style="2" customWidth="1" outlineLevel="1"/>
    <col min="11" max="11" width="7.1640625" style="2" customWidth="1" outlineLevel="1"/>
    <col min="12" max="16384" width="10.83203125" style="2"/>
  </cols>
  <sheetData>
    <row r="1" spans="1:14" x14ac:dyDescent="0.2">
      <c r="A1" s="4" t="s">
        <v>3</v>
      </c>
      <c r="B1" s="4" t="s">
        <v>0</v>
      </c>
      <c r="C1" s="4" t="s">
        <v>8</v>
      </c>
      <c r="D1" s="43" t="s">
        <v>4</v>
      </c>
      <c r="E1" s="4" t="s">
        <v>53</v>
      </c>
      <c r="F1" s="4" t="s">
        <v>40</v>
      </c>
      <c r="G1" s="4" t="s">
        <v>32</v>
      </c>
      <c r="H1" s="43" t="s">
        <v>26</v>
      </c>
      <c r="I1" s="4" t="s">
        <v>6</v>
      </c>
      <c r="J1" s="4" t="s">
        <v>24</v>
      </c>
      <c r="K1" s="4" t="s">
        <v>25</v>
      </c>
    </row>
    <row r="2" spans="1:14" x14ac:dyDescent="0.2">
      <c r="A2" s="2" cm="1">
        <f t="array" ref="A2:A32">_xlfn.SEQUENCE(N2)</f>
        <v>1</v>
      </c>
      <c r="D2" s="38" cm="1">
        <f t="array" aca="1" ref="D2:D32" ca="1">_xlfn.RANDARRAY(N2,1,calculs_intermediaires!C25+5,calculs_intermediaires!C26+5,FALSE)</f>
        <v>84.634367371977163</v>
      </c>
      <c r="E2" s="2" cm="1">
        <f t="array" ref="E2:E32">IF(_xlfn.ANCHORARRAY(A2)&lt;&gt;0,ROW(_xlfn.ANCHORARRAY(A2)))</f>
        <v>2</v>
      </c>
      <c r="F2" s="2" cm="1">
        <f t="array" ref="F2:F32">_xlfn.BYROW(_xlfn.ANCHORARRAY(E2), _xlfn.LAMBDA(_xlpm.row, _xlfn._xlws.FILTER(calculs_intermediaires!$M$7:$M$100, (_xlpm.row&gt;=calculs_intermediaires!O$7:O$100) * (_xlpm.row&lt;=calculs_intermediaires!P$7:P$100), "No Match")))</f>
        <v>1</v>
      </c>
      <c r="G2" s="2" cm="1">
        <f t="array" ref="G2:G32">INDEX(calculs_intermediaires!$N$7:$N$100,MATCH(_xlfn.ANCHORARRAY(F2),calculs_intermediaires!$M$7:$M$100,0))</f>
        <v>5</v>
      </c>
      <c r="H2" s="38" cm="1">
        <f t="array" aca="1" ref="H2:H32" ca="1">_xlfn.ANCHORARRAY(D2)-_xlfn.ANCHORARRAY(G2)</f>
        <v>79.634367371977163</v>
      </c>
      <c r="I2" s="2" cm="1">
        <f t="array" ref="I2:I32">IF(_xlfn.SEQUENCE(calculs_intermediaires!F4,1,1), interface!C6, "")</f>
        <v>80</v>
      </c>
      <c r="J2" s="2" cm="1">
        <f t="array" ref="J2:J32">IF(_xlfn.SEQUENCE(calculs_intermediaires!F4,1,1), calculs_intermediaires!C25, "")</f>
        <v>79.25</v>
      </c>
      <c r="K2" s="2" cm="1">
        <f t="array" ref="K2:K32">IF(_xlfn.SEQUENCE(calculs_intermediaires!F4,1,1), calculs_intermediaires!C26, "")</f>
        <v>80.75</v>
      </c>
      <c r="M2" s="14" t="s">
        <v>87</v>
      </c>
      <c r="N2" s="2">
        <v>31</v>
      </c>
    </row>
    <row r="3" spans="1:14" x14ac:dyDescent="0.2">
      <c r="A3" s="2">
        <v>2</v>
      </c>
      <c r="D3" s="38">
        <f ca="1"/>
        <v>84.816189097368465</v>
      </c>
      <c r="E3" s="2">
        <v>3</v>
      </c>
      <c r="F3" s="2">
        <v>1</v>
      </c>
      <c r="G3" s="2">
        <v>5</v>
      </c>
      <c r="H3" s="38">
        <f ca="1"/>
        <v>79.816189097368465</v>
      </c>
      <c r="I3" s="2">
        <v>80</v>
      </c>
      <c r="J3" s="2">
        <v>79.25</v>
      </c>
      <c r="K3" s="2">
        <v>80.75</v>
      </c>
    </row>
    <row r="4" spans="1:14" x14ac:dyDescent="0.2">
      <c r="A4" s="2">
        <v>3</v>
      </c>
      <c r="D4" s="38">
        <f ca="1"/>
        <v>85.21324011454648</v>
      </c>
      <c r="E4" s="2">
        <v>4</v>
      </c>
      <c r="F4" s="2">
        <v>1</v>
      </c>
      <c r="G4" s="2">
        <v>5</v>
      </c>
      <c r="H4" s="38">
        <f ca="1"/>
        <v>80.21324011454648</v>
      </c>
      <c r="I4" s="2">
        <v>80</v>
      </c>
      <c r="J4" s="2">
        <v>79.25</v>
      </c>
      <c r="K4" s="2">
        <v>80.75</v>
      </c>
    </row>
    <row r="5" spans="1:14" x14ac:dyDescent="0.2">
      <c r="A5" s="2">
        <v>4</v>
      </c>
      <c r="D5" s="38">
        <f ca="1"/>
        <v>85.677909503397245</v>
      </c>
      <c r="E5" s="2">
        <v>5</v>
      </c>
      <c r="F5" s="2">
        <v>1</v>
      </c>
      <c r="G5" s="2">
        <v>5</v>
      </c>
      <c r="H5" s="38">
        <f ca="1"/>
        <v>80.677909503397245</v>
      </c>
      <c r="I5" s="2">
        <v>80</v>
      </c>
      <c r="J5" s="2">
        <v>79.25</v>
      </c>
      <c r="K5" s="2">
        <v>80.75</v>
      </c>
    </row>
    <row r="6" spans="1:14" x14ac:dyDescent="0.2">
      <c r="A6" s="2">
        <v>5</v>
      </c>
      <c r="D6" s="38">
        <f ca="1"/>
        <v>84.811758773448844</v>
      </c>
      <c r="E6" s="2">
        <v>6</v>
      </c>
      <c r="F6" s="2">
        <v>1</v>
      </c>
      <c r="G6" s="2">
        <v>5</v>
      </c>
      <c r="H6" s="38">
        <f ca="1"/>
        <v>79.811758773448844</v>
      </c>
      <c r="I6" s="2">
        <v>80</v>
      </c>
      <c r="J6" s="2">
        <v>79.25</v>
      </c>
      <c r="K6" s="2">
        <v>80.75</v>
      </c>
    </row>
    <row r="7" spans="1:14" x14ac:dyDescent="0.2">
      <c r="A7" s="2">
        <v>6</v>
      </c>
      <c r="D7" s="38">
        <f ca="1"/>
        <v>85.431962597806447</v>
      </c>
      <c r="E7" s="2">
        <v>7</v>
      </c>
      <c r="F7" s="2">
        <v>1</v>
      </c>
      <c r="G7" s="2">
        <v>5</v>
      </c>
      <c r="H7" s="38">
        <f ca="1"/>
        <v>80.431962597806447</v>
      </c>
      <c r="I7" s="2">
        <v>80</v>
      </c>
      <c r="J7" s="2">
        <v>79.25</v>
      </c>
      <c r="K7" s="2">
        <v>80.75</v>
      </c>
    </row>
    <row r="8" spans="1:14" x14ac:dyDescent="0.2">
      <c r="A8" s="2">
        <v>7</v>
      </c>
      <c r="D8" s="38">
        <f ca="1"/>
        <v>85.599437334142848</v>
      </c>
      <c r="E8" s="2">
        <v>8</v>
      </c>
      <c r="F8" s="2">
        <v>1</v>
      </c>
      <c r="G8" s="2">
        <v>5</v>
      </c>
      <c r="H8" s="38">
        <f ca="1"/>
        <v>80.599437334142848</v>
      </c>
      <c r="I8" s="2">
        <v>80</v>
      </c>
      <c r="J8" s="2">
        <v>79.25</v>
      </c>
      <c r="K8" s="2">
        <v>80.75</v>
      </c>
    </row>
    <row r="9" spans="1:14" x14ac:dyDescent="0.2">
      <c r="A9" s="2">
        <v>8</v>
      </c>
      <c r="D9" s="38">
        <f ca="1"/>
        <v>84.25983370662442</v>
      </c>
      <c r="E9" s="2">
        <v>9</v>
      </c>
      <c r="F9" s="2">
        <v>1</v>
      </c>
      <c r="G9" s="2">
        <v>5</v>
      </c>
      <c r="H9" s="38">
        <f ca="1"/>
        <v>79.25983370662442</v>
      </c>
      <c r="I9" s="2">
        <v>80</v>
      </c>
      <c r="J9" s="2">
        <v>79.25</v>
      </c>
      <c r="K9" s="2">
        <v>80.75</v>
      </c>
    </row>
    <row r="10" spans="1:14" x14ac:dyDescent="0.2">
      <c r="A10" s="2">
        <v>9</v>
      </c>
      <c r="D10" s="38">
        <f ca="1"/>
        <v>85.096261122954687</v>
      </c>
      <c r="E10" s="2">
        <v>10</v>
      </c>
      <c r="F10" s="2">
        <v>1</v>
      </c>
      <c r="G10" s="2">
        <v>5</v>
      </c>
      <c r="H10" s="38">
        <f ca="1"/>
        <v>80.096261122954687</v>
      </c>
      <c r="I10" s="2">
        <v>80</v>
      </c>
      <c r="J10" s="2">
        <v>79.25</v>
      </c>
      <c r="K10" s="2">
        <v>80.75</v>
      </c>
    </row>
    <row r="11" spans="1:14" x14ac:dyDescent="0.2">
      <c r="A11" s="2">
        <v>10</v>
      </c>
      <c r="D11" s="38">
        <f ca="1"/>
        <v>84.966279704972607</v>
      </c>
      <c r="E11" s="2">
        <v>11</v>
      </c>
      <c r="F11" s="2">
        <v>1</v>
      </c>
      <c r="G11" s="2">
        <v>5</v>
      </c>
      <c r="H11" s="38">
        <f ca="1"/>
        <v>79.966279704972607</v>
      </c>
      <c r="I11" s="2">
        <v>80</v>
      </c>
      <c r="J11" s="2">
        <v>79.25</v>
      </c>
      <c r="K11" s="2">
        <v>80.75</v>
      </c>
    </row>
    <row r="12" spans="1:14" x14ac:dyDescent="0.2">
      <c r="A12" s="2">
        <v>11</v>
      </c>
      <c r="D12" s="38">
        <f ca="1"/>
        <v>84.961336552770433</v>
      </c>
      <c r="E12" s="2">
        <v>12</v>
      </c>
      <c r="F12" s="2">
        <v>1</v>
      </c>
      <c r="G12" s="2">
        <v>5</v>
      </c>
      <c r="H12" s="38">
        <f ca="1"/>
        <v>79.961336552770433</v>
      </c>
      <c r="I12" s="2">
        <v>80</v>
      </c>
      <c r="J12" s="2">
        <v>79.25</v>
      </c>
      <c r="K12" s="2">
        <v>80.75</v>
      </c>
    </row>
    <row r="13" spans="1:14" x14ac:dyDescent="0.2">
      <c r="A13" s="2">
        <v>12</v>
      </c>
      <c r="D13" s="38">
        <f ca="1"/>
        <v>85.37593865110901</v>
      </c>
      <c r="E13" s="2">
        <v>13</v>
      </c>
      <c r="F13" s="2">
        <v>1</v>
      </c>
      <c r="G13" s="2">
        <v>5</v>
      </c>
      <c r="H13" s="38">
        <f ca="1"/>
        <v>80.37593865110901</v>
      </c>
      <c r="I13" s="2">
        <v>80</v>
      </c>
      <c r="J13" s="2">
        <v>79.25</v>
      </c>
      <c r="K13" s="2">
        <v>80.75</v>
      </c>
    </row>
    <row r="14" spans="1:14" x14ac:dyDescent="0.2">
      <c r="A14" s="2">
        <v>13</v>
      </c>
      <c r="D14" s="38">
        <f ca="1"/>
        <v>85.216648865577483</v>
      </c>
      <c r="E14" s="2">
        <v>14</v>
      </c>
      <c r="F14" s="2">
        <v>1</v>
      </c>
      <c r="G14" s="2">
        <v>5</v>
      </c>
      <c r="H14" s="38">
        <f ca="1"/>
        <v>80.216648865577483</v>
      </c>
      <c r="I14" s="2">
        <v>80</v>
      </c>
      <c r="J14" s="2">
        <v>79.25</v>
      </c>
      <c r="K14" s="2">
        <v>80.75</v>
      </c>
    </row>
    <row r="15" spans="1:14" x14ac:dyDescent="0.2">
      <c r="A15" s="2">
        <v>14</v>
      </c>
      <c r="D15" s="38">
        <f ca="1"/>
        <v>84.65279498208686</v>
      </c>
      <c r="E15" s="2">
        <v>15</v>
      </c>
      <c r="F15" s="2">
        <v>1</v>
      </c>
      <c r="G15" s="2">
        <v>5</v>
      </c>
      <c r="H15" s="38">
        <f ca="1"/>
        <v>79.65279498208686</v>
      </c>
      <c r="I15" s="2">
        <v>80</v>
      </c>
      <c r="J15" s="2">
        <v>79.25</v>
      </c>
      <c r="K15" s="2">
        <v>80.75</v>
      </c>
    </row>
    <row r="16" spans="1:14" x14ac:dyDescent="0.2">
      <c r="A16" s="2">
        <v>15</v>
      </c>
      <c r="D16" s="38">
        <f ca="1"/>
        <v>84.26421241681426</v>
      </c>
      <c r="E16" s="2">
        <v>16</v>
      </c>
      <c r="F16" s="2">
        <v>1</v>
      </c>
      <c r="G16" s="2">
        <v>5</v>
      </c>
      <c r="H16" s="38">
        <f ca="1"/>
        <v>79.26421241681426</v>
      </c>
      <c r="I16" s="2">
        <v>80</v>
      </c>
      <c r="J16" s="2">
        <v>79.25</v>
      </c>
      <c r="K16" s="2">
        <v>80.75</v>
      </c>
    </row>
    <row r="17" spans="1:11" x14ac:dyDescent="0.2">
      <c r="A17" s="2">
        <v>16</v>
      </c>
      <c r="D17" s="38">
        <f ca="1"/>
        <v>84.61734311151136</v>
      </c>
      <c r="E17" s="2">
        <v>17</v>
      </c>
      <c r="F17" s="2">
        <v>1</v>
      </c>
      <c r="G17" s="2">
        <v>5</v>
      </c>
      <c r="H17" s="38">
        <f ca="1"/>
        <v>79.61734311151136</v>
      </c>
      <c r="I17" s="2">
        <v>80</v>
      </c>
      <c r="J17" s="2">
        <v>79.25</v>
      </c>
      <c r="K17" s="2">
        <v>80.75</v>
      </c>
    </row>
    <row r="18" spans="1:11" x14ac:dyDescent="0.2">
      <c r="A18" s="2">
        <v>17</v>
      </c>
      <c r="D18" s="38">
        <f ca="1"/>
        <v>84.442132886958603</v>
      </c>
      <c r="E18" s="2">
        <v>18</v>
      </c>
      <c r="F18" s="2">
        <v>1</v>
      </c>
      <c r="G18" s="2">
        <v>5</v>
      </c>
      <c r="H18" s="38">
        <f ca="1"/>
        <v>79.442132886958603</v>
      </c>
      <c r="I18" s="2">
        <v>80</v>
      </c>
      <c r="J18" s="2">
        <v>79.25</v>
      </c>
      <c r="K18" s="2">
        <v>80.75</v>
      </c>
    </row>
    <row r="19" spans="1:11" x14ac:dyDescent="0.2">
      <c r="A19" s="2">
        <v>18</v>
      </c>
      <c r="D19" s="38">
        <f ca="1"/>
        <v>85.26052210764891</v>
      </c>
      <c r="E19" s="2">
        <v>19</v>
      </c>
      <c r="F19" s="2">
        <v>1</v>
      </c>
      <c r="G19" s="2">
        <v>5</v>
      </c>
      <c r="H19" s="38">
        <f ca="1"/>
        <v>80.26052210764891</v>
      </c>
      <c r="I19" s="2">
        <v>80</v>
      </c>
      <c r="J19" s="2">
        <v>79.25</v>
      </c>
      <c r="K19" s="2">
        <v>80.75</v>
      </c>
    </row>
    <row r="20" spans="1:11" x14ac:dyDescent="0.2">
      <c r="A20" s="2">
        <v>19</v>
      </c>
      <c r="D20" s="38">
        <f ca="1"/>
        <v>84.851070408261521</v>
      </c>
      <c r="E20" s="2">
        <v>20</v>
      </c>
      <c r="F20" s="2">
        <v>1</v>
      </c>
      <c r="G20" s="2">
        <v>5</v>
      </c>
      <c r="H20" s="38">
        <f ca="1"/>
        <v>79.851070408261521</v>
      </c>
      <c r="I20" s="2">
        <v>80</v>
      </c>
      <c r="J20" s="2">
        <v>79.25</v>
      </c>
      <c r="K20" s="2">
        <v>80.75</v>
      </c>
    </row>
    <row r="21" spans="1:11" x14ac:dyDescent="0.2">
      <c r="A21" s="2">
        <v>20</v>
      </c>
      <c r="D21" s="38">
        <f ca="1"/>
        <v>85.103548290337656</v>
      </c>
      <c r="E21" s="2">
        <v>21</v>
      </c>
      <c r="F21" s="2">
        <v>1</v>
      </c>
      <c r="G21" s="2">
        <v>5</v>
      </c>
      <c r="H21" s="38">
        <f ca="1"/>
        <v>80.103548290337656</v>
      </c>
      <c r="I21" s="2">
        <v>80</v>
      </c>
      <c r="J21" s="2">
        <v>79.25</v>
      </c>
      <c r="K21" s="2">
        <v>80.75</v>
      </c>
    </row>
    <row r="22" spans="1:11" x14ac:dyDescent="0.2">
      <c r="A22" s="2">
        <v>21</v>
      </c>
      <c r="D22" s="38">
        <f ca="1"/>
        <v>84.882072643473862</v>
      </c>
      <c r="E22" s="2">
        <v>22</v>
      </c>
      <c r="F22" s="2">
        <v>1</v>
      </c>
      <c r="G22" s="2">
        <v>5</v>
      </c>
      <c r="H22" s="38">
        <f ca="1"/>
        <v>79.882072643473862</v>
      </c>
      <c r="I22" s="2">
        <v>80</v>
      </c>
      <c r="J22" s="2">
        <v>79.25</v>
      </c>
      <c r="K22" s="2">
        <v>80.75</v>
      </c>
    </row>
    <row r="23" spans="1:11" x14ac:dyDescent="0.2">
      <c r="A23" s="2">
        <v>22</v>
      </c>
      <c r="D23" s="38">
        <f ca="1"/>
        <v>84.338412094129893</v>
      </c>
      <c r="E23" s="2">
        <v>23</v>
      </c>
      <c r="F23" s="2">
        <v>1</v>
      </c>
      <c r="G23" s="2">
        <v>5</v>
      </c>
      <c r="H23" s="38">
        <f ca="1"/>
        <v>79.338412094129893</v>
      </c>
      <c r="I23" s="2">
        <v>80</v>
      </c>
      <c r="J23" s="2">
        <v>79.25</v>
      </c>
      <c r="K23" s="2">
        <v>80.75</v>
      </c>
    </row>
    <row r="24" spans="1:11" x14ac:dyDescent="0.2">
      <c r="A24" s="2">
        <v>23</v>
      </c>
      <c r="D24" s="38">
        <f ca="1"/>
        <v>85.513012608040597</v>
      </c>
      <c r="E24" s="2">
        <v>24</v>
      </c>
      <c r="F24" s="2">
        <v>1</v>
      </c>
      <c r="G24" s="2">
        <v>5</v>
      </c>
      <c r="H24" s="38">
        <f ca="1"/>
        <v>80.513012608040597</v>
      </c>
      <c r="I24" s="2">
        <v>80</v>
      </c>
      <c r="J24" s="2">
        <v>79.25</v>
      </c>
      <c r="K24" s="2">
        <v>80.75</v>
      </c>
    </row>
    <row r="25" spans="1:11" x14ac:dyDescent="0.2">
      <c r="A25" s="2">
        <v>24</v>
      </c>
      <c r="D25" s="38">
        <f ca="1"/>
        <v>84.976647310293501</v>
      </c>
      <c r="E25" s="2">
        <v>25</v>
      </c>
      <c r="F25" s="2">
        <v>1</v>
      </c>
      <c r="G25" s="2">
        <v>5</v>
      </c>
      <c r="H25" s="38">
        <f ca="1"/>
        <v>79.976647310293501</v>
      </c>
      <c r="I25" s="2">
        <v>80</v>
      </c>
      <c r="J25" s="2">
        <v>79.25</v>
      </c>
      <c r="K25" s="2">
        <v>80.75</v>
      </c>
    </row>
    <row r="26" spans="1:11" x14ac:dyDescent="0.2">
      <c r="A26" s="2">
        <v>25</v>
      </c>
      <c r="D26" s="38">
        <f ca="1"/>
        <v>85.528700381559815</v>
      </c>
      <c r="E26" s="2">
        <v>26</v>
      </c>
      <c r="F26" s="2">
        <v>1</v>
      </c>
      <c r="G26" s="2">
        <v>5</v>
      </c>
      <c r="H26" s="38">
        <f ca="1"/>
        <v>80.528700381559815</v>
      </c>
      <c r="I26" s="2">
        <v>80</v>
      </c>
      <c r="J26" s="2">
        <v>79.25</v>
      </c>
      <c r="K26" s="2">
        <v>80.75</v>
      </c>
    </row>
    <row r="27" spans="1:11" x14ac:dyDescent="0.2">
      <c r="A27" s="2">
        <v>26</v>
      </c>
      <c r="D27" s="38">
        <f ca="1"/>
        <v>84.524593563046082</v>
      </c>
      <c r="E27" s="2">
        <v>27</v>
      </c>
      <c r="F27" s="2">
        <v>1</v>
      </c>
      <c r="G27" s="2">
        <v>5</v>
      </c>
      <c r="H27" s="38">
        <f ca="1"/>
        <v>79.524593563046082</v>
      </c>
      <c r="I27" s="2">
        <v>80</v>
      </c>
      <c r="J27" s="2">
        <v>79.25</v>
      </c>
      <c r="K27" s="2">
        <v>80.75</v>
      </c>
    </row>
    <row r="28" spans="1:11" x14ac:dyDescent="0.2">
      <c r="A28" s="2">
        <v>27</v>
      </c>
      <c r="D28" s="38">
        <f ca="1"/>
        <v>84.409680159865033</v>
      </c>
      <c r="E28" s="2">
        <v>28</v>
      </c>
      <c r="F28" s="2">
        <v>1</v>
      </c>
      <c r="G28" s="2">
        <v>5</v>
      </c>
      <c r="H28" s="38">
        <f ca="1"/>
        <v>79.409680159865033</v>
      </c>
      <c r="I28" s="2">
        <v>80</v>
      </c>
      <c r="J28" s="2">
        <v>79.25</v>
      </c>
      <c r="K28" s="2">
        <v>80.75</v>
      </c>
    </row>
    <row r="29" spans="1:11" x14ac:dyDescent="0.2">
      <c r="A29" s="2">
        <v>28</v>
      </c>
      <c r="D29" s="38">
        <f ca="1"/>
        <v>84.649439790516595</v>
      </c>
      <c r="E29" s="2">
        <v>29</v>
      </c>
      <c r="F29" s="2">
        <v>1</v>
      </c>
      <c r="G29" s="2">
        <v>5</v>
      </c>
      <c r="H29" s="38">
        <f ca="1"/>
        <v>79.649439790516595</v>
      </c>
      <c r="I29" s="2">
        <v>80</v>
      </c>
      <c r="J29" s="2">
        <v>79.25</v>
      </c>
      <c r="K29" s="2">
        <v>80.75</v>
      </c>
    </row>
    <row r="30" spans="1:11" x14ac:dyDescent="0.2">
      <c r="A30" s="2">
        <v>29</v>
      </c>
      <c r="D30" s="38">
        <f ca="1"/>
        <v>85.716236284702987</v>
      </c>
      <c r="E30" s="2">
        <v>30</v>
      </c>
      <c r="F30" s="2">
        <v>1</v>
      </c>
      <c r="G30" s="2">
        <v>5</v>
      </c>
      <c r="H30" s="38">
        <f ca="1"/>
        <v>80.716236284702987</v>
      </c>
      <c r="I30" s="2">
        <v>80</v>
      </c>
      <c r="J30" s="2">
        <v>79.25</v>
      </c>
      <c r="K30" s="2">
        <v>80.75</v>
      </c>
    </row>
    <row r="31" spans="1:11" x14ac:dyDescent="0.2">
      <c r="A31" s="2">
        <v>30</v>
      </c>
      <c r="D31" s="38">
        <f ca="1"/>
        <v>85.30140622215572</v>
      </c>
      <c r="E31" s="2">
        <v>31</v>
      </c>
      <c r="F31" s="2">
        <v>1</v>
      </c>
      <c r="G31" s="2">
        <v>5</v>
      </c>
      <c r="H31" s="38">
        <f ca="1"/>
        <v>80.30140622215572</v>
      </c>
      <c r="I31" s="2">
        <v>80</v>
      </c>
      <c r="J31" s="2">
        <v>79.25</v>
      </c>
      <c r="K31" s="2">
        <v>80.75</v>
      </c>
    </row>
    <row r="32" spans="1:11" x14ac:dyDescent="0.2">
      <c r="A32" s="2">
        <v>31</v>
      </c>
      <c r="D32" s="38">
        <f ca="1"/>
        <v>85.706313175924592</v>
      </c>
      <c r="E32" s="2">
        <v>32</v>
      </c>
      <c r="F32" s="2">
        <v>1</v>
      </c>
      <c r="G32" s="2">
        <v>5</v>
      </c>
      <c r="H32" s="38">
        <f ca="1"/>
        <v>80.706313175924592</v>
      </c>
      <c r="I32" s="2">
        <v>80</v>
      </c>
      <c r="J32" s="2">
        <v>79.25</v>
      </c>
      <c r="K32" s="2">
        <v>80.75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3" name="Spinner 1">
              <controlPr defaultSize="0" autoPict="0">
                <anchor moveWithCells="1" sizeWithCells="1">
                  <from>
                    <xdr:col>11</xdr:col>
                    <xdr:colOff>520700</xdr:colOff>
                    <xdr:row>2</xdr:row>
                    <xdr:rowOff>152400</xdr:rowOff>
                  </from>
                  <to>
                    <xdr:col>13</xdr:col>
                    <xdr:colOff>190500</xdr:colOff>
                    <xdr:row>6</xdr:row>
                    <xdr:rowOff>139700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D475ED-E227-F249-8251-A5AED815CCED}">
  <sheetPr codeName="Sheet1"/>
  <dimension ref="A1:M38"/>
  <sheetViews>
    <sheetView showGridLines="0" tabSelected="1" zoomScale="87" workbookViewId="0">
      <selection activeCell="R15" sqref="R15"/>
    </sheetView>
  </sheetViews>
  <sheetFormatPr baseColWidth="10" defaultRowHeight="16" x14ac:dyDescent="0.2"/>
  <cols>
    <col min="1" max="1" width="7.6640625" style="2" customWidth="1"/>
    <col min="2" max="2" width="10.83203125" style="28"/>
    <col min="3" max="3" width="16.5" bestFit="1" customWidth="1"/>
    <col min="4" max="4" width="8" bestFit="1" customWidth="1"/>
    <col min="7" max="7" width="10" bestFit="1" customWidth="1"/>
    <col min="8" max="8" width="14.1640625" bestFit="1" customWidth="1"/>
    <col min="9" max="9" width="19.83203125" customWidth="1"/>
    <col min="10" max="10" width="7" customWidth="1"/>
    <col min="11" max="11" width="8" customWidth="1"/>
    <col min="12" max="12" width="14.1640625" bestFit="1" customWidth="1"/>
  </cols>
  <sheetData>
    <row r="1" spans="1:13" x14ac:dyDescent="0.2">
      <c r="B1" s="2"/>
      <c r="I1" s="2"/>
      <c r="J1" s="2"/>
      <c r="K1" s="2"/>
      <c r="L1" s="2"/>
      <c r="M1" s="2"/>
    </row>
    <row r="2" spans="1:13" x14ac:dyDescent="0.2">
      <c r="B2" s="2" t="s">
        <v>0</v>
      </c>
      <c r="C2" s="1">
        <f ca="1">NOW()</f>
        <v>45686.933908680556</v>
      </c>
      <c r="E2" s="28"/>
      <c r="F2" s="28"/>
      <c r="H2" s="28"/>
      <c r="I2" s="2"/>
      <c r="J2" s="2"/>
      <c r="K2" s="2"/>
      <c r="L2" s="14"/>
      <c r="M2" s="34"/>
    </row>
    <row r="3" spans="1:13" x14ac:dyDescent="0.2">
      <c r="B3" s="2" t="s">
        <v>1</v>
      </c>
      <c r="C3" s="21" t="s">
        <v>30</v>
      </c>
      <c r="E3" s="28"/>
      <c r="F3" s="28"/>
      <c r="I3" s="2"/>
      <c r="J3" s="2"/>
      <c r="K3" s="2"/>
      <c r="L3" s="14"/>
      <c r="M3" s="38"/>
    </row>
    <row r="4" spans="1:13" x14ac:dyDescent="0.2">
      <c r="B4" s="2" t="s">
        <v>2</v>
      </c>
      <c r="C4" s="22" t="s">
        <v>31</v>
      </c>
      <c r="E4" s="28"/>
      <c r="F4" s="28"/>
      <c r="I4" s="2"/>
      <c r="J4" s="2"/>
      <c r="K4" s="2"/>
      <c r="L4" s="2"/>
      <c r="M4" s="2"/>
    </row>
    <row r="5" spans="1:13" x14ac:dyDescent="0.2">
      <c r="B5" s="2"/>
      <c r="I5" s="2"/>
      <c r="J5" s="2"/>
      <c r="K5" s="2"/>
      <c r="L5" s="2"/>
      <c r="M5" s="2"/>
    </row>
    <row r="6" spans="1:13" x14ac:dyDescent="0.2">
      <c r="B6" s="2" t="s">
        <v>7</v>
      </c>
      <c r="C6" s="47">
        <v>80</v>
      </c>
      <c r="I6" s="2"/>
      <c r="J6" s="2"/>
      <c r="K6" s="2"/>
      <c r="L6" s="2"/>
      <c r="M6" s="2"/>
    </row>
    <row r="7" spans="1:13" x14ac:dyDescent="0.2">
      <c r="B7" s="2"/>
      <c r="I7" s="2"/>
      <c r="J7" s="2"/>
      <c r="K7" s="2"/>
      <c r="L7" s="2"/>
      <c r="M7" s="2"/>
    </row>
    <row r="8" spans="1:13" x14ac:dyDescent="0.2">
      <c r="B8" s="2"/>
      <c r="I8" s="2"/>
      <c r="J8" s="2"/>
      <c r="K8" s="2"/>
      <c r="L8" s="2"/>
      <c r="M8" s="2"/>
    </row>
    <row r="9" spans="1:13" x14ac:dyDescent="0.2">
      <c r="A9" s="31"/>
      <c r="B9" s="2"/>
      <c r="C9" s="2"/>
      <c r="D9" s="2" t="s">
        <v>29</v>
      </c>
      <c r="E9" s="2" t="s">
        <v>27</v>
      </c>
      <c r="G9" s="28"/>
      <c r="H9" s="28"/>
      <c r="I9" s="2"/>
      <c r="J9" s="2"/>
      <c r="K9" s="2"/>
      <c r="L9" s="2"/>
      <c r="M9" s="2"/>
    </row>
    <row r="10" spans="1:13" x14ac:dyDescent="0.2">
      <c r="A10" s="31"/>
      <c r="B10" s="2"/>
      <c r="C10" s="2" t="s">
        <v>5</v>
      </c>
      <c r="D10" s="15">
        <f>calculs_intermediaires!C18</f>
        <v>75.5</v>
      </c>
      <c r="E10" s="67"/>
      <c r="F10" s="2"/>
      <c r="G10" s="14" t="s">
        <v>43</v>
      </c>
      <c r="H10" s="20">
        <f>INDEX(calculs_intermediaires!$M$7:$M$100,MATCH(TRUE,calculs_intermediaires!$R$7:$R$100,0))</f>
        <v>1</v>
      </c>
      <c r="I10" s="2"/>
      <c r="J10" s="2"/>
      <c r="K10" s="2"/>
      <c r="L10" s="2"/>
      <c r="M10" s="2"/>
    </row>
    <row r="11" spans="1:13" x14ac:dyDescent="0.2">
      <c r="B11" s="2"/>
      <c r="C11" s="2" t="s">
        <v>9</v>
      </c>
      <c r="D11" s="10">
        <f>calculs_intermediaires!C19</f>
        <v>71</v>
      </c>
      <c r="E11" s="68"/>
      <c r="G11" s="32" t="s">
        <v>45</v>
      </c>
      <c r="H11" s="28">
        <f>INDEX(calculs_intermediaires!$N$7:$N$100,MATCH(TRUE,calculs_intermediaires!$R$7:$R$100,0))</f>
        <v>5</v>
      </c>
      <c r="I11" s="2"/>
      <c r="J11" s="2"/>
      <c r="K11" s="2"/>
      <c r="L11" s="2"/>
      <c r="M11" s="2"/>
    </row>
    <row r="12" spans="1:13" x14ac:dyDescent="0.2">
      <c r="B12" s="2"/>
      <c r="F12" s="28"/>
      <c r="G12" s="28"/>
      <c r="H12" s="28"/>
      <c r="I12" s="2"/>
      <c r="J12" s="2"/>
      <c r="K12" s="2"/>
      <c r="L12" s="2"/>
      <c r="M12" s="2"/>
    </row>
    <row r="13" spans="1:13" x14ac:dyDescent="0.2">
      <c r="B13" s="2"/>
      <c r="C13" s="28"/>
      <c r="D13" s="28"/>
      <c r="E13" s="28"/>
      <c r="F13" s="28"/>
      <c r="G13" s="28"/>
      <c r="H13" s="28"/>
      <c r="I13" s="2"/>
      <c r="J13" s="2"/>
      <c r="K13" s="2"/>
      <c r="L13" s="2"/>
      <c r="M13" s="2"/>
    </row>
    <row r="14" spans="1:13" x14ac:dyDescent="0.2">
      <c r="B14" s="2"/>
      <c r="C14" s="28"/>
      <c r="D14" s="28"/>
      <c r="E14" s="28"/>
      <c r="F14" s="28"/>
      <c r="G14" s="28"/>
      <c r="H14" s="36"/>
      <c r="I14" s="2"/>
      <c r="J14" s="2"/>
      <c r="K14" s="2"/>
      <c r="L14" s="2"/>
      <c r="M14" s="2"/>
    </row>
    <row r="15" spans="1:13" x14ac:dyDescent="0.2">
      <c r="B15" s="4"/>
      <c r="C15" s="4"/>
      <c r="D15" s="4"/>
      <c r="E15" s="4"/>
      <c r="F15" s="4"/>
      <c r="G15" s="28"/>
      <c r="H15" s="36"/>
      <c r="I15" s="5"/>
      <c r="J15" s="2"/>
      <c r="K15" s="2"/>
      <c r="L15" s="2"/>
      <c r="M15" s="2"/>
    </row>
    <row r="16" spans="1:13" x14ac:dyDescent="0.2">
      <c r="C16" s="28"/>
      <c r="D16" s="5"/>
      <c r="E16" s="28"/>
      <c r="F16" s="28"/>
      <c r="G16" s="28"/>
      <c r="H16" s="36"/>
      <c r="I16" s="2"/>
      <c r="J16" s="2"/>
      <c r="K16" s="2"/>
      <c r="L16" s="2"/>
      <c r="M16" s="2"/>
    </row>
    <row r="17" spans="3:10" x14ac:dyDescent="0.2">
      <c r="C17" s="28"/>
      <c r="D17" s="2"/>
      <c r="E17" s="2"/>
      <c r="F17" s="2"/>
      <c r="G17" s="2"/>
      <c r="H17" s="2"/>
      <c r="I17" s="2"/>
      <c r="J17" s="2"/>
    </row>
    <row r="18" spans="3:10" x14ac:dyDescent="0.2">
      <c r="C18" s="2"/>
      <c r="D18" s="2"/>
      <c r="E18" s="2"/>
      <c r="F18" s="2"/>
      <c r="G18" s="2"/>
      <c r="H18" s="2"/>
      <c r="I18" s="2"/>
      <c r="J18" s="2"/>
    </row>
    <row r="19" spans="3:10" x14ac:dyDescent="0.2">
      <c r="C19" s="2"/>
      <c r="D19" s="2"/>
      <c r="E19" s="2"/>
      <c r="F19" s="2"/>
      <c r="G19" s="2"/>
      <c r="H19" s="2"/>
      <c r="I19" s="2"/>
      <c r="J19" s="2"/>
    </row>
    <row r="20" spans="3:10" x14ac:dyDescent="0.2">
      <c r="C20" s="2"/>
      <c r="D20" s="2"/>
      <c r="E20" s="2"/>
      <c r="F20" s="2"/>
      <c r="G20" s="2"/>
      <c r="H20" s="2"/>
      <c r="I20" s="2"/>
      <c r="J20" s="2"/>
    </row>
    <row r="21" spans="3:10" x14ac:dyDescent="0.2">
      <c r="C21" s="2"/>
      <c r="D21" s="2"/>
      <c r="E21" s="2"/>
      <c r="F21" s="2"/>
      <c r="G21" s="2"/>
      <c r="H21" s="2"/>
      <c r="I21" s="2"/>
      <c r="J21" s="2"/>
    </row>
    <row r="22" spans="3:10" x14ac:dyDescent="0.2">
      <c r="C22" s="2"/>
      <c r="D22" s="2"/>
      <c r="E22" s="2"/>
      <c r="F22" s="2"/>
      <c r="G22" s="2"/>
      <c r="H22" s="2"/>
      <c r="I22" s="2"/>
      <c r="J22" s="2"/>
    </row>
    <row r="23" spans="3:10" x14ac:dyDescent="0.2">
      <c r="C23" s="2"/>
      <c r="D23" s="2"/>
      <c r="E23" s="2"/>
      <c r="F23" s="2"/>
      <c r="G23" s="2"/>
      <c r="H23" s="2"/>
      <c r="I23" s="2"/>
      <c r="J23" s="2"/>
    </row>
    <row r="24" spans="3:10" x14ac:dyDescent="0.2">
      <c r="C24" s="2"/>
      <c r="D24" s="2"/>
      <c r="E24" s="2"/>
      <c r="F24" s="2"/>
      <c r="G24" s="2"/>
      <c r="H24" s="2"/>
      <c r="I24" s="2"/>
      <c r="J24" s="2"/>
    </row>
    <row r="25" spans="3:10" x14ac:dyDescent="0.2">
      <c r="C25" s="2"/>
      <c r="D25" s="2"/>
      <c r="E25" s="2"/>
      <c r="F25" s="2"/>
      <c r="G25" s="2"/>
      <c r="H25" s="2"/>
      <c r="I25" s="2"/>
      <c r="J25" s="2"/>
    </row>
    <row r="26" spans="3:10" x14ac:dyDescent="0.2">
      <c r="C26" s="2"/>
      <c r="D26" s="2"/>
      <c r="E26" s="2"/>
      <c r="F26" s="2"/>
      <c r="G26" s="2"/>
      <c r="H26" s="2"/>
      <c r="I26" s="2"/>
      <c r="J26" s="2"/>
    </row>
    <row r="27" spans="3:10" x14ac:dyDescent="0.2">
      <c r="C27" s="2"/>
      <c r="D27" s="2"/>
      <c r="E27" s="2"/>
      <c r="F27" s="2"/>
      <c r="G27" s="2"/>
      <c r="H27" s="2"/>
      <c r="I27" s="2"/>
      <c r="J27" s="2"/>
    </row>
    <row r="28" spans="3:10" x14ac:dyDescent="0.2">
      <c r="C28" s="2"/>
      <c r="D28" s="2"/>
      <c r="E28" s="2"/>
      <c r="F28" s="2"/>
      <c r="G28" s="2"/>
      <c r="H28" s="2"/>
      <c r="I28" s="2"/>
      <c r="J28" s="2"/>
    </row>
    <row r="29" spans="3:10" x14ac:dyDescent="0.2">
      <c r="C29" s="2"/>
      <c r="D29" s="2"/>
      <c r="E29" s="2"/>
      <c r="F29" s="2"/>
      <c r="G29" s="2"/>
      <c r="H29" s="2"/>
      <c r="I29" s="2"/>
      <c r="J29" s="2"/>
    </row>
    <row r="30" spans="3:10" x14ac:dyDescent="0.2">
      <c r="C30" s="2"/>
      <c r="D30" s="2"/>
      <c r="E30" s="2"/>
      <c r="F30" s="2"/>
      <c r="G30" s="2"/>
      <c r="H30" s="2"/>
      <c r="I30" s="2"/>
      <c r="J30" s="2"/>
    </row>
    <row r="31" spans="3:10" x14ac:dyDescent="0.2">
      <c r="C31" s="2"/>
      <c r="D31" s="2"/>
      <c r="E31" s="2"/>
      <c r="F31" s="2"/>
      <c r="G31" s="2"/>
      <c r="H31" s="2"/>
      <c r="I31" s="2"/>
      <c r="J31" s="2"/>
    </row>
    <row r="32" spans="3:10" x14ac:dyDescent="0.2">
      <c r="C32" s="2"/>
      <c r="D32" s="2"/>
      <c r="E32" s="2"/>
      <c r="F32" s="2"/>
      <c r="G32" s="2"/>
      <c r="H32" s="2"/>
      <c r="I32" s="2"/>
      <c r="J32" s="2"/>
    </row>
    <row r="33" spans="3:10" x14ac:dyDescent="0.2">
      <c r="C33" s="2"/>
      <c r="D33" s="2"/>
      <c r="E33" s="2"/>
      <c r="F33" s="2"/>
      <c r="G33" s="2"/>
      <c r="H33" s="2"/>
      <c r="I33" s="2"/>
      <c r="J33" s="2"/>
    </row>
    <row r="34" spans="3:10" x14ac:dyDescent="0.2">
      <c r="C34" s="2"/>
      <c r="D34" s="2"/>
      <c r="E34" s="2"/>
      <c r="F34" s="2"/>
      <c r="G34" s="2"/>
      <c r="H34" s="2"/>
      <c r="I34" s="2"/>
      <c r="J34" s="2"/>
    </row>
    <row r="35" spans="3:10" x14ac:dyDescent="0.2">
      <c r="C35" s="2"/>
      <c r="D35" s="2"/>
      <c r="E35" s="2"/>
      <c r="F35" s="2"/>
      <c r="G35" s="2"/>
      <c r="H35" s="2"/>
      <c r="I35" s="2"/>
      <c r="J35" s="2"/>
    </row>
    <row r="36" spans="3:10" x14ac:dyDescent="0.2">
      <c r="C36" s="2"/>
      <c r="D36" s="2"/>
      <c r="E36" s="2"/>
      <c r="F36" s="2"/>
      <c r="G36" s="2"/>
      <c r="H36" s="2"/>
      <c r="I36" s="2"/>
      <c r="J36" s="2"/>
    </row>
    <row r="37" spans="3:10" x14ac:dyDescent="0.2">
      <c r="C37" s="2"/>
      <c r="D37" s="2"/>
      <c r="E37" s="2"/>
      <c r="F37" s="2"/>
      <c r="G37" s="2"/>
      <c r="H37" s="2"/>
      <c r="I37" s="2"/>
      <c r="J37" s="2"/>
    </row>
    <row r="38" spans="3:10" x14ac:dyDescent="0.2">
      <c r="C38" s="2"/>
      <c r="D38" s="2"/>
      <c r="E38" s="2"/>
      <c r="F38" s="2"/>
      <c r="G38" s="2"/>
      <c r="H38" s="2"/>
      <c r="I38" s="2"/>
      <c r="J38" s="2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50" r:id="rId3" name="Button 26">
              <controlPr defaultSize="0" print="0" autoFill="0" autoPict="0" macro="[0]!DisplayFinOF" altText="TARE">
                <anchor moveWithCells="1" sizeWithCells="1">
                  <from>
                    <xdr:col>6</xdr:col>
                    <xdr:colOff>114300</xdr:colOff>
                    <xdr:row>3</xdr:row>
                    <xdr:rowOff>203200</xdr:rowOff>
                  </from>
                  <to>
                    <xdr:col>7</xdr:col>
                    <xdr:colOff>533400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4" name="Button 27">
              <controlPr defaultSize="0" print="0" autoFill="0" autoPict="0" macro="[0]!DisplayFinLot" altText="TARE">
                <anchor moveWithCells="1" sizeWithCells="1">
                  <from>
                    <xdr:col>7</xdr:col>
                    <xdr:colOff>673100</xdr:colOff>
                    <xdr:row>3</xdr:row>
                    <xdr:rowOff>177800</xdr:rowOff>
                  </from>
                  <to>
                    <xdr:col>8</xdr:col>
                    <xdr:colOff>850900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5" name="Button 28">
              <controlPr defaultSize="0" print="0" autoFill="0" autoPict="0" macro="[0]!DisplayDebutOf" altText="TARE">
                <anchor moveWithCells="1" sizeWithCells="1">
                  <from>
                    <xdr:col>6</xdr:col>
                    <xdr:colOff>88900</xdr:colOff>
                    <xdr:row>1</xdr:row>
                    <xdr:rowOff>50800</xdr:rowOff>
                  </from>
                  <to>
                    <xdr:col>7</xdr:col>
                    <xdr:colOff>495300</xdr:colOff>
                    <xdr:row>3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7" r:id="rId6" name="Button 33">
              <controlPr defaultSize="0" print="0" autoFill="0" autoPict="0" macro="[0]!DisplayDebutEquipe" altText="TARE">
                <anchor moveWithCells="1" sizeWithCells="1">
                  <from>
                    <xdr:col>4</xdr:col>
                    <xdr:colOff>622300</xdr:colOff>
                    <xdr:row>1</xdr:row>
                    <xdr:rowOff>76200</xdr:rowOff>
                  </from>
                  <to>
                    <xdr:col>5</xdr:col>
                    <xdr:colOff>787400</xdr:colOff>
                    <xdr:row>3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8" r:id="rId7" name="Button 34">
              <controlPr defaultSize="0" print="0" autoFill="0" autoPict="0" macro="[0]!DisplayDebutOf" altText="TARE">
                <anchor moveWithCells="1" sizeWithCells="1">
                  <from>
                    <xdr:col>4</xdr:col>
                    <xdr:colOff>622300</xdr:colOff>
                    <xdr:row>3</xdr:row>
                    <xdr:rowOff>203200</xdr:rowOff>
                  </from>
                  <to>
                    <xdr:col>5</xdr:col>
                    <xdr:colOff>787400</xdr:colOff>
                    <xdr:row>6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9" r:id="rId8" name="Button 35">
              <controlPr defaultSize="0" print="0" autoFill="0" autoPict="0" macro="[0]!update_tar">
                <anchor moveWithCells="1" sizeWithCells="1">
                  <from>
                    <xdr:col>7</xdr:col>
                    <xdr:colOff>622300</xdr:colOff>
                    <xdr:row>1</xdr:row>
                    <xdr:rowOff>38100</xdr:rowOff>
                  </from>
                  <to>
                    <xdr:col>8</xdr:col>
                    <xdr:colOff>876300</xdr:colOff>
                    <xdr:row>3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9A6D35-C938-9C4C-BC1D-71F42F192604}">
  <sheetPr codeName="Sheet2"/>
  <dimension ref="B1:AI72"/>
  <sheetViews>
    <sheetView workbookViewId="0">
      <selection activeCell="P8" sqref="P8"/>
    </sheetView>
  </sheetViews>
  <sheetFormatPr baseColWidth="10" defaultRowHeight="16" outlineLevelCol="1" x14ac:dyDescent="0.2"/>
  <cols>
    <col min="1" max="1" width="5.33203125" customWidth="1"/>
    <col min="3" max="3" width="6.5" bestFit="1" customWidth="1"/>
    <col min="4" max="4" width="12.83203125" bestFit="1" customWidth="1"/>
    <col min="5" max="5" width="9.83203125" bestFit="1" customWidth="1"/>
    <col min="6" max="6" width="7.6640625" bestFit="1" customWidth="1"/>
    <col min="7" max="8" width="16.83203125" hidden="1" customWidth="1" outlineLevel="1"/>
    <col min="9" max="9" width="13.1640625" bestFit="1" customWidth="1" collapsed="1"/>
    <col min="11" max="11" width="3.83203125" style="33" customWidth="1"/>
    <col min="12" max="12" width="4.33203125" customWidth="1"/>
    <col min="18" max="18" width="12.83203125" bestFit="1" customWidth="1"/>
    <col min="19" max="19" width="7.5" style="33" customWidth="1"/>
    <col min="20" max="20" width="8.1640625" customWidth="1"/>
    <col min="21" max="26" width="10.83203125" style="2"/>
    <col min="27" max="27" width="15.6640625" style="2" bestFit="1" customWidth="1"/>
    <col min="28" max="28" width="10.83203125" style="38"/>
    <col min="29" max="29" width="8.33203125" style="33" customWidth="1"/>
    <col min="30" max="30" width="7.5" customWidth="1"/>
    <col min="33" max="33" width="10.83203125" style="37"/>
  </cols>
  <sheetData>
    <row r="1" spans="2:35" x14ac:dyDescent="0.2">
      <c r="U1"/>
      <c r="V1"/>
      <c r="W1"/>
      <c r="X1"/>
      <c r="Y1"/>
      <c r="Z1"/>
      <c r="AA1"/>
      <c r="AB1" s="37"/>
    </row>
    <row r="2" spans="2:35" x14ac:dyDescent="0.2">
      <c r="B2" s="6" t="s">
        <v>10</v>
      </c>
      <c r="M2" s="5" t="s">
        <v>32</v>
      </c>
      <c r="U2" s="29" t="s">
        <v>82</v>
      </c>
      <c r="V2" s="3">
        <v>10</v>
      </c>
      <c r="X2" s="2" t="s">
        <v>83</v>
      </c>
      <c r="Y2" s="25">
        <f>F5-V2+1</f>
        <v>23</v>
      </c>
      <c r="Z2"/>
      <c r="AA2" s="2" t="s">
        <v>86</v>
      </c>
      <c r="AB2" s="39">
        <f ca="1">AVERAGE(OFFSET($AB$7, 0, 0, V2, 1))</f>
        <v>80.06644415902349</v>
      </c>
      <c r="AE2" s="6" t="s">
        <v>49</v>
      </c>
      <c r="AG2" s="46">
        <v>10</v>
      </c>
    </row>
    <row r="3" spans="2:35" x14ac:dyDescent="0.2">
      <c r="E3" s="14" t="s">
        <v>48</v>
      </c>
      <c r="F3" s="44">
        <f>ROW(data_brute!A2)</f>
        <v>2</v>
      </c>
      <c r="U3"/>
      <c r="V3"/>
      <c r="W3"/>
      <c r="X3" s="2" t="s">
        <v>84</v>
      </c>
      <c r="Y3" s="27">
        <f>F5</f>
        <v>32</v>
      </c>
      <c r="Z3"/>
      <c r="AA3" s="2" t="s">
        <v>85</v>
      </c>
      <c r="AB3" s="38">
        <f ca="1">AVERAGE(data_brute!H:H)</f>
        <v>79.993525865613663</v>
      </c>
    </row>
    <row r="4" spans="2:35" x14ac:dyDescent="0.2">
      <c r="B4" s="2" t="s">
        <v>6</v>
      </c>
      <c r="C4" s="23">
        <f>interface!C6</f>
        <v>80</v>
      </c>
      <c r="E4" s="14" t="s">
        <v>50</v>
      </c>
      <c r="F4" s="45">
        <f>COUNTA(data_brute!A:A)-1</f>
        <v>31</v>
      </c>
      <c r="M4" s="14" t="s">
        <v>28</v>
      </c>
      <c r="N4" s="35">
        <f>F4</f>
        <v>31</v>
      </c>
      <c r="O4" s="14"/>
      <c r="P4" s="14" t="s">
        <v>54</v>
      </c>
      <c r="Q4" s="2">
        <f>N4-SUMIFS(Q7:Q100,R7:R100,FALSE)</f>
        <v>31</v>
      </c>
      <c r="AI4" s="2"/>
    </row>
    <row r="5" spans="2:35" x14ac:dyDescent="0.2">
      <c r="E5" s="14" t="s">
        <v>51</v>
      </c>
      <c r="F5" s="2">
        <f>F3+F4-1</f>
        <v>32</v>
      </c>
    </row>
    <row r="6" spans="2:35" ht="17" thickBot="1" x14ac:dyDescent="0.25">
      <c r="B6" s="29" t="s">
        <v>20</v>
      </c>
      <c r="C6" s="30">
        <f>MATCH(TRUE,$D$10:$D$16,0)</f>
        <v>2</v>
      </c>
      <c r="M6" s="4" t="s">
        <v>40</v>
      </c>
      <c r="N6" s="4" t="s">
        <v>32</v>
      </c>
      <c r="O6" s="4" t="s">
        <v>41</v>
      </c>
      <c r="P6" s="4" t="s">
        <v>42</v>
      </c>
      <c r="Q6" s="4" t="s">
        <v>44</v>
      </c>
      <c r="R6" s="4" t="s">
        <v>16</v>
      </c>
      <c r="U6" s="60" t="str">
        <f>data_brute!A1</f>
        <v>Pesée</v>
      </c>
      <c r="V6" s="60" t="str">
        <f>data_brute!B1</f>
        <v>Date</v>
      </c>
      <c r="W6" s="60" t="str">
        <f>data_brute!C1</f>
        <v>Heure</v>
      </c>
      <c r="X6" s="60" t="str">
        <f>data_brute!D1</f>
        <v>Poids Brut</v>
      </c>
      <c r="Y6" s="60" t="str">
        <f>data_brute!E1</f>
        <v>Ligne</v>
      </c>
      <c r="Z6" s="60" t="str">
        <f>data_brute!F1</f>
        <v>Bobine</v>
      </c>
      <c r="AA6" s="60" t="str">
        <f>data_brute!G1</f>
        <v>Tare</v>
      </c>
      <c r="AB6" s="60" t="str">
        <f>data_brute!H1</f>
        <v>Poids net</v>
      </c>
      <c r="AE6" s="60" t="s">
        <v>47</v>
      </c>
      <c r="AF6" s="60" t="s">
        <v>42</v>
      </c>
      <c r="AG6" s="62" t="s">
        <v>46</v>
      </c>
      <c r="AH6" s="60" t="s">
        <v>52</v>
      </c>
    </row>
    <row r="7" spans="2:35" ht="17" thickTop="1" x14ac:dyDescent="0.2">
      <c r="M7" s="2">
        <v>1</v>
      </c>
      <c r="N7" s="2">
        <v>5</v>
      </c>
      <c r="O7" s="28">
        <v>2</v>
      </c>
      <c r="P7" s="2">
        <f>O7+N4-1</f>
        <v>32</v>
      </c>
      <c r="Q7" s="2">
        <f>P7-O7+1</f>
        <v>31</v>
      </c>
      <c r="R7" s="2" t="b">
        <v>1</v>
      </c>
      <c r="U7" s="59" cm="1">
        <f t="array" aca="1" ref="U7:AB16" ca="1">_xlfn._xlws.FILTER(data_brute!A:H,(data_brute!E:E&gt;=Y2)*(data_brute!E:E&lt;=Y3),"")</f>
        <v>22</v>
      </c>
      <c r="V7" s="56">
        <f ca="1"/>
        <v>0</v>
      </c>
      <c r="W7" s="57">
        <f ca="1"/>
        <v>0</v>
      </c>
      <c r="X7" s="58">
        <f ca="1"/>
        <v>84.338412094129893</v>
      </c>
      <c r="Y7" s="2">
        <f ca="1"/>
        <v>23</v>
      </c>
      <c r="Z7" s="2">
        <f ca="1"/>
        <v>1</v>
      </c>
      <c r="AA7" s="2">
        <f ca="1"/>
        <v>5</v>
      </c>
      <c r="AB7" s="38">
        <f ca="1"/>
        <v>79.338412094129893</v>
      </c>
      <c r="AE7" s="2">
        <f>F3</f>
        <v>2</v>
      </c>
      <c r="AF7" s="61">
        <f>AE7+$AG$2-1</f>
        <v>11</v>
      </c>
      <c r="AG7" s="38">
        <f ca="1">IFERROR(AVERAGEIFS(data_brute!H:H,data_brute!E:E,"&gt;="&amp;AE7,data_brute!E:E,"&lt;="&amp;AF7),NA())</f>
        <v>80.050723932723926</v>
      </c>
      <c r="AH7" s="61">
        <f ca="1">IF(AG7&lt;&gt;"",$AG$2*(ROW()-ROW($AH$6)),NA())</f>
        <v>10</v>
      </c>
    </row>
    <row r="8" spans="2:35" x14ac:dyDescent="0.2">
      <c r="B8" s="63" t="s">
        <v>6</v>
      </c>
      <c r="C8" s="64"/>
      <c r="D8" s="65" t="s">
        <v>16</v>
      </c>
      <c r="E8" s="63" t="s">
        <v>14</v>
      </c>
      <c r="F8" s="64"/>
      <c r="G8" s="7" t="s">
        <v>17</v>
      </c>
      <c r="H8" s="65" t="s">
        <v>19</v>
      </c>
      <c r="I8" s="63"/>
      <c r="J8" s="64"/>
      <c r="M8" s="2"/>
      <c r="N8" s="2"/>
      <c r="O8" s="2"/>
      <c r="P8" s="2"/>
      <c r="Q8" s="2"/>
      <c r="R8" s="2"/>
      <c r="U8" s="2">
        <f ca="1"/>
        <v>23</v>
      </c>
      <c r="V8" s="56">
        <f ca="1"/>
        <v>0</v>
      </c>
      <c r="W8" s="57">
        <f ca="1"/>
        <v>0</v>
      </c>
      <c r="X8" s="58">
        <f ca="1"/>
        <v>85.513012608040597</v>
      </c>
      <c r="Y8" s="2">
        <f ca="1"/>
        <v>24</v>
      </c>
      <c r="Z8" s="2">
        <f ca="1"/>
        <v>1</v>
      </c>
      <c r="AA8" s="2">
        <f ca="1"/>
        <v>5</v>
      </c>
      <c r="AB8" s="38">
        <f ca="1"/>
        <v>80.513012608040597</v>
      </c>
      <c r="AE8" s="61">
        <f>AF7+1</f>
        <v>12</v>
      </c>
      <c r="AF8" s="61">
        <f>AE8+$AG$2-1</f>
        <v>21</v>
      </c>
      <c r="AG8" s="38">
        <f ca="1">IFERROR(AVERAGEIFS(data_brute!H:H,data_brute!E:E,"&gt;="&amp;AE8,data_brute!E:E,"&lt;="&amp;AF8),NA())</f>
        <v>79.874554827307605</v>
      </c>
      <c r="AH8" s="61">
        <f ca="1">IF(AG8&lt;&gt;"",$AG$2*(ROW()-ROW($AH$6)),NA())</f>
        <v>20</v>
      </c>
    </row>
    <row r="9" spans="2:35" x14ac:dyDescent="0.2">
      <c r="B9" s="18" t="s">
        <v>11</v>
      </c>
      <c r="C9" s="19" t="s">
        <v>12</v>
      </c>
      <c r="D9" s="66"/>
      <c r="E9" s="18" t="s">
        <v>13</v>
      </c>
      <c r="F9" s="19" t="s">
        <v>15</v>
      </c>
      <c r="G9" s="24" t="s">
        <v>18</v>
      </c>
      <c r="H9" s="66"/>
      <c r="I9" s="18" t="s">
        <v>5</v>
      </c>
      <c r="J9" s="19" t="s">
        <v>9</v>
      </c>
      <c r="M9" s="2"/>
      <c r="N9" s="2"/>
      <c r="O9" s="2"/>
      <c r="P9" s="2"/>
      <c r="Q9" s="2"/>
      <c r="R9" s="2"/>
      <c r="U9" s="2">
        <f ca="1"/>
        <v>24</v>
      </c>
      <c r="V9" s="56">
        <f ca="1"/>
        <v>0</v>
      </c>
      <c r="W9" s="57">
        <f ca="1"/>
        <v>0</v>
      </c>
      <c r="X9" s="58">
        <f ca="1"/>
        <v>84.976647310293501</v>
      </c>
      <c r="Y9" s="2">
        <f ca="1"/>
        <v>25</v>
      </c>
      <c r="Z9" s="2">
        <f ca="1"/>
        <v>1</v>
      </c>
      <c r="AA9" s="2">
        <f ca="1"/>
        <v>5</v>
      </c>
      <c r="AB9" s="38">
        <f ca="1"/>
        <v>79.976647310293501</v>
      </c>
      <c r="AE9" s="61">
        <f t="shared" ref="AE9:AE42" si="0">AF8+1</f>
        <v>22</v>
      </c>
      <c r="AF9" s="61">
        <f t="shared" ref="AF9:AF42" si="1">AE9+$AG$2-1</f>
        <v>31</v>
      </c>
      <c r="AG9" s="38">
        <f ca="1">IFERROR(AVERAGEIFS(data_brute!H:H,data_brute!E:E,"&gt;="&amp;AE9,data_brute!E:E,"&lt;="&amp;AF9),NA())</f>
        <v>79.984020105778399</v>
      </c>
      <c r="AH9" s="61">
        <f t="shared" ref="AH9:AH42" ca="1" si="2">IF(AG9&lt;&gt;"",$AG$2*(ROW()-ROW($AH$6)),NA())</f>
        <v>30</v>
      </c>
    </row>
    <row r="10" spans="2:35" x14ac:dyDescent="0.2">
      <c r="B10" s="8">
        <v>5</v>
      </c>
      <c r="C10" s="9">
        <v>50</v>
      </c>
      <c r="D10" s="12" t="b">
        <f t="shared" ref="D10:D16" si="3">IF(AND($C$4&gt;=B10,$C$4&lt;C10),TRUE,FALSE)</f>
        <v>0</v>
      </c>
      <c r="E10" s="15">
        <v>9</v>
      </c>
      <c r="F10" s="16"/>
      <c r="G10" s="25" cm="1">
        <f t="array" ref="G10">_xlfn.IFS(AND(E10&lt;&gt;"",F10=""),1,AND(E10="",F10&lt;&gt;""),2,AND(E10="",F10&lt;&gt;""),0)</f>
        <v>1</v>
      </c>
      <c r="H10" s="25">
        <f>IF(G10=1,E10,F10)</f>
        <v>9</v>
      </c>
      <c r="I10" s="8" t="str" cm="1">
        <f t="array" ref="I10">_xlfn.IFS(AND(D10,G10=1),H10*$C$4/100,AND(D10,G10=2),H10,NOT(D10),"")</f>
        <v/>
      </c>
      <c r="J10" s="9" t="str">
        <f>IF(I10="","",2*I10)</f>
        <v/>
      </c>
      <c r="M10" s="2"/>
      <c r="N10" s="2"/>
      <c r="O10" s="2"/>
      <c r="P10" s="2"/>
      <c r="Q10" s="2"/>
      <c r="R10" s="2"/>
      <c r="U10" s="2">
        <f ca="1"/>
        <v>25</v>
      </c>
      <c r="V10" s="56">
        <f ca="1"/>
        <v>0</v>
      </c>
      <c r="W10" s="57">
        <f ca="1"/>
        <v>0</v>
      </c>
      <c r="X10" s="58">
        <f ca="1"/>
        <v>85.528700381559815</v>
      </c>
      <c r="Y10" s="2">
        <f ca="1"/>
        <v>26</v>
      </c>
      <c r="Z10" s="2">
        <f ca="1"/>
        <v>1</v>
      </c>
      <c r="AA10" s="2">
        <f ca="1"/>
        <v>5</v>
      </c>
      <c r="AB10" s="38">
        <f ca="1"/>
        <v>80.528700381559815</v>
      </c>
      <c r="AE10" s="61">
        <f t="shared" si="0"/>
        <v>32</v>
      </c>
      <c r="AF10" s="61">
        <f t="shared" si="1"/>
        <v>41</v>
      </c>
      <c r="AG10" s="38">
        <f ca="1">IFERROR(AVERAGEIFS(data_brute!H:H,data_brute!E:E,"&gt;="&amp;AE10,data_brute!E:E,"&lt;="&amp;AF10),NA())</f>
        <v>80.706313175924592</v>
      </c>
      <c r="AH10" s="61">
        <f t="shared" ca="1" si="2"/>
        <v>40</v>
      </c>
    </row>
    <row r="11" spans="2:35" x14ac:dyDescent="0.2">
      <c r="B11" s="8">
        <v>50</v>
      </c>
      <c r="C11" s="9">
        <v>100</v>
      </c>
      <c r="D11" s="12" t="b">
        <f t="shared" si="3"/>
        <v>1</v>
      </c>
      <c r="E11" s="8"/>
      <c r="F11" s="9">
        <v>4.5</v>
      </c>
      <c r="G11" s="26" cm="1">
        <f t="array" ref="G11">_xlfn.IFS(AND(E11&lt;&gt;"",F11=""),1,AND(E11="",F11&lt;&gt;""),2,AND(E11="",F11&lt;&gt;""),0)</f>
        <v>2</v>
      </c>
      <c r="H11" s="26">
        <f t="shared" ref="H11:H16" si="4">IF(G11=1,E11,F11)</f>
        <v>4.5</v>
      </c>
      <c r="I11" s="8" cm="1">
        <f t="array" ref="I11">_xlfn.IFS(AND(D11,G11=1),H11*$C$4/100,AND(D11,G11=2),H11,NOT(D11),"")</f>
        <v>4.5</v>
      </c>
      <c r="J11" s="9">
        <f t="shared" ref="J11:J16" si="5">IF(I11="","",2*I11)</f>
        <v>9</v>
      </c>
      <c r="K11" s="9"/>
      <c r="L11" s="2"/>
      <c r="M11" s="2"/>
      <c r="N11" s="2"/>
      <c r="O11" s="2"/>
      <c r="P11" s="2"/>
      <c r="Q11" s="2"/>
      <c r="R11" s="2"/>
      <c r="U11" s="2">
        <f ca="1"/>
        <v>26</v>
      </c>
      <c r="V11" s="56">
        <f ca="1"/>
        <v>0</v>
      </c>
      <c r="W11" s="57">
        <f ca="1"/>
        <v>0</v>
      </c>
      <c r="X11" s="58">
        <f ca="1"/>
        <v>84.524593563046082</v>
      </c>
      <c r="Y11" s="2">
        <f ca="1"/>
        <v>27</v>
      </c>
      <c r="Z11" s="2">
        <f ca="1"/>
        <v>1</v>
      </c>
      <c r="AA11" s="2">
        <f ca="1"/>
        <v>5</v>
      </c>
      <c r="AB11" s="38">
        <f ca="1"/>
        <v>79.524593563046082</v>
      </c>
      <c r="AE11" s="61">
        <f t="shared" si="0"/>
        <v>42</v>
      </c>
      <c r="AF11" s="61">
        <f t="shared" si="1"/>
        <v>51</v>
      </c>
      <c r="AG11" s="38" t="e">
        <f>IFERROR(AVERAGEIFS(data_brute!H:H,data_brute!E:E,"&gt;="&amp;AE11,data_brute!E:E,"&lt;="&amp;AF11),NA())</f>
        <v>#N/A</v>
      </c>
      <c r="AH11" s="61" t="e">
        <f t="shared" si="2"/>
        <v>#N/A</v>
      </c>
    </row>
    <row r="12" spans="2:35" x14ac:dyDescent="0.2">
      <c r="B12" s="8">
        <v>100</v>
      </c>
      <c r="C12" s="9">
        <v>200</v>
      </c>
      <c r="D12" s="12" t="b">
        <f t="shared" si="3"/>
        <v>0</v>
      </c>
      <c r="E12" s="8">
        <v>4.5</v>
      </c>
      <c r="F12" s="9"/>
      <c r="G12" s="26" cm="1">
        <f t="array" ref="G12">_xlfn.IFS(AND(E12&lt;&gt;"",F12=""),1,AND(E12="",F12&lt;&gt;""),2,AND(E12="",F12&lt;&gt;""),0)</f>
        <v>1</v>
      </c>
      <c r="H12" s="26">
        <f t="shared" si="4"/>
        <v>4.5</v>
      </c>
      <c r="I12" s="8" t="str" cm="1">
        <f t="array" ref="I12">_xlfn.IFS(AND(D12,G12=1),H12*$C$4/100,AND(D12,G12=2),H12,NOT(D12),"")</f>
        <v/>
      </c>
      <c r="J12" s="9" t="str">
        <f>IF(I12="","",2*I12)</f>
        <v/>
      </c>
      <c r="K12" s="9"/>
      <c r="L12" s="2"/>
      <c r="M12" s="2"/>
      <c r="U12" s="2">
        <f ca="1"/>
        <v>27</v>
      </c>
      <c r="V12" s="56">
        <f ca="1"/>
        <v>0</v>
      </c>
      <c r="W12" s="57">
        <f ca="1"/>
        <v>0</v>
      </c>
      <c r="X12" s="58">
        <f ca="1"/>
        <v>84.409680159865033</v>
      </c>
      <c r="Y12" s="2">
        <f ca="1"/>
        <v>28</v>
      </c>
      <c r="Z12" s="2">
        <f ca="1"/>
        <v>1</v>
      </c>
      <c r="AA12" s="2">
        <f ca="1"/>
        <v>5</v>
      </c>
      <c r="AB12" s="38">
        <f ca="1"/>
        <v>79.409680159865033</v>
      </c>
      <c r="AE12" s="61">
        <f t="shared" si="0"/>
        <v>52</v>
      </c>
      <c r="AF12" s="61">
        <f t="shared" si="1"/>
        <v>61</v>
      </c>
      <c r="AG12" s="38" t="e">
        <f>IFERROR(AVERAGEIFS(data_brute!H:H,data_brute!E:E,"&gt;="&amp;AE12,data_brute!E:E,"&lt;="&amp;AF12),NA())</f>
        <v>#N/A</v>
      </c>
      <c r="AH12" s="61" t="e">
        <f t="shared" si="2"/>
        <v>#N/A</v>
      </c>
    </row>
    <row r="13" spans="2:35" x14ac:dyDescent="0.2">
      <c r="B13" s="8">
        <v>200</v>
      </c>
      <c r="C13" s="9">
        <v>300</v>
      </c>
      <c r="D13" s="12" t="b">
        <f t="shared" si="3"/>
        <v>0</v>
      </c>
      <c r="E13" s="8"/>
      <c r="F13" s="9">
        <v>9</v>
      </c>
      <c r="G13" s="26" cm="1">
        <f t="array" ref="G13">_xlfn.IFS(AND(E13&lt;&gt;"",F13=""),1,AND(E13="",F13&lt;&gt;""),2,AND(E13="",F13&lt;&gt;""),0)</f>
        <v>2</v>
      </c>
      <c r="H13" s="26">
        <f t="shared" si="4"/>
        <v>9</v>
      </c>
      <c r="I13" s="8" t="str" cm="1">
        <f t="array" ref="I13">_xlfn.IFS(AND(D13,G13=1),H13*$C$4/100,AND(D13,G13=2),H13,NOT(D13),"")</f>
        <v/>
      </c>
      <c r="J13" s="9" t="str">
        <f t="shared" si="5"/>
        <v/>
      </c>
      <c r="K13" s="9" t="str" cm="1">
        <f t="array" ref="K13">_xlfn.IFS(AND(D13,G13=1),H13*$C$4/100,AND(D13,G13=2),H13,NOT(D13),"")</f>
        <v/>
      </c>
      <c r="L13" s="2"/>
      <c r="M13" s="2"/>
      <c r="U13" s="2">
        <f ca="1"/>
        <v>28</v>
      </c>
      <c r="V13" s="56">
        <f ca="1"/>
        <v>0</v>
      </c>
      <c r="W13" s="57">
        <f ca="1"/>
        <v>0</v>
      </c>
      <c r="X13" s="58">
        <f ca="1"/>
        <v>84.649439790516595</v>
      </c>
      <c r="Y13" s="2">
        <f ca="1"/>
        <v>29</v>
      </c>
      <c r="Z13" s="2">
        <f ca="1"/>
        <v>1</v>
      </c>
      <c r="AA13" s="2">
        <f ca="1"/>
        <v>5</v>
      </c>
      <c r="AB13" s="38">
        <f ca="1"/>
        <v>79.649439790516595</v>
      </c>
      <c r="AE13" s="61">
        <f t="shared" si="0"/>
        <v>62</v>
      </c>
      <c r="AF13" s="61">
        <f t="shared" si="1"/>
        <v>71</v>
      </c>
      <c r="AG13" s="38" t="e">
        <f>IFERROR(AVERAGEIFS(data_brute!H:H,data_brute!E:E,"&gt;="&amp;AE13,data_brute!E:E,"&lt;="&amp;AF13),NA())</f>
        <v>#N/A</v>
      </c>
      <c r="AH13" s="61" t="e">
        <f t="shared" si="2"/>
        <v>#N/A</v>
      </c>
    </row>
    <row r="14" spans="2:35" x14ac:dyDescent="0.2">
      <c r="B14" s="8">
        <v>300</v>
      </c>
      <c r="C14" s="9">
        <v>500</v>
      </c>
      <c r="D14" s="12" t="b">
        <f t="shared" si="3"/>
        <v>0</v>
      </c>
      <c r="E14" s="8">
        <v>3</v>
      </c>
      <c r="F14" s="9"/>
      <c r="G14" s="26" cm="1">
        <f t="array" ref="G14">_xlfn.IFS(AND(E14&lt;&gt;"",F14=""),1,AND(E14="",F14&lt;&gt;""),2,AND(E14="",F14&lt;&gt;""),0)</f>
        <v>1</v>
      </c>
      <c r="H14" s="26">
        <f t="shared" si="4"/>
        <v>3</v>
      </c>
      <c r="I14" s="8" t="str" cm="1">
        <f t="array" ref="I14">_xlfn.IFS(AND(D14,G14=1),H14*$C$4/100,AND(D14,G14=2),H14,NOT(D14),"")</f>
        <v/>
      </c>
      <c r="J14" s="9" t="str">
        <f t="shared" si="5"/>
        <v/>
      </c>
      <c r="K14" s="9" t="str" cm="1">
        <f t="array" ref="K14">_xlfn.IFS(AND(D14,G14=1),H14*$C$4/100,AND(D14,G14=2),H14,NOT(D14),"")</f>
        <v/>
      </c>
      <c r="L14" s="2"/>
      <c r="M14" s="2"/>
      <c r="U14" s="2">
        <f ca="1"/>
        <v>29</v>
      </c>
      <c r="V14" s="56">
        <f ca="1"/>
        <v>0</v>
      </c>
      <c r="W14" s="57">
        <f ca="1"/>
        <v>0</v>
      </c>
      <c r="X14" s="58">
        <f ca="1"/>
        <v>85.716236284702987</v>
      </c>
      <c r="Y14" s="2">
        <f ca="1"/>
        <v>30</v>
      </c>
      <c r="Z14" s="2">
        <f ca="1"/>
        <v>1</v>
      </c>
      <c r="AA14" s="2">
        <f ca="1"/>
        <v>5</v>
      </c>
      <c r="AB14" s="38">
        <f ca="1"/>
        <v>80.716236284702987</v>
      </c>
      <c r="AE14" s="61">
        <f t="shared" si="0"/>
        <v>72</v>
      </c>
      <c r="AF14" s="61">
        <f t="shared" si="1"/>
        <v>81</v>
      </c>
      <c r="AG14" s="38" t="e">
        <f>IFERROR(AVERAGEIFS(data_brute!H:H,data_brute!E:E,"&gt;="&amp;AE14,data_brute!E:E,"&lt;="&amp;AF14),NA())</f>
        <v>#N/A</v>
      </c>
      <c r="AH14" s="61" t="e">
        <f t="shared" si="2"/>
        <v>#N/A</v>
      </c>
    </row>
    <row r="15" spans="2:35" x14ac:dyDescent="0.2">
      <c r="B15" s="8">
        <v>500</v>
      </c>
      <c r="C15" s="9">
        <v>1000</v>
      </c>
      <c r="D15" s="12" t="b">
        <f t="shared" si="3"/>
        <v>0</v>
      </c>
      <c r="E15" s="8"/>
      <c r="F15" s="9">
        <v>15</v>
      </c>
      <c r="G15" s="26" cm="1">
        <f t="array" ref="G15">_xlfn.IFS(AND(E15&lt;&gt;"",F15=""),1,AND(E15="",F15&lt;&gt;""),2,AND(E15="",F15&lt;&gt;""),0)</f>
        <v>2</v>
      </c>
      <c r="H15" s="26">
        <f t="shared" si="4"/>
        <v>15</v>
      </c>
      <c r="I15" s="8" t="str" cm="1">
        <f t="array" ref="I15">_xlfn.IFS(AND(D15,G15=1),H15*$C$4/100,AND(D15,G15=2),H15,NOT(D15),"")</f>
        <v/>
      </c>
      <c r="J15" s="9" t="str">
        <f t="shared" si="5"/>
        <v/>
      </c>
      <c r="K15" s="9" t="str" cm="1">
        <f t="array" ref="K15">_xlfn.IFS(AND(D15,G15=1),H15*$C$4/100,AND(D15,G15=2),H15,NOT(D15),"")</f>
        <v/>
      </c>
      <c r="L15" s="2"/>
      <c r="M15" s="2"/>
      <c r="U15" s="2">
        <f ca="1"/>
        <v>30</v>
      </c>
      <c r="V15" s="56">
        <f ca="1"/>
        <v>0</v>
      </c>
      <c r="W15" s="57">
        <f ca="1"/>
        <v>0</v>
      </c>
      <c r="X15" s="58">
        <f ca="1"/>
        <v>85.30140622215572</v>
      </c>
      <c r="Y15" s="2">
        <f ca="1"/>
        <v>31</v>
      </c>
      <c r="Z15" s="2">
        <f ca="1"/>
        <v>1</v>
      </c>
      <c r="AA15" s="2">
        <f ca="1"/>
        <v>5</v>
      </c>
      <c r="AB15" s="38">
        <f ca="1"/>
        <v>80.30140622215572</v>
      </c>
      <c r="AE15" s="61">
        <f t="shared" si="0"/>
        <v>82</v>
      </c>
      <c r="AF15" s="61">
        <f t="shared" si="1"/>
        <v>91</v>
      </c>
      <c r="AG15" s="38" t="e">
        <f>IFERROR(AVERAGEIFS(data_brute!H:H,data_brute!E:E,"&gt;="&amp;AE15,data_brute!E:E,"&lt;="&amp;AF15),NA())</f>
        <v>#N/A</v>
      </c>
      <c r="AH15" s="61" t="e">
        <f t="shared" si="2"/>
        <v>#N/A</v>
      </c>
    </row>
    <row r="16" spans="2:35" x14ac:dyDescent="0.2">
      <c r="B16" s="10">
        <v>1000</v>
      </c>
      <c r="C16" s="11">
        <v>10000</v>
      </c>
      <c r="D16" s="13" t="b">
        <f t="shared" si="3"/>
        <v>0</v>
      </c>
      <c r="E16" s="10">
        <v>1.5</v>
      </c>
      <c r="F16" s="11"/>
      <c r="G16" s="27" cm="1">
        <f t="array" ref="G16">_xlfn.IFS(AND(E16&lt;&gt;"",F16=""),1,AND(E16="",F16&lt;&gt;""),2,AND(E16="",F16&lt;&gt;""),0)</f>
        <v>1</v>
      </c>
      <c r="H16" s="27">
        <f t="shared" si="4"/>
        <v>1.5</v>
      </c>
      <c r="I16" s="10" t="str" cm="1">
        <f t="array" ref="I16">_xlfn.IFS(AND(D16,G16=1),H16*$C$4/100,AND(D16,G16=2),H16,NOT(D16),"")</f>
        <v/>
      </c>
      <c r="J16" s="11" t="str">
        <f t="shared" si="5"/>
        <v/>
      </c>
      <c r="K16" s="9" t="str" cm="1">
        <f t="array" ref="K16">_xlfn.IFS(AND(D16,G16=1),H16*$C$4/100,AND(D16,G16=2),H16,NOT(D16),"")</f>
        <v/>
      </c>
      <c r="L16" s="2"/>
      <c r="M16" s="2"/>
      <c r="U16" s="2">
        <f ca="1"/>
        <v>31</v>
      </c>
      <c r="V16" s="56">
        <f ca="1"/>
        <v>0</v>
      </c>
      <c r="W16" s="57">
        <f ca="1"/>
        <v>0</v>
      </c>
      <c r="X16" s="58">
        <f ca="1"/>
        <v>85.706313175924592</v>
      </c>
      <c r="Y16" s="2">
        <f ca="1"/>
        <v>32</v>
      </c>
      <c r="Z16" s="2">
        <f ca="1"/>
        <v>1</v>
      </c>
      <c r="AA16" s="2">
        <f ca="1"/>
        <v>5</v>
      </c>
      <c r="AB16" s="38">
        <f ca="1"/>
        <v>80.706313175924592</v>
      </c>
      <c r="AE16" s="61">
        <f t="shared" si="0"/>
        <v>92</v>
      </c>
      <c r="AF16" s="61">
        <f t="shared" si="1"/>
        <v>101</v>
      </c>
      <c r="AG16" s="38" t="e">
        <f>IFERROR(AVERAGEIFS(data_brute!H:H,data_brute!E:E,"&gt;="&amp;AE16,data_brute!E:E,"&lt;="&amp;AF16),NA())</f>
        <v>#N/A</v>
      </c>
      <c r="AH16" s="61" t="e">
        <f t="shared" si="2"/>
        <v>#N/A</v>
      </c>
    </row>
    <row r="17" spans="2:34" x14ac:dyDescent="0.2">
      <c r="U17" s="5"/>
      <c r="AE17" s="61">
        <f t="shared" si="0"/>
        <v>102</v>
      </c>
      <c r="AF17" s="61">
        <f t="shared" si="1"/>
        <v>111</v>
      </c>
      <c r="AG17" s="38" t="e">
        <f>IFERROR(AVERAGEIFS(data_brute!H:H,data_brute!E:E,"&gt;="&amp;AE17,data_brute!E:E,"&lt;="&amp;AF17),NA())</f>
        <v>#N/A</v>
      </c>
      <c r="AH17" s="61" t="e">
        <f t="shared" si="2"/>
        <v>#N/A</v>
      </c>
    </row>
    <row r="18" spans="2:34" x14ac:dyDescent="0.2">
      <c r="B18" s="15" t="s">
        <v>5</v>
      </c>
      <c r="C18" s="16" cm="1">
        <f t="array" ref="C18">C4-INDEX($I$10:$I$16,$C$6)</f>
        <v>75.5</v>
      </c>
      <c r="AE18" s="61">
        <f t="shared" si="0"/>
        <v>112</v>
      </c>
      <c r="AF18" s="61">
        <f t="shared" si="1"/>
        <v>121</v>
      </c>
      <c r="AG18" s="38" t="e">
        <f>IFERROR(AVERAGEIFS(data_brute!H:H,data_brute!E:E,"&gt;="&amp;AE18,data_brute!E:E,"&lt;="&amp;AF18),NA())</f>
        <v>#N/A</v>
      </c>
      <c r="AH18" s="61" t="e">
        <f t="shared" si="2"/>
        <v>#N/A</v>
      </c>
    </row>
    <row r="19" spans="2:34" x14ac:dyDescent="0.2">
      <c r="B19" s="10" t="s">
        <v>9</v>
      </c>
      <c r="C19" s="11" cm="1">
        <f t="array" ref="C19">C4-INDEX($J$10:$J$16,$C$6)</f>
        <v>71</v>
      </c>
      <c r="AE19" s="61">
        <f t="shared" si="0"/>
        <v>122</v>
      </c>
      <c r="AF19" s="61">
        <f t="shared" si="1"/>
        <v>131</v>
      </c>
      <c r="AG19" s="38" t="e">
        <f>IFERROR(AVERAGEIFS(data_brute!H:H,data_brute!E:E,"&gt;="&amp;AE19,data_brute!E:E,"&lt;="&amp;AF19),NA())</f>
        <v>#N/A</v>
      </c>
      <c r="AH19" s="61" t="e">
        <f t="shared" si="2"/>
        <v>#N/A</v>
      </c>
    </row>
    <row r="20" spans="2:34" x14ac:dyDescent="0.2">
      <c r="AE20" s="61">
        <f t="shared" si="0"/>
        <v>132</v>
      </c>
      <c r="AF20" s="61">
        <f t="shared" si="1"/>
        <v>141</v>
      </c>
      <c r="AG20" s="38" t="e">
        <f>IFERROR(AVERAGEIFS(data_brute!H:H,data_brute!E:E,"&gt;="&amp;AE20,data_brute!E:E,"&lt;="&amp;AF20),NA())</f>
        <v>#N/A</v>
      </c>
      <c r="AH20" s="61" t="e">
        <f t="shared" si="2"/>
        <v>#N/A</v>
      </c>
    </row>
    <row r="21" spans="2:34" x14ac:dyDescent="0.2">
      <c r="B21" s="15" t="s">
        <v>21</v>
      </c>
      <c r="C21" s="16">
        <f>C4-C18</f>
        <v>4.5</v>
      </c>
      <c r="AE21" s="61">
        <f t="shared" si="0"/>
        <v>142</v>
      </c>
      <c r="AF21" s="61">
        <f t="shared" si="1"/>
        <v>151</v>
      </c>
      <c r="AG21" s="38" t="e">
        <f>IFERROR(AVERAGEIFS(data_brute!H:H,data_brute!E:E,"&gt;="&amp;AE21,data_brute!E:E,"&lt;="&amp;AF21),NA())</f>
        <v>#N/A</v>
      </c>
      <c r="AH21" s="61" t="e">
        <f t="shared" si="2"/>
        <v>#N/A</v>
      </c>
    </row>
    <row r="22" spans="2:34" x14ac:dyDescent="0.2">
      <c r="B22" s="8" t="s">
        <v>23</v>
      </c>
      <c r="C22" s="48">
        <f>1/6</f>
        <v>0.16666666666666666</v>
      </c>
      <c r="AE22" s="61">
        <f t="shared" si="0"/>
        <v>152</v>
      </c>
      <c r="AF22" s="61">
        <f t="shared" si="1"/>
        <v>161</v>
      </c>
      <c r="AG22" s="38" t="e">
        <f>IFERROR(AVERAGEIFS(data_brute!H:H,data_brute!E:E,"&gt;="&amp;AE22,data_brute!E:E,"&lt;="&amp;AF22),NA())</f>
        <v>#N/A</v>
      </c>
      <c r="AH22" s="61" t="e">
        <f t="shared" si="2"/>
        <v>#N/A</v>
      </c>
    </row>
    <row r="23" spans="2:34" x14ac:dyDescent="0.2">
      <c r="B23" s="10" t="s">
        <v>22</v>
      </c>
      <c r="C23" s="42">
        <f>C21*C22</f>
        <v>0.75</v>
      </c>
      <c r="AE23" s="61">
        <f t="shared" si="0"/>
        <v>162</v>
      </c>
      <c r="AF23" s="61">
        <f t="shared" si="1"/>
        <v>171</v>
      </c>
      <c r="AG23" s="38" t="e">
        <f>IFERROR(AVERAGEIFS(data_brute!H:H,data_brute!E:E,"&gt;="&amp;AE23,data_brute!E:E,"&lt;="&amp;AF23),NA())</f>
        <v>#N/A</v>
      </c>
      <c r="AH23" s="61" t="e">
        <f t="shared" si="2"/>
        <v>#N/A</v>
      </c>
    </row>
    <row r="24" spans="2:34" x14ac:dyDescent="0.2">
      <c r="AE24" s="61">
        <f t="shared" si="0"/>
        <v>172</v>
      </c>
      <c r="AF24" s="61">
        <f t="shared" si="1"/>
        <v>181</v>
      </c>
      <c r="AG24" s="38" t="e">
        <f>IFERROR(AVERAGEIFS(data_brute!H:H,data_brute!E:E,"&gt;="&amp;AE24,data_brute!E:E,"&lt;="&amp;AF24),NA())</f>
        <v>#N/A</v>
      </c>
      <c r="AH24" s="61" t="e">
        <f t="shared" si="2"/>
        <v>#N/A</v>
      </c>
    </row>
    <row r="25" spans="2:34" x14ac:dyDescent="0.2">
      <c r="B25" s="15" t="s">
        <v>24</v>
      </c>
      <c r="C25" s="17">
        <f>C4-C23</f>
        <v>79.25</v>
      </c>
      <c r="AE25" s="61">
        <f t="shared" si="0"/>
        <v>182</v>
      </c>
      <c r="AF25" s="61">
        <f t="shared" si="1"/>
        <v>191</v>
      </c>
      <c r="AG25" s="38" t="e">
        <f>IFERROR(AVERAGEIFS(data_brute!H:H,data_brute!E:E,"&gt;="&amp;AE25,data_brute!E:E,"&lt;="&amp;AF25),NA())</f>
        <v>#N/A</v>
      </c>
      <c r="AH25" s="61" t="e">
        <f t="shared" si="2"/>
        <v>#N/A</v>
      </c>
    </row>
    <row r="26" spans="2:34" x14ac:dyDescent="0.2">
      <c r="B26" s="10" t="s">
        <v>25</v>
      </c>
      <c r="C26" s="42">
        <f>C4+C23</f>
        <v>80.75</v>
      </c>
      <c r="AE26" s="61">
        <f t="shared" si="0"/>
        <v>192</v>
      </c>
      <c r="AF26" s="61">
        <f t="shared" si="1"/>
        <v>201</v>
      </c>
      <c r="AG26" s="38" t="e">
        <f>IFERROR(AVERAGEIFS(data_brute!H:H,data_brute!E:E,"&gt;="&amp;AE26,data_brute!E:E,"&lt;="&amp;AF26),NA())</f>
        <v>#N/A</v>
      </c>
      <c r="AH26" s="61" t="e">
        <f t="shared" si="2"/>
        <v>#N/A</v>
      </c>
    </row>
    <row r="27" spans="2:34" x14ac:dyDescent="0.2">
      <c r="AE27" s="61">
        <f t="shared" si="0"/>
        <v>202</v>
      </c>
      <c r="AF27" s="61">
        <f t="shared" si="1"/>
        <v>211</v>
      </c>
      <c r="AG27" s="38" t="e">
        <f>IFERROR(AVERAGEIFS(data_brute!H:H,data_brute!E:E,"&gt;="&amp;AE27,data_brute!E:E,"&lt;="&amp;AF27),NA())</f>
        <v>#N/A</v>
      </c>
      <c r="AH27" s="61" t="e">
        <f t="shared" si="2"/>
        <v>#N/A</v>
      </c>
    </row>
    <row r="28" spans="2:34" x14ac:dyDescent="0.2">
      <c r="B28" s="2"/>
      <c r="C28" s="2"/>
      <c r="G28">
        <f>G27+1</f>
        <v>1</v>
      </c>
      <c r="H28">
        <f>$C$17</f>
        <v>0</v>
      </c>
      <c r="AE28" s="61">
        <f t="shared" si="0"/>
        <v>212</v>
      </c>
      <c r="AF28" s="61">
        <f t="shared" si="1"/>
        <v>221</v>
      </c>
      <c r="AG28" s="38" t="e">
        <f>IFERROR(AVERAGEIFS(data_brute!H:H,data_brute!E:E,"&gt;="&amp;AE28,data_brute!E:E,"&lt;="&amp;AF28),NA())</f>
        <v>#N/A</v>
      </c>
      <c r="AH28" s="61" t="e">
        <f t="shared" si="2"/>
        <v>#N/A</v>
      </c>
    </row>
    <row r="29" spans="2:34" x14ac:dyDescent="0.2">
      <c r="B29" s="2"/>
      <c r="C29" s="2"/>
      <c r="AE29" s="61">
        <f t="shared" si="0"/>
        <v>222</v>
      </c>
      <c r="AF29" s="61">
        <f t="shared" si="1"/>
        <v>231</v>
      </c>
      <c r="AG29" s="38" t="e">
        <f>IFERROR(AVERAGEIFS(data_brute!H:H,data_brute!E:E,"&gt;="&amp;AE29,data_brute!E:E,"&lt;="&amp;AF29),NA())</f>
        <v>#N/A</v>
      </c>
      <c r="AH29" s="61" t="e">
        <f t="shared" si="2"/>
        <v>#N/A</v>
      </c>
    </row>
    <row r="30" spans="2:34" x14ac:dyDescent="0.2">
      <c r="AE30" s="61">
        <f t="shared" si="0"/>
        <v>232</v>
      </c>
      <c r="AF30" s="61">
        <f t="shared" si="1"/>
        <v>241</v>
      </c>
      <c r="AG30" s="38" t="e">
        <f>IFERROR(AVERAGEIFS(data_brute!H:H,data_brute!E:E,"&gt;="&amp;AE30,data_brute!E:E,"&lt;="&amp;AF30),NA())</f>
        <v>#N/A</v>
      </c>
      <c r="AH30" s="61" t="e">
        <f t="shared" si="2"/>
        <v>#N/A</v>
      </c>
    </row>
    <row r="31" spans="2:34" x14ac:dyDescent="0.2">
      <c r="B31" s="31"/>
      <c r="AE31" s="61">
        <f t="shared" si="0"/>
        <v>242</v>
      </c>
      <c r="AF31" s="61">
        <f t="shared" si="1"/>
        <v>251</v>
      </c>
      <c r="AG31" s="38" t="e">
        <f>IFERROR(AVERAGEIFS(data_brute!H:H,data_brute!E:E,"&gt;="&amp;AE31,data_brute!E:E,"&lt;="&amp;AF31),NA())</f>
        <v>#N/A</v>
      </c>
      <c r="AH31" s="61" t="e">
        <f t="shared" si="2"/>
        <v>#N/A</v>
      </c>
    </row>
    <row r="32" spans="2:34" x14ac:dyDescent="0.2">
      <c r="AE32" s="61">
        <f t="shared" si="0"/>
        <v>252</v>
      </c>
      <c r="AF32" s="61">
        <f t="shared" si="1"/>
        <v>261</v>
      </c>
      <c r="AG32" s="38" t="e">
        <f>IFERROR(AVERAGEIFS(data_brute!H:H,data_brute!E:E,"&gt;="&amp;AE32,data_brute!E:E,"&lt;="&amp;AF32),NA())</f>
        <v>#N/A</v>
      </c>
      <c r="AH32" s="61" t="e">
        <f t="shared" si="2"/>
        <v>#N/A</v>
      </c>
    </row>
    <row r="33" spans="11:34" x14ac:dyDescent="0.2">
      <c r="AE33" s="61">
        <f t="shared" si="0"/>
        <v>262</v>
      </c>
      <c r="AF33" s="61">
        <f t="shared" si="1"/>
        <v>271</v>
      </c>
      <c r="AG33" s="38" t="e">
        <f>IFERROR(AVERAGEIFS(data_brute!H:H,data_brute!E:E,"&gt;="&amp;AE33,data_brute!E:E,"&lt;="&amp;AF33),NA())</f>
        <v>#N/A</v>
      </c>
      <c r="AH33" s="61" t="e">
        <f t="shared" si="2"/>
        <v>#N/A</v>
      </c>
    </row>
    <row r="34" spans="11:34" s="2" customFormat="1" x14ac:dyDescent="0.2">
      <c r="K34" s="9"/>
      <c r="S34" s="9"/>
      <c r="AB34" s="38"/>
      <c r="AC34" s="9"/>
      <c r="AE34" s="61">
        <f t="shared" si="0"/>
        <v>272</v>
      </c>
      <c r="AF34" s="61">
        <f t="shared" si="1"/>
        <v>281</v>
      </c>
      <c r="AG34" s="38" t="e">
        <f>IFERROR(AVERAGEIFS(data_brute!H:H,data_brute!E:E,"&gt;="&amp;AE34,data_brute!E:E,"&lt;="&amp;AF34),NA())</f>
        <v>#N/A</v>
      </c>
      <c r="AH34" s="61" t="e">
        <f t="shared" si="2"/>
        <v>#N/A</v>
      </c>
    </row>
    <row r="35" spans="11:34" x14ac:dyDescent="0.2">
      <c r="AE35" s="61">
        <f t="shared" si="0"/>
        <v>282</v>
      </c>
      <c r="AF35" s="61">
        <f t="shared" si="1"/>
        <v>291</v>
      </c>
      <c r="AG35" s="38" t="e">
        <f>IFERROR(AVERAGEIFS(data_brute!H:H,data_brute!E:E,"&gt;="&amp;AE35,data_brute!E:E,"&lt;="&amp;AF35),NA())</f>
        <v>#N/A</v>
      </c>
      <c r="AH35" s="61" t="e">
        <f t="shared" si="2"/>
        <v>#N/A</v>
      </c>
    </row>
    <row r="36" spans="11:34" x14ac:dyDescent="0.2">
      <c r="AE36" s="61">
        <f t="shared" si="0"/>
        <v>292</v>
      </c>
      <c r="AF36" s="61">
        <f t="shared" si="1"/>
        <v>301</v>
      </c>
      <c r="AG36" s="38" t="e">
        <f>IFERROR(AVERAGEIFS(data_brute!H:H,data_brute!E:E,"&gt;="&amp;AE36,data_brute!E:E,"&lt;="&amp;AF36),NA())</f>
        <v>#N/A</v>
      </c>
      <c r="AH36" s="61" t="e">
        <f t="shared" si="2"/>
        <v>#N/A</v>
      </c>
    </row>
    <row r="37" spans="11:34" x14ac:dyDescent="0.2">
      <c r="AE37" s="61">
        <f t="shared" si="0"/>
        <v>302</v>
      </c>
      <c r="AF37" s="61">
        <f t="shared" si="1"/>
        <v>311</v>
      </c>
      <c r="AG37" s="38" t="e">
        <f>IFERROR(AVERAGEIFS(data_brute!H:H,data_brute!E:E,"&gt;="&amp;AE37,data_brute!E:E,"&lt;="&amp;AF37),NA())</f>
        <v>#N/A</v>
      </c>
      <c r="AH37" s="61" t="e">
        <f t="shared" si="2"/>
        <v>#N/A</v>
      </c>
    </row>
    <row r="38" spans="11:34" x14ac:dyDescent="0.2">
      <c r="AE38" s="61">
        <f t="shared" si="0"/>
        <v>312</v>
      </c>
      <c r="AF38" s="61">
        <f t="shared" si="1"/>
        <v>321</v>
      </c>
      <c r="AG38" s="38" t="e">
        <f>IFERROR(AVERAGEIFS(data_brute!H:H,data_brute!E:E,"&gt;="&amp;AE38,data_brute!E:E,"&lt;="&amp;AF38),NA())</f>
        <v>#N/A</v>
      </c>
      <c r="AH38" s="61" t="e">
        <f t="shared" si="2"/>
        <v>#N/A</v>
      </c>
    </row>
    <row r="39" spans="11:34" x14ac:dyDescent="0.2">
      <c r="AE39" s="61">
        <f t="shared" si="0"/>
        <v>322</v>
      </c>
      <c r="AF39" s="61">
        <f t="shared" si="1"/>
        <v>331</v>
      </c>
      <c r="AG39" s="38" t="e">
        <f>IFERROR(AVERAGEIFS(data_brute!H:H,data_brute!E:E,"&gt;="&amp;AE39,data_brute!E:E,"&lt;="&amp;AF39),NA())</f>
        <v>#N/A</v>
      </c>
      <c r="AH39" s="61" t="e">
        <f t="shared" si="2"/>
        <v>#N/A</v>
      </c>
    </row>
    <row r="40" spans="11:34" x14ac:dyDescent="0.2">
      <c r="AE40" s="61">
        <f t="shared" si="0"/>
        <v>332</v>
      </c>
      <c r="AF40" s="61">
        <f t="shared" si="1"/>
        <v>341</v>
      </c>
      <c r="AG40" s="38" t="e">
        <f>IFERROR(AVERAGEIFS(data_brute!H:H,data_brute!E:E,"&gt;="&amp;AE40,data_brute!E:E,"&lt;="&amp;AF40),NA())</f>
        <v>#N/A</v>
      </c>
      <c r="AH40" s="61" t="e">
        <f t="shared" si="2"/>
        <v>#N/A</v>
      </c>
    </row>
    <row r="41" spans="11:34" x14ac:dyDescent="0.2">
      <c r="AE41" s="61">
        <f t="shared" si="0"/>
        <v>342</v>
      </c>
      <c r="AF41" s="61">
        <f t="shared" si="1"/>
        <v>351</v>
      </c>
      <c r="AG41" s="38" t="e">
        <f>IFERROR(AVERAGEIFS(data_brute!H:H,data_brute!E:E,"&gt;="&amp;AE41,data_brute!E:E,"&lt;="&amp;AF41),NA())</f>
        <v>#N/A</v>
      </c>
      <c r="AH41" s="61" t="e">
        <f t="shared" si="2"/>
        <v>#N/A</v>
      </c>
    </row>
    <row r="42" spans="11:34" x14ac:dyDescent="0.2">
      <c r="AE42" s="61">
        <f t="shared" si="0"/>
        <v>352</v>
      </c>
      <c r="AF42" s="61">
        <f t="shared" si="1"/>
        <v>361</v>
      </c>
      <c r="AG42" s="38" t="e">
        <f>IFERROR(AVERAGEIFS(data_brute!H:H,data_brute!E:E,"&gt;="&amp;AE42,data_brute!E:E,"&lt;="&amp;AF42),NA())</f>
        <v>#N/A</v>
      </c>
      <c r="AH42" s="61" t="e">
        <f t="shared" si="2"/>
        <v>#N/A</v>
      </c>
    </row>
    <row r="43" spans="11:34" x14ac:dyDescent="0.2">
      <c r="AE43" s="2"/>
      <c r="AF43" s="2"/>
      <c r="AG43" s="38"/>
      <c r="AH43" s="61"/>
    </row>
    <row r="44" spans="11:34" x14ac:dyDescent="0.2">
      <c r="AE44" s="2"/>
      <c r="AF44" s="2"/>
      <c r="AG44" s="38"/>
      <c r="AH44" s="61"/>
    </row>
    <row r="45" spans="11:34" x14ac:dyDescent="0.2">
      <c r="AE45" s="2"/>
      <c r="AF45" s="2"/>
      <c r="AG45" s="38"/>
      <c r="AH45" s="61"/>
    </row>
    <row r="46" spans="11:34" x14ac:dyDescent="0.2">
      <c r="AE46" s="2"/>
      <c r="AF46" s="2"/>
      <c r="AG46" s="38"/>
      <c r="AH46" s="61"/>
    </row>
    <row r="47" spans="11:34" x14ac:dyDescent="0.2">
      <c r="AE47" s="2"/>
      <c r="AF47" s="2"/>
      <c r="AG47" s="38"/>
      <c r="AH47" s="61"/>
    </row>
    <row r="48" spans="11:34" x14ac:dyDescent="0.2">
      <c r="AE48" s="2"/>
      <c r="AF48" s="2"/>
      <c r="AG48" s="38"/>
      <c r="AH48" s="61"/>
    </row>
    <row r="49" spans="31:34" x14ac:dyDescent="0.2">
      <c r="AE49" s="2"/>
      <c r="AF49" s="2"/>
      <c r="AG49" s="38"/>
      <c r="AH49" s="61"/>
    </row>
    <row r="50" spans="31:34" x14ac:dyDescent="0.2">
      <c r="AE50" s="2"/>
      <c r="AF50" s="2"/>
      <c r="AG50" s="38"/>
      <c r="AH50" s="61"/>
    </row>
    <row r="51" spans="31:34" x14ac:dyDescent="0.2">
      <c r="AE51" s="2"/>
      <c r="AF51" s="2"/>
      <c r="AG51" s="38"/>
      <c r="AH51" s="61"/>
    </row>
    <row r="52" spans="31:34" x14ac:dyDescent="0.2">
      <c r="AE52" s="2"/>
      <c r="AF52" s="2"/>
      <c r="AG52" s="38"/>
      <c r="AH52" s="61"/>
    </row>
    <row r="53" spans="31:34" x14ac:dyDescent="0.2">
      <c r="AE53" s="2"/>
      <c r="AF53" s="2"/>
      <c r="AG53" s="38"/>
      <c r="AH53" s="61"/>
    </row>
    <row r="54" spans="31:34" x14ac:dyDescent="0.2">
      <c r="AE54" s="2"/>
      <c r="AF54" s="2"/>
      <c r="AG54" s="38"/>
      <c r="AH54" s="61"/>
    </row>
    <row r="55" spans="31:34" x14ac:dyDescent="0.2">
      <c r="AE55" s="2"/>
      <c r="AF55" s="2"/>
      <c r="AG55" s="38"/>
      <c r="AH55" s="61"/>
    </row>
    <row r="56" spans="31:34" x14ac:dyDescent="0.2">
      <c r="AE56" s="2"/>
      <c r="AF56" s="2"/>
      <c r="AG56" s="38"/>
      <c r="AH56" s="61"/>
    </row>
    <row r="57" spans="31:34" x14ac:dyDescent="0.2">
      <c r="AE57" s="2"/>
      <c r="AF57" s="2"/>
      <c r="AG57" s="38"/>
      <c r="AH57" s="61"/>
    </row>
    <row r="58" spans="31:34" x14ac:dyDescent="0.2">
      <c r="AE58" s="2"/>
      <c r="AF58" s="2"/>
      <c r="AG58" s="38"/>
      <c r="AH58" s="61"/>
    </row>
    <row r="59" spans="31:34" x14ac:dyDescent="0.2">
      <c r="AE59" s="2"/>
      <c r="AF59" s="2"/>
      <c r="AG59" s="38"/>
      <c r="AH59" s="61"/>
    </row>
    <row r="60" spans="31:34" x14ac:dyDescent="0.2">
      <c r="AE60" s="2"/>
      <c r="AF60" s="2"/>
      <c r="AG60" s="38"/>
      <c r="AH60" s="61"/>
    </row>
    <row r="61" spans="31:34" x14ac:dyDescent="0.2">
      <c r="AE61" s="2"/>
      <c r="AF61" s="2"/>
      <c r="AG61" s="38"/>
      <c r="AH61" s="61"/>
    </row>
    <row r="62" spans="31:34" x14ac:dyDescent="0.2">
      <c r="AE62" s="2"/>
      <c r="AF62" s="2"/>
      <c r="AG62" s="38"/>
      <c r="AH62" s="61"/>
    </row>
    <row r="63" spans="31:34" x14ac:dyDescent="0.2">
      <c r="AE63" s="2"/>
      <c r="AF63" s="2"/>
      <c r="AG63" s="38"/>
      <c r="AH63" s="61"/>
    </row>
    <row r="64" spans="31:34" x14ac:dyDescent="0.2">
      <c r="AE64" s="2"/>
      <c r="AF64" s="2"/>
      <c r="AG64" s="38"/>
      <c r="AH64" s="61"/>
    </row>
    <row r="65" spans="31:34" x14ac:dyDescent="0.2">
      <c r="AE65" s="2"/>
      <c r="AF65" s="2"/>
      <c r="AG65" s="38"/>
      <c r="AH65" s="61"/>
    </row>
    <row r="66" spans="31:34" x14ac:dyDescent="0.2">
      <c r="AE66" s="2"/>
      <c r="AF66" s="2"/>
      <c r="AG66" s="38"/>
      <c r="AH66" s="61"/>
    </row>
    <row r="67" spans="31:34" x14ac:dyDescent="0.2">
      <c r="AE67" s="2"/>
      <c r="AF67" s="2"/>
      <c r="AG67" s="38"/>
      <c r="AH67" s="61"/>
    </row>
    <row r="68" spans="31:34" x14ac:dyDescent="0.2">
      <c r="AE68" s="2"/>
      <c r="AF68" s="2"/>
      <c r="AG68" s="38"/>
      <c r="AH68" s="61"/>
    </row>
    <row r="69" spans="31:34" x14ac:dyDescent="0.2">
      <c r="AE69" s="2"/>
      <c r="AF69" s="2"/>
      <c r="AG69" s="38"/>
      <c r="AH69" s="61"/>
    </row>
    <row r="70" spans="31:34" x14ac:dyDescent="0.2">
      <c r="AE70" s="2"/>
      <c r="AF70" s="2"/>
      <c r="AG70" s="38"/>
      <c r="AH70" s="61"/>
    </row>
    <row r="71" spans="31:34" x14ac:dyDescent="0.2">
      <c r="AE71" s="2"/>
      <c r="AF71" s="2"/>
      <c r="AG71" s="38"/>
      <c r="AH71" s="61"/>
    </row>
    <row r="72" spans="31:34" x14ac:dyDescent="0.2">
      <c r="AE72" s="2"/>
      <c r="AF72" s="2"/>
      <c r="AG72" s="38"/>
      <c r="AH72" s="61"/>
    </row>
  </sheetData>
  <mergeCells count="5">
    <mergeCell ref="B8:C8"/>
    <mergeCell ref="E8:F8"/>
    <mergeCell ref="I8:J8"/>
    <mergeCell ref="D8:D9"/>
    <mergeCell ref="H8:H9"/>
  </mergeCells>
  <conditionalFormatting sqref="G10:J16">
    <cfRule type="containsErrors" dxfId="2" priority="6">
      <formula>ISERROR(G10)</formula>
    </cfRule>
  </conditionalFormatting>
  <conditionalFormatting sqref="B10:J16">
    <cfRule type="cellIs" dxfId="1" priority="2" operator="equal">
      <formula>TRUE</formula>
    </cfRule>
  </conditionalFormatting>
  <conditionalFormatting sqref="I33:I100">
    <cfRule type="containsText" dxfId="0" priority="1" stopIfTrue="1" operator="containsText" text="TRUE">
      <formula>NOT(ISERROR(SEARCH("TRUE",I33)))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3" name="Button 2">
              <controlPr defaultSize="0" print="0" autoFill="0" autoPict="0" macro="[0]!clean_tare.clean_tare">
                <anchor moveWithCells="1" sizeWithCells="1">
                  <from>
                    <xdr:col>16</xdr:col>
                    <xdr:colOff>723900</xdr:colOff>
                    <xdr:row>2</xdr:row>
                    <xdr:rowOff>114300</xdr:rowOff>
                  </from>
                  <to>
                    <xdr:col>18</xdr:col>
                    <xdr:colOff>406400</xdr:colOff>
                    <xdr:row>4</xdr:row>
                    <xdr:rowOff>12700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F14E1B-D54D-CA40-9F95-8BF8E8001FFB}">
  <sheetPr codeName="Sheet6"/>
  <dimension ref="B1:H11"/>
  <sheetViews>
    <sheetView workbookViewId="0"/>
  </sheetViews>
  <sheetFormatPr baseColWidth="10" defaultRowHeight="16" x14ac:dyDescent="0.2"/>
  <cols>
    <col min="1" max="1" width="7.6640625" customWidth="1"/>
    <col min="2" max="2" width="14.1640625" bestFit="1" customWidth="1"/>
    <col min="3" max="3" width="12" customWidth="1"/>
  </cols>
  <sheetData>
    <row r="1" spans="2:8" x14ac:dyDescent="0.2">
      <c r="C1" s="2"/>
      <c r="D1" s="2"/>
      <c r="E1" s="2"/>
      <c r="F1" s="2"/>
    </row>
    <row r="2" spans="2:8" x14ac:dyDescent="0.2">
      <c r="B2" s="15" t="s">
        <v>6</v>
      </c>
      <c r="C2" s="54">
        <v>10</v>
      </c>
      <c r="D2" s="40"/>
      <c r="E2" s="40"/>
      <c r="F2" s="40"/>
      <c r="G2" s="40"/>
      <c r="H2" s="55">
        <v>11</v>
      </c>
    </row>
    <row r="3" spans="2:8" x14ac:dyDescent="0.2">
      <c r="B3" s="8" t="s">
        <v>77</v>
      </c>
      <c r="C3" s="2">
        <v>9</v>
      </c>
      <c r="D3" s="3">
        <v>10</v>
      </c>
      <c r="E3" s="3">
        <v>8</v>
      </c>
      <c r="F3" s="2"/>
      <c r="G3" s="2"/>
      <c r="H3" s="9"/>
    </row>
    <row r="4" spans="2:8" x14ac:dyDescent="0.2">
      <c r="B4" s="8" t="s">
        <v>79</v>
      </c>
      <c r="C4" s="2"/>
      <c r="D4" s="2"/>
      <c r="E4" s="2"/>
      <c r="F4" s="2"/>
      <c r="G4" s="2"/>
      <c r="H4" s="9">
        <v>11</v>
      </c>
    </row>
    <row r="5" spans="2:8" x14ac:dyDescent="0.2">
      <c r="B5" s="8" t="s">
        <v>24</v>
      </c>
      <c r="C5" s="2"/>
      <c r="D5" s="2">
        <v>10</v>
      </c>
      <c r="E5" s="2"/>
      <c r="F5" s="2"/>
      <c r="G5" s="2"/>
      <c r="H5" s="9"/>
    </row>
    <row r="6" spans="2:8" x14ac:dyDescent="0.2">
      <c r="B6" s="8" t="s">
        <v>25</v>
      </c>
      <c r="C6" s="2"/>
      <c r="D6" s="2"/>
      <c r="E6" s="2">
        <v>8</v>
      </c>
      <c r="F6" s="2"/>
      <c r="G6" s="2"/>
      <c r="H6" s="9"/>
    </row>
    <row r="7" spans="2:8" x14ac:dyDescent="0.2">
      <c r="B7" s="8" t="s">
        <v>5</v>
      </c>
      <c r="C7" s="2"/>
      <c r="D7" s="2"/>
      <c r="E7" s="2"/>
      <c r="F7" s="2" t="b">
        <v>0</v>
      </c>
      <c r="G7" s="2"/>
      <c r="H7" s="9"/>
    </row>
    <row r="8" spans="2:8" x14ac:dyDescent="0.2">
      <c r="B8" s="10" t="s">
        <v>9</v>
      </c>
      <c r="C8" s="41"/>
      <c r="D8" s="41"/>
      <c r="E8" s="41"/>
      <c r="F8" s="41"/>
      <c r="G8" s="41" t="b">
        <v>0</v>
      </c>
      <c r="H8" s="11"/>
    </row>
    <row r="9" spans="2:8" x14ac:dyDescent="0.2">
      <c r="B9" s="2" t="s">
        <v>78</v>
      </c>
      <c r="C9" s="2" t="b">
        <f>C3&lt;C2</f>
        <v>1</v>
      </c>
      <c r="D9" s="2" t="b">
        <f>D3&lt;D5</f>
        <v>0</v>
      </c>
      <c r="E9" s="2" t="b">
        <f>E3&gt;E6</f>
        <v>0</v>
      </c>
      <c r="F9" s="2" t="b">
        <f>F7</f>
        <v>0</v>
      </c>
      <c r="G9" s="2" t="b">
        <f>G8</f>
        <v>0</v>
      </c>
      <c r="H9" s="2" t="b">
        <f>H4&lt;H2</f>
        <v>0</v>
      </c>
    </row>
    <row r="11" spans="2:8" x14ac:dyDescent="0.2">
      <c r="B11" s="2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F90CD6-8BEF-3F46-99AD-C6D30F0EAB17}">
  <sheetPr codeName="Sheet4"/>
  <dimension ref="B2:M9"/>
  <sheetViews>
    <sheetView workbookViewId="0"/>
  </sheetViews>
  <sheetFormatPr baseColWidth="10" defaultRowHeight="16" x14ac:dyDescent="0.2"/>
  <cols>
    <col min="1" max="1" width="7" style="2" customWidth="1"/>
    <col min="2" max="2" width="28.33203125" style="2" bestFit="1" customWidth="1"/>
    <col min="3" max="3" width="37" style="2" bestFit="1" customWidth="1"/>
    <col min="4" max="4" width="11" style="2" bestFit="1" customWidth="1"/>
    <col min="5" max="5" width="14.5" style="2" bestFit="1" customWidth="1"/>
    <col min="6" max="6" width="34.5" style="2" customWidth="1"/>
    <col min="7" max="7" width="12.1640625" style="2" customWidth="1"/>
    <col min="8" max="8" width="18.6640625" style="2" bestFit="1" customWidth="1"/>
    <col min="9" max="9" width="21.1640625" style="2" bestFit="1" customWidth="1"/>
    <col min="10" max="10" width="39.33203125" style="2" bestFit="1" customWidth="1"/>
    <col min="11" max="11" width="43.1640625" style="2" customWidth="1"/>
    <col min="12" max="12" width="14.83203125" style="2" bestFit="1" customWidth="1"/>
    <col min="13" max="13" width="18.6640625" style="2" bestFit="1" customWidth="1"/>
    <col min="14" max="16384" width="10.83203125" style="2"/>
  </cols>
  <sheetData>
    <row r="2" spans="2:13" ht="17" x14ac:dyDescent="0.2">
      <c r="B2" s="52" t="s">
        <v>33</v>
      </c>
      <c r="C2" s="52" t="s">
        <v>35</v>
      </c>
      <c r="D2" s="52" t="s">
        <v>36</v>
      </c>
      <c r="E2" s="52" t="s">
        <v>37</v>
      </c>
      <c r="F2" s="52" t="s">
        <v>55</v>
      </c>
      <c r="G2" s="52" t="s">
        <v>56</v>
      </c>
      <c r="H2" s="52" t="s">
        <v>68</v>
      </c>
      <c r="I2" s="53" t="s">
        <v>70</v>
      </c>
      <c r="J2" s="53" t="s">
        <v>72</v>
      </c>
      <c r="K2" s="53" t="s">
        <v>73</v>
      </c>
      <c r="L2" s="53" t="s">
        <v>74</v>
      </c>
      <c r="M2" s="53" t="s">
        <v>75</v>
      </c>
    </row>
    <row r="3" spans="2:13" ht="409.6" x14ac:dyDescent="0.2">
      <c r="B3" s="49" t="s">
        <v>58</v>
      </c>
      <c r="C3" s="49" t="s">
        <v>59</v>
      </c>
      <c r="D3" s="49" t="s">
        <v>39</v>
      </c>
      <c r="E3" s="49" t="s">
        <v>38</v>
      </c>
      <c r="F3" s="49" t="s">
        <v>62</v>
      </c>
      <c r="G3" s="49" t="s">
        <v>57</v>
      </c>
      <c r="H3" s="49" t="s">
        <v>69</v>
      </c>
      <c r="I3" s="49" t="s">
        <v>71</v>
      </c>
      <c r="J3" s="49" t="s">
        <v>71</v>
      </c>
      <c r="K3" s="49" t="s">
        <v>80</v>
      </c>
      <c r="L3" s="49" t="s">
        <v>81</v>
      </c>
      <c r="M3" s="49" t="s">
        <v>76</v>
      </c>
    </row>
    <row r="4" spans="2:13" ht="17" x14ac:dyDescent="0.2">
      <c r="B4" s="49" t="s">
        <v>34</v>
      </c>
      <c r="C4" s="49" t="s">
        <v>60</v>
      </c>
      <c r="D4" s="49"/>
      <c r="E4" s="49"/>
      <c r="F4" s="49" t="s">
        <v>63</v>
      </c>
      <c r="G4" s="49"/>
      <c r="H4" s="49"/>
      <c r="I4" s="49"/>
      <c r="J4" s="49"/>
      <c r="K4" s="49"/>
      <c r="L4" s="49"/>
      <c r="M4" s="49"/>
    </row>
    <row r="5" spans="2:13" ht="17" x14ac:dyDescent="0.2">
      <c r="B5" s="49"/>
      <c r="C5" s="50" t="s">
        <v>61</v>
      </c>
      <c r="D5" s="49"/>
      <c r="E5" s="49"/>
      <c r="F5" s="49" t="s">
        <v>64</v>
      </c>
      <c r="G5" s="49"/>
      <c r="H5" s="49"/>
      <c r="I5" s="49"/>
      <c r="J5" s="49"/>
      <c r="K5" s="49"/>
      <c r="L5" s="49"/>
      <c r="M5" s="49"/>
    </row>
    <row r="6" spans="2:13" ht="17" x14ac:dyDescent="0.2">
      <c r="B6" s="49"/>
      <c r="C6" s="49"/>
      <c r="D6" s="49"/>
      <c r="E6" s="49"/>
      <c r="F6" s="49" t="s">
        <v>65</v>
      </c>
      <c r="G6" s="49"/>
      <c r="H6" s="49"/>
      <c r="I6" s="49"/>
      <c r="J6" s="49"/>
      <c r="K6" s="49"/>
      <c r="L6" s="49"/>
      <c r="M6" s="49"/>
    </row>
    <row r="7" spans="2:13" ht="17" x14ac:dyDescent="0.2">
      <c r="B7" s="49"/>
      <c r="C7" s="49"/>
      <c r="D7" s="49"/>
      <c r="E7" s="49"/>
      <c r="F7" s="49" t="s">
        <v>66</v>
      </c>
      <c r="G7" s="49"/>
      <c r="H7" s="49"/>
      <c r="I7" s="49"/>
      <c r="J7" s="49"/>
      <c r="K7" s="49"/>
      <c r="L7" s="49"/>
      <c r="M7" s="49"/>
    </row>
    <row r="8" spans="2:13" ht="34" x14ac:dyDescent="0.2">
      <c r="B8" s="49"/>
      <c r="C8" s="49"/>
      <c r="D8" s="49"/>
      <c r="E8" s="49"/>
      <c r="F8" s="49" t="s">
        <v>67</v>
      </c>
      <c r="G8" s="49"/>
      <c r="H8" s="49"/>
      <c r="I8" s="49"/>
      <c r="J8" s="49"/>
      <c r="K8" s="49"/>
      <c r="L8" s="49"/>
      <c r="M8" s="49"/>
    </row>
    <row r="9" spans="2:13" x14ac:dyDescent="0.2">
      <c r="B9" s="51"/>
      <c r="C9" s="51"/>
      <c r="D9" s="51"/>
      <c r="E9" s="51"/>
      <c r="F9" s="51"/>
      <c r="G9" s="51"/>
      <c r="H9" s="51"/>
      <c r="I9" s="51"/>
      <c r="J9" s="51"/>
      <c r="K9" s="51"/>
      <c r="L9" s="51"/>
      <c r="M9" s="51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data_brute</vt:lpstr>
      <vt:lpstr>interface</vt:lpstr>
      <vt:lpstr>calculs_intermediaires</vt:lpstr>
      <vt:lpstr>test</vt:lpstr>
      <vt:lpstr>pop_up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 Silva, Arnaud</dc:creator>
  <cp:lastModifiedBy>da Silva, Arnaud</cp:lastModifiedBy>
  <dcterms:created xsi:type="dcterms:W3CDTF">2024-12-16T18:28:43Z</dcterms:created>
  <dcterms:modified xsi:type="dcterms:W3CDTF">2025-01-29T22:24:49Z</dcterms:modified>
</cp:coreProperties>
</file>