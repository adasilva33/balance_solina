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3541E1C9-3387-7B41-9500-B7ABD1384853}" xr6:coauthVersionLast="47" xr6:coauthVersionMax="47" xr10:uidLastSave="{00000000-0000-0000-0000-000000000000}"/>
  <bookViews>
    <workbookView xWindow="0" yWindow="760" windowWidth="28740" windowHeight="17180" xr2:uid="{5FB1850A-4562-1941-A4C6-C6D993284B38}"/>
  </bookViews>
  <sheets>
    <sheet name="interface" sheetId="1" r:id="rId1"/>
    <sheet name="calculs_intermediaires" sheetId="3" r:id="rId2"/>
    <sheet name="idea" sheetId="9" r:id="rId3"/>
    <sheet name="test" sheetId="8" r:id="rId4"/>
    <sheet name="draft" sheetId="6" r:id="rId5"/>
    <sheet name="pop_up" sheetId="5" r:id="rId6"/>
  </sheets>
  <functionGroups builtInGroupCount="19"/>
  <definedNames>
    <definedName name="_xleta.FILTER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" i="8" l="1"/>
  <c r="C9" i="8"/>
  <c r="F9" i="8"/>
  <c r="E3" i="6" a="1"/>
  <c r="E3" i="6" s="1"/>
  <c r="G9" i="8"/>
  <c r="E9" i="8"/>
  <c r="D9" i="8"/>
  <c r="F3" i="3"/>
  <c r="C22" i="3"/>
  <c r="G13" i="1"/>
  <c r="G12" i="1"/>
  <c r="C18" i="1"/>
  <c r="C19" i="1"/>
  <c r="C20" i="1"/>
  <c r="C21" i="1"/>
  <c r="C22" i="1"/>
  <c r="C23" i="1"/>
  <c r="C24" i="1"/>
  <c r="C25" i="1"/>
  <c r="C16" i="1"/>
  <c r="H28" i="3"/>
  <c r="G28" i="3"/>
  <c r="B16" i="1" a="1"/>
  <c r="B16" i="1" s="1"/>
  <c r="F4" i="3" s="1"/>
  <c r="N4" i="3" s="1"/>
  <c r="P7" i="3" s="1"/>
  <c r="E16" i="1" a="1"/>
  <c r="AE5" i="3" l="1"/>
  <c r="E16" i="1"/>
  <c r="F16" i="1" a="1"/>
  <c r="C4" i="3"/>
  <c r="F5" i="3" l="1"/>
  <c r="M16" i="1" a="1"/>
  <c r="M16" i="1" s="1"/>
  <c r="AF5" i="3"/>
  <c r="AE6" i="3" s="1"/>
  <c r="AF6" i="3" s="1"/>
  <c r="AE7" i="3" s="1"/>
  <c r="AF7" i="3" s="1"/>
  <c r="AE8" i="3" s="1"/>
  <c r="F16" i="1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Q7" i="3" l="1"/>
  <c r="AF8" i="3"/>
  <c r="AE9" i="3" s="1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AG8" i="3" l="1" a="1"/>
  <c r="AG8" i="3" s="1"/>
  <c r="AH8" i="3" s="1"/>
  <c r="AF9" i="3"/>
  <c r="AE10" i="3" s="1"/>
  <c r="K16" i="3" a="1"/>
  <c r="K16" i="3" s="1"/>
  <c r="C6" i="3"/>
  <c r="C18" i="3" s="1" a="1"/>
  <c r="C18" i="3" s="1"/>
  <c r="I10" i="3" a="1"/>
  <c r="I10" i="3" s="1"/>
  <c r="J10" i="3" s="1"/>
  <c r="K13" i="3" a="1"/>
  <c r="K13" i="3" s="1"/>
  <c r="K14" i="3" a="1"/>
  <c r="K14" i="3" s="1"/>
  <c r="K15" i="3" a="1"/>
  <c r="K15" i="3" s="1"/>
  <c r="C21" i="3" l="1"/>
  <c r="C23" i="3" s="1"/>
  <c r="AG9" i="3" a="1"/>
  <c r="AG9" i="3" s="1"/>
  <c r="AH9" i="3" s="1"/>
  <c r="AF10" i="3"/>
  <c r="AE11" i="3" s="1"/>
  <c r="C19" i="3" a="1"/>
  <c r="C19" i="3" s="1"/>
  <c r="F4" i="1" s="1"/>
  <c r="C26" i="3" l="1"/>
  <c r="C25" i="3"/>
  <c r="AG10" i="3" a="1"/>
  <c r="AG10" i="3" s="1"/>
  <c r="AH10" i="3" s="1"/>
  <c r="AF11" i="3"/>
  <c r="AE12" i="3" s="1"/>
  <c r="F3" i="1"/>
  <c r="AG11" i="3" l="1" a="1"/>
  <c r="AG11" i="3" s="1"/>
  <c r="AH11" i="3" s="1"/>
  <c r="AF12" i="3"/>
  <c r="AE13" i="3" s="1"/>
  <c r="AG12" i="3" l="1" a="1"/>
  <c r="AG12" i="3" s="1"/>
  <c r="AH12" i="3" s="1"/>
  <c r="AF13" i="3"/>
  <c r="AE14" i="3" s="1"/>
  <c r="C2" i="1"/>
  <c r="J16" i="1" a="1"/>
  <c r="J16" i="1" s="1"/>
  <c r="AG13" i="3" l="1" a="1"/>
  <c r="AG13" i="3" s="1"/>
  <c r="AH13" i="3" s="1"/>
  <c r="AF14" i="3"/>
  <c r="AE15" i="3" s="1"/>
  <c r="AG14" i="3" l="1" a="1"/>
  <c r="AG14" i="3" s="1"/>
  <c r="AH14" i="3" s="1"/>
  <c r="AF15" i="3"/>
  <c r="AE16" i="3" s="1"/>
  <c r="AG15" i="3" l="1" a="1"/>
  <c r="AG15" i="3" s="1"/>
  <c r="AH15" i="3" s="1"/>
  <c r="AF16" i="3"/>
  <c r="AE17" i="3" s="1"/>
  <c r="AG16" i="3" l="1" a="1"/>
  <c r="AG16" i="3" s="1"/>
  <c r="AH16" i="3" s="1"/>
  <c r="AF17" i="3"/>
  <c r="AE18" i="3" s="1"/>
  <c r="AG17" i="3" l="1" a="1"/>
  <c r="AG17" i="3" s="1"/>
  <c r="AH17" i="3" s="1"/>
  <c r="AF18" i="3"/>
  <c r="AE19" i="3" s="1"/>
  <c r="AG18" i="3" l="1" a="1"/>
  <c r="AG18" i="3" s="1"/>
  <c r="AH18" i="3" s="1"/>
  <c r="AF19" i="3"/>
  <c r="AE20" i="3" s="1"/>
  <c r="AG19" i="3" l="1" a="1"/>
  <c r="AG19" i="3" s="1"/>
  <c r="AH19" i="3" s="1"/>
  <c r="AF20" i="3"/>
  <c r="AE21" i="3" s="1"/>
  <c r="AG20" i="3" l="1" a="1"/>
  <c r="AG20" i="3" s="1"/>
  <c r="AH20" i="3" s="1"/>
  <c r="AF21" i="3"/>
  <c r="AE22" i="3" s="1"/>
  <c r="AG21" i="3" l="1" a="1"/>
  <c r="AG21" i="3" s="1"/>
  <c r="AH21" i="3" s="1"/>
  <c r="AF22" i="3"/>
  <c r="AE23" i="3" s="1"/>
  <c r="AG22" i="3" l="1" a="1"/>
  <c r="AG22" i="3" s="1"/>
  <c r="AH22" i="3" s="1"/>
  <c r="AF23" i="3"/>
  <c r="AE24" i="3" s="1"/>
  <c r="AG23" i="3" l="1" a="1"/>
  <c r="AG23" i="3" s="1"/>
  <c r="AH23" i="3" s="1"/>
  <c r="AF24" i="3"/>
  <c r="AE25" i="3" s="1"/>
  <c r="AG24" i="3" l="1" a="1"/>
  <c r="AG24" i="3" s="1"/>
  <c r="AH24" i="3" s="1"/>
  <c r="AF25" i="3"/>
  <c r="AE26" i="3" s="1"/>
  <c r="AG25" i="3" l="1" a="1"/>
  <c r="AG25" i="3" s="1"/>
  <c r="AH25" i="3" s="1"/>
  <c r="AF26" i="3"/>
  <c r="AE27" i="3" s="1"/>
  <c r="AG26" i="3" l="1" a="1"/>
  <c r="AG26" i="3" s="1"/>
  <c r="AH26" i="3" s="1"/>
  <c r="AF27" i="3"/>
  <c r="AE28" i="3" s="1"/>
  <c r="AG27" i="3" l="1" a="1"/>
  <c r="AG27" i="3" s="1"/>
  <c r="AH27" i="3" s="1"/>
  <c r="AF28" i="3"/>
  <c r="AE29" i="3" s="1"/>
  <c r="AG28" i="3" l="1" a="1"/>
  <c r="AG28" i="3" s="1"/>
  <c r="AH28" i="3" s="1"/>
  <c r="AF29" i="3"/>
  <c r="AE30" i="3" s="1"/>
  <c r="AG29" i="3" l="1" a="1"/>
  <c r="AG29" i="3" s="1"/>
  <c r="AH29" i="3" s="1"/>
  <c r="AF30" i="3"/>
  <c r="AE31" i="3" s="1"/>
  <c r="AG30" i="3" l="1" a="1"/>
  <c r="AG30" i="3" s="1"/>
  <c r="AH30" i="3" s="1"/>
  <c r="AF31" i="3"/>
  <c r="AE32" i="3" s="1"/>
  <c r="AG31" i="3" l="1" a="1"/>
  <c r="AG31" i="3" s="1"/>
  <c r="AH31" i="3" s="1"/>
  <c r="AF32" i="3"/>
  <c r="AE33" i="3" s="1"/>
  <c r="AG32" i="3" l="1" a="1"/>
  <c r="AG32" i="3" s="1"/>
  <c r="AH32" i="3" s="1"/>
  <c r="AF33" i="3"/>
  <c r="AE34" i="3" s="1"/>
  <c r="AG33" i="3" l="1" a="1"/>
  <c r="AG33" i="3" s="1"/>
  <c r="AH33" i="3" s="1"/>
  <c r="AF34" i="3"/>
  <c r="AE35" i="3" s="1"/>
  <c r="AG34" i="3" l="1" a="1"/>
  <c r="AG34" i="3" s="1"/>
  <c r="AH34" i="3" s="1"/>
  <c r="AF35" i="3"/>
  <c r="AE36" i="3" s="1"/>
  <c r="AG35" i="3" l="1" a="1"/>
  <c r="AG35" i="3" s="1"/>
  <c r="AH35" i="3" s="1"/>
  <c r="AF36" i="3"/>
  <c r="AE37" i="3" s="1"/>
  <c r="AG36" i="3" l="1" a="1"/>
  <c r="AG36" i="3" s="1"/>
  <c r="AH36" i="3" s="1"/>
  <c r="AF37" i="3"/>
  <c r="AE38" i="3" s="1"/>
  <c r="AG37" i="3" l="1" a="1"/>
  <c r="AG37" i="3" s="1"/>
  <c r="AH37" i="3" s="1"/>
  <c r="AF38" i="3"/>
  <c r="AE39" i="3" s="1"/>
  <c r="AG38" i="3" l="1" a="1"/>
  <c r="AG38" i="3" s="1"/>
  <c r="AH38" i="3" s="1"/>
  <c r="AF39" i="3"/>
  <c r="AE40" i="3" s="1"/>
  <c r="AG39" i="3" l="1" a="1"/>
  <c r="AG39" i="3" s="1"/>
  <c r="AH39" i="3" s="1"/>
  <c r="AF40" i="3"/>
  <c r="AE41" i="3" s="1"/>
  <c r="AG40" i="3" l="1" a="1"/>
  <c r="AG40" i="3" s="1"/>
  <c r="AH40" i="3" s="1"/>
  <c r="AF41" i="3"/>
  <c r="AE42" i="3" s="1"/>
  <c r="AG41" i="3" l="1" a="1"/>
  <c r="AG41" i="3" s="1"/>
  <c r="AH41" i="3" s="1"/>
  <c r="AF42" i="3"/>
  <c r="AE43" i="3" s="1"/>
  <c r="AG42" i="3" l="1" a="1"/>
  <c r="AG42" i="3" s="1"/>
  <c r="AH42" i="3" s="1"/>
  <c r="AF43" i="3"/>
  <c r="AE44" i="3" s="1"/>
  <c r="AG43" i="3" l="1" a="1"/>
  <c r="AG43" i="3" s="1"/>
  <c r="AH43" i="3" s="1"/>
  <c r="AF44" i="3"/>
  <c r="AE45" i="3" s="1"/>
  <c r="AG44" i="3" l="1" a="1"/>
  <c r="AG44" i="3" s="1"/>
  <c r="AH44" i="3" s="1"/>
  <c r="AF45" i="3"/>
  <c r="AE46" i="3" s="1"/>
  <c r="AG45" i="3" l="1" a="1"/>
  <c r="AG45" i="3" s="1"/>
  <c r="AH45" i="3" s="1"/>
  <c r="AF46" i="3"/>
  <c r="AE47" i="3" s="1"/>
  <c r="AG46" i="3" l="1" a="1"/>
  <c r="AG46" i="3" s="1"/>
  <c r="AH46" i="3" s="1"/>
  <c r="AF47" i="3"/>
  <c r="AE48" i="3" s="1"/>
  <c r="AG47" i="3" l="1" a="1"/>
  <c r="AG47" i="3" s="1"/>
  <c r="AH47" i="3" s="1"/>
  <c r="AF48" i="3"/>
  <c r="AE49" i="3" s="1"/>
  <c r="AG48" i="3" l="1" a="1"/>
  <c r="AG48" i="3" s="1"/>
  <c r="AH48" i="3" s="1"/>
  <c r="AF49" i="3"/>
  <c r="AE50" i="3" s="1"/>
  <c r="AG49" i="3" l="1" a="1"/>
  <c r="AG49" i="3" s="1"/>
  <c r="AH49" i="3" s="1"/>
  <c r="AF50" i="3"/>
  <c r="AE51" i="3" s="1"/>
  <c r="AG50" i="3" l="1" a="1"/>
  <c r="AG50" i="3" s="1"/>
  <c r="AH50" i="3" s="1"/>
  <c r="AF51" i="3"/>
  <c r="AE52" i="3" s="1"/>
  <c r="AG51" i="3" l="1" a="1"/>
  <c r="AG51" i="3" s="1"/>
  <c r="AH51" i="3" s="1"/>
  <c r="AF52" i="3"/>
  <c r="AE53" i="3" s="1"/>
  <c r="AG52" i="3" l="1" a="1"/>
  <c r="AG52" i="3" s="1"/>
  <c r="AH52" i="3" s="1"/>
  <c r="AF53" i="3"/>
  <c r="AE54" i="3" s="1"/>
  <c r="AG53" i="3" l="1" a="1"/>
  <c r="AG53" i="3" s="1"/>
  <c r="AH53" i="3" s="1"/>
  <c r="AF54" i="3"/>
  <c r="AE55" i="3" s="1"/>
  <c r="AG54" i="3" l="1" a="1"/>
  <c r="AG54" i="3" s="1"/>
  <c r="AH54" i="3" s="1"/>
  <c r="AF55" i="3"/>
  <c r="AE56" i="3" s="1"/>
  <c r="AG55" i="3" l="1" a="1"/>
  <c r="AG55" i="3" s="1"/>
  <c r="AH55" i="3" s="1"/>
  <c r="AF56" i="3"/>
  <c r="AE57" i="3" s="1"/>
  <c r="AG56" i="3" l="1" a="1"/>
  <c r="AG56" i="3" s="1"/>
  <c r="AH56" i="3" s="1"/>
  <c r="AF57" i="3"/>
  <c r="AE58" i="3" s="1"/>
  <c r="AG57" i="3" l="1" a="1"/>
  <c r="AG57" i="3" s="1"/>
  <c r="AH57" i="3" s="1"/>
  <c r="AF58" i="3"/>
  <c r="AE59" i="3" s="1"/>
  <c r="AG58" i="3" l="1" a="1"/>
  <c r="AG58" i="3" s="1"/>
  <c r="AH58" i="3" s="1"/>
  <c r="AF59" i="3"/>
  <c r="AE60" i="3" s="1"/>
  <c r="AG59" i="3" l="1" a="1"/>
  <c r="AG59" i="3" s="1"/>
  <c r="AH59" i="3" s="1"/>
  <c r="AF60" i="3"/>
  <c r="AE61" i="3" s="1"/>
  <c r="AG60" i="3" l="1" a="1"/>
  <c r="AG60" i="3" s="1"/>
  <c r="AH60" i="3" s="1"/>
  <c r="AF61" i="3"/>
  <c r="AE62" i="3" s="1"/>
  <c r="AG61" i="3" l="1" a="1"/>
  <c r="AG61" i="3" s="1"/>
  <c r="AH61" i="3" s="1"/>
  <c r="AF62" i="3"/>
  <c r="AE63" i="3" s="1"/>
  <c r="AG62" i="3" l="1" a="1"/>
  <c r="AG62" i="3" s="1"/>
  <c r="AH62" i="3" s="1"/>
  <c r="AF63" i="3"/>
  <c r="AE64" i="3" s="1"/>
  <c r="AG63" i="3" l="1" a="1"/>
  <c r="AG63" i="3" s="1"/>
  <c r="AH63" i="3" s="1"/>
  <c r="AF64" i="3"/>
  <c r="AE65" i="3" s="1"/>
  <c r="AG64" i="3" l="1" a="1"/>
  <c r="AG64" i="3" s="1"/>
  <c r="AH64" i="3" s="1"/>
  <c r="AF65" i="3"/>
  <c r="AE66" i="3" s="1"/>
  <c r="AG65" i="3" l="1" a="1"/>
  <c r="AG65" i="3" s="1"/>
  <c r="AH65" i="3" s="1"/>
  <c r="AF66" i="3"/>
  <c r="AE67" i="3" s="1"/>
  <c r="AG66" i="3" l="1" a="1"/>
  <c r="AG66" i="3" s="1"/>
  <c r="AH66" i="3" s="1"/>
  <c r="AF67" i="3"/>
  <c r="AE68" i="3" s="1"/>
  <c r="AG67" i="3" l="1" a="1"/>
  <c r="AG67" i="3" s="1"/>
  <c r="AH67" i="3" s="1"/>
  <c r="AF68" i="3"/>
  <c r="AE69" i="3" s="1"/>
  <c r="AG68" i="3" l="1" a="1"/>
  <c r="AG68" i="3" s="1"/>
  <c r="AH68" i="3" s="1"/>
  <c r="AF69" i="3"/>
  <c r="AE70" i="3" s="1"/>
  <c r="AG69" i="3" l="1" a="1"/>
  <c r="AG69" i="3" s="1"/>
  <c r="AH69" i="3" s="1"/>
  <c r="AF70" i="3"/>
  <c r="AG70" i="3" s="1" a="1"/>
  <c r="AG70" i="3" s="1"/>
  <c r="AH70" i="3" s="1"/>
  <c r="Q4" i="3"/>
  <c r="G16" i="1" l="1" a="1"/>
  <c r="G16" i="1" s="1"/>
  <c r="H16" i="1" s="1" a="1"/>
  <c r="H16" i="1" s="1"/>
  <c r="I16" i="1" s="1" a="1"/>
  <c r="AG7" i="3" s="1" a="1"/>
  <c r="AG7" i="3" s="1"/>
  <c r="AH7" i="3" s="1"/>
  <c r="I16" i="1" l="1"/>
  <c r="U4" i="3" s="1" a="1"/>
  <c r="U4" i="3" s="1"/>
  <c r="AG6" i="3" a="1"/>
  <c r="AG6" i="3" s="1"/>
  <c r="AH6" i="3" s="1"/>
  <c r="AB2" i="3" l="1"/>
  <c r="O3" i="1" s="1"/>
  <c r="K16" i="1" a="1"/>
  <c r="K16" i="1" s="1"/>
  <c r="G3" i="1" s="1"/>
  <c r="O2" i="1"/>
  <c r="L16" i="1" a="1"/>
  <c r="L16" i="1" s="1"/>
  <c r="G4" i="1" s="1"/>
  <c r="AG5" i="3" a="1"/>
  <c r="AG5" i="3" s="1"/>
  <c r="AH5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<sst xmlns="http://schemas.openxmlformats.org/spreadsheetml/2006/main" count="116" uniqueCount="99">
  <si>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</si>
  <si>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</si>
  <si>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</si>
  <si>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</si>
  <si>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</si>
  <si>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</si>
  <si>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</si>
  <si>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</si>
  <si>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</si>
  <si>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conditional_formatting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</si>
  <si>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</si>
  <si>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</si>
  <si>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</si>
  <si>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</si>
  <si>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</si>
  <si>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</si>
  <si>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</si>
  <si>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</si>
  <si>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</si>
  <si>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</si>
  <si>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</si>
  <si>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</si>
  <si>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</si>
  <si>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</si>
  <si>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</si>
  <si>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</si>
  <si>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</si>
  <si>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</si>
  <si>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Nombre</t>
  </si>
  <si>
    <t>total pesée:</t>
  </si>
  <si>
    <t>Valeur</t>
  </si>
  <si>
    <t>produit_a</t>
  </si>
  <si>
    <t>lot_a</t>
  </si>
  <si>
    <t>Tare</t>
  </si>
  <si>
    <t>AJUSTER TARE</t>
  </si>
  <si>
    <t>Text 2 - TARE</t>
  </si>
  <si>
    <t>Debut OF</t>
  </si>
  <si>
    <t>FIN OF</t>
  </si>
  <si>
    <t>FIN LOT</t>
  </si>
  <si>
    <t>Text 2 - debut OF</t>
  </si>
  <si>
    <t>Text 1 - fin of</t>
  </si>
  <si>
    <t>Bobine</t>
  </si>
  <si>
    <t>param sim:</t>
  </si>
  <si>
    <t>value to replicate</t>
  </si>
  <si>
    <t>number times</t>
  </si>
  <si>
    <t>output</t>
  </si>
  <si>
    <t>Hello</t>
  </si>
  <si>
    <t>Ligne debut</t>
  </si>
  <si>
    <t>Ligne fin</t>
  </si>
  <si>
    <t>bobine actuelle:</t>
  </si>
  <si>
    <t>Nb</t>
  </si>
  <si>
    <t>tare associée:</t>
  </si>
  <si>
    <t>moyenne :</t>
  </si>
  <si>
    <t>moyenne longue:</t>
  </si>
  <si>
    <t>moyenne courte (10):</t>
  </si>
  <si>
    <t>Dernières mesures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</si>
  <si>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</si>
  <si>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</si>
  <si>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</si>
  <si>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</si>
  <si>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</si>
  <si>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</si>
  <si>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</si>
  <si>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</si>
  <si>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nb bobine actuel:</t>
  </si>
  <si>
    <t>Debut Equipe</t>
  </si>
  <si>
    <t>Fin Equipe</t>
  </si>
  <si>
    <t>Text 1 - fin Equipe</t>
  </si>
  <si>
    <t>Renseigner la nouvelle Tare (en g)</t>
  </si>
  <si>
    <t>Renseigner le code article</t>
  </si>
  <si>
    <t>Renseigner le n°lot</t>
  </si>
  <si>
    <t>Appuyer sur le bouton « DEBUT EQUIPE »</t>
  </si>
  <si>
    <t>Appuyer sur « Print OFF ».</t>
  </si>
  <si>
    <t>Régler la balance (bulle, stabilité).</t>
  </si>
  <si>
    <t>Contrôler le poids étalon.</t>
  </si>
  <si>
    <t>Régler les poids.</t>
  </si>
  <si>
    <t>Appuyer sur « Print ON ».</t>
  </si>
  <si>
    <t>Fermer cette fenêtre puis contrôler 10 dosettes à la suite.</t>
  </si>
  <si>
    <t>Poids nominal</t>
  </si>
  <si>
    <t>est_TU1</t>
  </si>
  <si>
    <t>est_TU2</t>
  </si>
  <si>
    <t>Moyenne courte &lt; QN</t>
  </si>
  <si>
    <t>Recontrôler 10 dosettes à la suite. 
Si moyenne des 10 est inférieur au poids nominal deux fois de suite, faire un réglage poids + recontrôler 10 dosettes à la suite. 
Recommencer l’opération jusqu’à avoir une moyenne des 10 supérieure ou égale au poids nominal</t>
  </si>
  <si>
    <t>Moyenne courte est &lt;LCI</t>
  </si>
  <si>
    <t>Réglage poids + contrôler 10 dosettes à la suite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</si>
  <si>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</si>
  <si>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</si>
  <si>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</si>
  <si>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</si>
  <si>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</si>
  <si>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</si>
  <si>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</si>
  <si>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</si>
  <si>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Attention dosette en TU1 ! 
- Arrêter la production. Retirer la dosette. 
- Appuyer sur « Print OFF ». 
- Recontrôler le carton précédent à 100%. 
- Répéter cette opération jusqu’à avoir un carton sans TU1/TU2. 
- Appuyer sur « Print ON » et reprendre la production.</t>
  </si>
  <si>
    <t>Attention dosette en TU2 ! 
-Arrêter la production. 
- Alerter une experte ou cheffe d’équipe. 
- Retirer la dosette. 
- Appuyer sur « Print OFF ». 
- Recontrôler le carton précédent à 100%. 
- Répéter cette opération jusqu’à avoir un carton sans TU1/TU2. 
- Appuyer sur « Print ON » et reprendre la production</t>
  </si>
  <si>
    <t>that's where the balance write</t>
  </si>
  <si>
    <t>sheet input</t>
  </si>
  <si>
    <t>sheet interface</t>
  </si>
  <si>
    <t>where we have the button + graph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</si>
</sst>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8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9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14" fontId="0" fillId="0" borderId="0" xfId="0" applyNumberFormat="1" applyAlignment="1">
      <alignment horizontal="center" vertical="center"/>
    </xf>
    <xf numFmtId="21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0" fontId="2" fillId="6" borderId="0" xfId="0" applyFont="1" applyFill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7" borderId="0" xfId="0" applyNumberFormat="1" applyFill="1" applyAlignment="1">
      <alignment horizontal="center"/>
    </xf>
    <xf numFmtId="0" fontId="0" fillId="0" borderId="12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1" fillId="0" borderId="0" xfId="0" applyNumberFormat="1" applyFont="1" applyAlignment="1">
      <alignment horizontal="center"/>
    </xf>
    <xf numFmtId="4" fontId="0" fillId="0" borderId="12" xfId="0" applyNumberForma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11" xfId="0" applyNumberFormat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4" fontId="0" fillId="0" borderId="12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0" fillId="3" borderId="9" xfId="0" applyFill="1" applyBorder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v>Poids net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calculs_intermediaires!$AH$5:$AH$15</c:f>
              <c:strCache>
                <c:ptCount val="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</c:strCache>
            </c:strRef>
          </c:cat>
          <c:val>
            <c:numRef>
              <c:f>interface!$I$16:$I$55</c:f>
              <c:numCache>
                <c:formatCode>0.00</c:formatCode>
                <c:ptCount val="40"/>
                <c:pt idx="0">
                  <c:v>79.209965290150791</c:v>
                </c:pt>
                <c:pt idx="1">
                  <c:v>75.665843285659946</c:v>
                </c:pt>
                <c:pt idx="2">
                  <c:v>75.347132932155873</c:v>
                </c:pt>
                <c:pt idx="3">
                  <c:v>79.051308198751713</c:v>
                </c:pt>
                <c:pt idx="4">
                  <c:v>77.449425259874332</c:v>
                </c:pt>
                <c:pt idx="5">
                  <c:v>73.955293439337396</c:v>
                </c:pt>
                <c:pt idx="6">
                  <c:v>72.265160164838562</c:v>
                </c:pt>
                <c:pt idx="7">
                  <c:v>76.229650341615297</c:v>
                </c:pt>
                <c:pt idx="8">
                  <c:v>74.933322602011728</c:v>
                </c:pt>
                <c:pt idx="9">
                  <c:v>79.914433229987935</c:v>
                </c:pt>
                <c:pt idx="10">
                  <c:v>77.450564586864459</c:v>
                </c:pt>
                <c:pt idx="11">
                  <c:v>71.083464670215676</c:v>
                </c:pt>
                <c:pt idx="12">
                  <c:v>72.365460148161631</c:v>
                </c:pt>
                <c:pt idx="13">
                  <c:v>79.641620357698343</c:v>
                </c:pt>
                <c:pt idx="14">
                  <c:v>76.885477247094983</c:v>
                </c:pt>
                <c:pt idx="15">
                  <c:v>76.780918075322788</c:v>
                </c:pt>
                <c:pt idx="16">
                  <c:v>75.319441965134104</c:v>
                </c:pt>
                <c:pt idx="17">
                  <c:v>76.941042268582464</c:v>
                </c:pt>
                <c:pt idx="18">
                  <c:v>75.146859304309061</c:v>
                </c:pt>
                <c:pt idx="19">
                  <c:v>74.424817314853371</c:v>
                </c:pt>
                <c:pt idx="20">
                  <c:v>78.66777476083611</c:v>
                </c:pt>
                <c:pt idx="21">
                  <c:v>78.942146912322244</c:v>
                </c:pt>
                <c:pt idx="22">
                  <c:v>76.595584954419692</c:v>
                </c:pt>
                <c:pt idx="23">
                  <c:v>74.590927661816082</c:v>
                </c:pt>
                <c:pt idx="24">
                  <c:v>74.726536637517029</c:v>
                </c:pt>
                <c:pt idx="25">
                  <c:v>77.266259878328938</c:v>
                </c:pt>
                <c:pt idx="26">
                  <c:v>73.207697212423696</c:v>
                </c:pt>
                <c:pt idx="27">
                  <c:v>75.629429336568194</c:v>
                </c:pt>
                <c:pt idx="28">
                  <c:v>78.161665183639627</c:v>
                </c:pt>
                <c:pt idx="29">
                  <c:v>77.104525132934569</c:v>
                </c:pt>
                <c:pt idx="30">
                  <c:v>76.012440914431224</c:v>
                </c:pt>
                <c:pt idx="31">
                  <c:v>71.858469368766762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DE-9242-B9A6-F9A90093636C}"/>
            </c:ext>
          </c:extLst>
        </c:ser>
        <c:ser>
          <c:idx val="0"/>
          <c:order val="1"/>
          <c:tx>
            <c:v>Moyenne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calculs_intermediaires!$AH$5:$AH$15</c:f>
              <c:strCache>
                <c:ptCount val="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</c:strCache>
            </c:strRef>
          </c:cat>
          <c:val>
            <c:numRef>
              <c:f>calculs_intermediaires!$AG$5:$AG$15</c:f>
              <c:numCache>
                <c:formatCode>0.00</c:formatCode>
                <c:ptCount val="11"/>
                <c:pt idx="0">
                  <c:v>76.40215347443835</c:v>
                </c:pt>
                <c:pt idx="1">
                  <c:v>75.882494609006642</c:v>
                </c:pt>
                <c:pt idx="2">
                  <c:v>75.826880290288003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DE-9242-B9A6-F9A90093636C}"/>
            </c:ext>
          </c:extLst>
        </c:ser>
        <c:ser>
          <c:idx val="2"/>
          <c:order val="2"/>
          <c:tx>
            <c:v>Poids nominal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val>
            <c:numRef>
              <c:f>interface!$M$16:$M$55</c:f>
            </c:numRef>
          </c:val>
          <c:smooth val="0"/>
          <c:extLst>
            <c:ext xmlns:c16="http://schemas.microsoft.com/office/drawing/2014/chart" uri="{C3380CC4-5D6E-409C-BE32-E72D297353CC}">
              <c16:uniqueId val="{00000003-2C88-1044-8C36-3D5278CEB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3929872"/>
        <c:axId val="1445768336"/>
      </c:lineChart>
      <c:catAx>
        <c:axId val="157392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1445768336"/>
        <c:crosses val="autoZero"/>
        <c:auto val="1"/>
        <c:lblAlgn val="ctr"/>
        <c:lblOffset val="100"/>
        <c:noMultiLvlLbl val="0"/>
      </c:catAx>
      <c:valAx>
        <c:axId val="144576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157392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pin" dx="15" fmlaLink="$G$10" max="30000" page="10" val="32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520700</xdr:colOff>
          <xdr:row>10</xdr:row>
          <xdr:rowOff>88900</xdr:rowOff>
        </xdr:from>
        <xdr:to>
          <xdr:col>2</xdr:col>
          <xdr:colOff>876300</xdr:colOff>
          <xdr:row>12</xdr:row>
          <xdr:rowOff>101600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10</xdr:row>
          <xdr:rowOff>76200</xdr:rowOff>
        </xdr:from>
        <xdr:to>
          <xdr:col>4</xdr:col>
          <xdr:colOff>165100</xdr:colOff>
          <xdr:row>12</xdr:row>
          <xdr:rowOff>114300</xdr:rowOff>
        </xdr:to>
        <xdr:sp macro="" textlink="">
          <xdr:nvSpPr>
            <xdr:cNvPr id="1051" name="Button 27" descr="TAR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520700</xdr:colOff>
          <xdr:row>7</xdr:row>
          <xdr:rowOff>63500</xdr:rowOff>
        </xdr:from>
        <xdr:to>
          <xdr:col>2</xdr:col>
          <xdr:colOff>876300</xdr:colOff>
          <xdr:row>9</xdr:row>
          <xdr:rowOff>101600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165100</xdr:colOff>
          <xdr:row>5</xdr:row>
          <xdr:rowOff>139700</xdr:rowOff>
        </xdr:from>
        <xdr:to>
          <xdr:col>8</xdr:col>
          <xdr:colOff>723900</xdr:colOff>
          <xdr:row>9</xdr:row>
          <xdr:rowOff>127000</xdr:rowOff>
        </xdr:to>
        <xdr:sp macro="" textlink="">
          <xdr:nvSpPr>
            <xdr:cNvPr id="1055" name="Spinner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15</xdr:col>
      <xdr:colOff>95250</xdr:colOff>
      <xdr:row>0</xdr:row>
      <xdr:rowOff>127000</xdr:rowOff>
    </xdr:from>
    <xdr:to>
      <xdr:col>20</xdr:col>
      <xdr:colOff>539750</xdr:colOff>
      <xdr:row>14</xdr:row>
      <xdr:rowOff>25400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5245164F-6427-BBFC-D160-CBA6D6C572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7</xdr:row>
          <xdr:rowOff>76200</xdr:rowOff>
        </xdr:from>
        <xdr:to>
          <xdr:col>1</xdr:col>
          <xdr:colOff>482600</xdr:colOff>
          <xdr:row>9</xdr:row>
          <xdr:rowOff>114300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10</xdr:row>
          <xdr:rowOff>76200</xdr:rowOff>
        </xdr:from>
        <xdr:to>
          <xdr:col>1</xdr:col>
          <xdr:colOff>482600</xdr:colOff>
          <xdr:row>12</xdr:row>
          <xdr:rowOff>114300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7</xdr:row>
          <xdr:rowOff>38100</xdr:rowOff>
        </xdr:from>
        <xdr:to>
          <xdr:col>4</xdr:col>
          <xdr:colOff>228600</xdr:colOff>
          <xdr:row>9</xdr:row>
          <xdr:rowOff>76200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723900</xdr:colOff>
          <xdr:row>2</xdr:row>
          <xdr:rowOff>114300</xdr:rowOff>
        </xdr:from>
        <xdr:to>
          <xdr:col>18</xdr:col>
          <xdr:colOff>406400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Mise a zero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O47"/>
  <sheetViews>
    <sheetView showGridLines="0" tabSelected="1" zoomScale="110" workbookViewId="0">
      <pane ySplit="15" topLeftCell="A16" activePane="bottomLeft" state="frozen"/>
      <selection pane="bottomLeft" activeCell="N12" sqref="N12"/>
    </sheetView>
  </sheetViews>
  <sheetFormatPr baseColWidth="10" defaultRowHeight="16" outlineLevelCol="1" x14ac:dyDescent="0.2"/>
  <cols>
    <col min="1" max="1" width="7.6640625" style="2" customWidth="1"/>
    <col min="2" max="2" width="10.83203125" style="29"/>
    <col min="3" max="3" width="16" style="29" bestFit="1" customWidth="1"/>
    <col min="4" max="4" width="10.83203125" style="29"/>
    <col min="5" max="5" width="10.83203125" style="39"/>
    <col min="6" max="7" width="10.83203125" style="29"/>
    <col min="8" max="8" width="10" style="29" bestFit="1" customWidth="1"/>
    <col min="9" max="9" width="14.1640625" style="39" bestFit="1" customWidth="1"/>
    <col min="10" max="10" width="19.83203125" style="2" hidden="1" customWidth="1" outlineLevel="1"/>
    <col min="11" max="11" width="7" style="2" hidden="1" customWidth="1" outlineLevel="1"/>
    <col min="12" max="12" width="8" style="2" hidden="1" customWidth="1" outlineLevel="1"/>
    <col min="13" max="13" width="13.1640625" style="2" hidden="1" customWidth="1" outlineLevel="1"/>
    <col min="14" max="14" width="14.1640625" style="2" bestFit="1" customWidth="1" collapsed="1"/>
    <col min="15" max="15" width="10.83203125" style="2"/>
  </cols>
  <sheetData>
    <row r="1" spans="1:15" x14ac:dyDescent="0.2">
      <c r="B1" s="2"/>
      <c r="C1"/>
      <c r="D1"/>
      <c r="E1"/>
      <c r="F1"/>
      <c r="G1"/>
      <c r="H1"/>
      <c r="I1"/>
    </row>
    <row r="2" spans="1:15" x14ac:dyDescent="0.2">
      <c r="B2" s="2" t="s">
        <v>0</v>
      </c>
      <c r="C2" s="1">
        <f ca="1">NOW()</f>
        <v>45684.994155092594</v>
      </c>
      <c r="D2"/>
      <c r="E2" s="2"/>
      <c r="F2" s="2" t="s">
        <v>30</v>
      </c>
      <c r="G2" s="2" t="s">
        <v>28</v>
      </c>
      <c r="H2"/>
      <c r="I2" s="29"/>
      <c r="N2" s="14" t="s">
        <v>53</v>
      </c>
      <c r="O2" s="37">
        <f ca="1">AVERAGE(_xlfn.ANCHORARRAY(I16))</f>
        <v>76.025770582394529</v>
      </c>
    </row>
    <row r="3" spans="1:15" x14ac:dyDescent="0.2">
      <c r="B3" s="2" t="s">
        <v>1</v>
      </c>
      <c r="C3" s="22" t="s">
        <v>31</v>
      </c>
      <c r="D3"/>
      <c r="E3" s="2" t="s">
        <v>5</v>
      </c>
      <c r="F3" s="15">
        <f>calculs_intermediaires!C18</f>
        <v>75.5</v>
      </c>
      <c r="G3" s="16">
        <f ca="1">COUNTIFS(_xlfn.ANCHORARRAY(K16),TRUE)</f>
        <v>19</v>
      </c>
      <c r="H3"/>
      <c r="I3"/>
      <c r="N3" s="14" t="s">
        <v>54</v>
      </c>
      <c r="O3" s="41">
        <f ca="1">calculs_intermediaires!AB2</f>
        <v>75.515353628084583</v>
      </c>
    </row>
    <row r="4" spans="1:15" x14ac:dyDescent="0.2">
      <c r="B4" s="2" t="s">
        <v>2</v>
      </c>
      <c r="C4" s="23" t="s">
        <v>32</v>
      </c>
      <c r="D4"/>
      <c r="E4" s="2" t="s">
        <v>10</v>
      </c>
      <c r="F4" s="10">
        <f>calculs_intermediaires!C19</f>
        <v>71</v>
      </c>
      <c r="G4" s="11">
        <f ca="1">COUNTIFS(_xlfn.ANCHORARRAY(L16),TRUE)</f>
        <v>32</v>
      </c>
      <c r="H4"/>
      <c r="I4"/>
    </row>
    <row r="5" spans="1:15" x14ac:dyDescent="0.2">
      <c r="B5" s="2"/>
      <c r="C5"/>
      <c r="D5"/>
      <c r="E5"/>
      <c r="F5"/>
      <c r="G5"/>
      <c r="H5"/>
      <c r="I5"/>
    </row>
    <row r="6" spans="1:15" x14ac:dyDescent="0.2">
      <c r="B6" s="2" t="s">
        <v>7</v>
      </c>
      <c r="C6" s="66">
        <v>80</v>
      </c>
      <c r="D6"/>
      <c r="E6"/>
      <c r="F6"/>
      <c r="G6"/>
      <c r="H6"/>
      <c r="I6"/>
    </row>
    <row r="7" spans="1:15" x14ac:dyDescent="0.2">
      <c r="B7" s="2"/>
      <c r="C7"/>
      <c r="D7"/>
      <c r="E7"/>
      <c r="F7"/>
      <c r="G7"/>
      <c r="H7"/>
      <c r="I7"/>
    </row>
    <row r="8" spans="1:15" x14ac:dyDescent="0.2">
      <c r="B8" s="2"/>
      <c r="C8"/>
      <c r="D8"/>
      <c r="E8"/>
      <c r="F8"/>
      <c r="G8"/>
      <c r="H8"/>
      <c r="I8"/>
    </row>
    <row r="9" spans="1:15" x14ac:dyDescent="0.2">
      <c r="A9" s="32"/>
      <c r="B9" s="2"/>
      <c r="C9"/>
      <c r="D9"/>
      <c r="E9"/>
      <c r="F9"/>
      <c r="G9"/>
      <c r="I9" s="29"/>
    </row>
    <row r="10" spans="1:15" x14ac:dyDescent="0.2">
      <c r="A10" s="32"/>
      <c r="B10" s="2"/>
      <c r="C10"/>
      <c r="D10"/>
      <c r="E10"/>
      <c r="F10" s="14" t="s">
        <v>42</v>
      </c>
      <c r="G10" s="21">
        <v>32</v>
      </c>
      <c r="I10" s="29"/>
    </row>
    <row r="11" spans="1:15" x14ac:dyDescent="0.2">
      <c r="B11" s="2"/>
      <c r="C11"/>
      <c r="D11"/>
      <c r="E11"/>
      <c r="F11"/>
      <c r="G11"/>
      <c r="I11" s="29"/>
    </row>
    <row r="12" spans="1:15" x14ac:dyDescent="0.2">
      <c r="B12" s="2"/>
      <c r="C12"/>
      <c r="D12"/>
      <c r="E12"/>
      <c r="F12" s="14" t="s">
        <v>49</v>
      </c>
      <c r="G12" s="20">
        <f>INDEX(calculs_intermediaires!$M$7:$M$100,MATCH(TRUE,calculs_intermediaires!$R$7:$R$100,0))</f>
        <v>1</v>
      </c>
      <c r="I12" s="29"/>
      <c r="N12" s="3"/>
    </row>
    <row r="13" spans="1:15" x14ac:dyDescent="0.2">
      <c r="B13" s="2"/>
      <c r="C13"/>
      <c r="D13"/>
      <c r="E13"/>
      <c r="F13" s="35" t="s">
        <v>51</v>
      </c>
      <c r="G13" s="29">
        <f>INDEX(calculs_intermediaires!$N$7:$N$100,MATCH(TRUE,calculs_intermediaires!$R$7:$R$100,0))</f>
        <v>5</v>
      </c>
      <c r="I13" s="29"/>
    </row>
    <row r="14" spans="1:15" x14ac:dyDescent="0.2">
      <c r="B14" s="2"/>
      <c r="C14"/>
      <c r="D14"/>
      <c r="E14"/>
      <c r="H14" s="2"/>
      <c r="I14"/>
    </row>
    <row r="15" spans="1:15" x14ac:dyDescent="0.2">
      <c r="B15" s="4" t="s">
        <v>3</v>
      </c>
      <c r="C15" s="4" t="s">
        <v>0</v>
      </c>
      <c r="D15" s="4" t="s">
        <v>8</v>
      </c>
      <c r="E15" s="4" t="s">
        <v>4</v>
      </c>
      <c r="F15" s="4" t="s">
        <v>63</v>
      </c>
      <c r="G15" s="4" t="s">
        <v>41</v>
      </c>
      <c r="H15" s="4" t="s">
        <v>33</v>
      </c>
      <c r="I15" s="4" t="s">
        <v>27</v>
      </c>
      <c r="J15" s="5" t="s">
        <v>9</v>
      </c>
      <c r="K15" s="5" t="s">
        <v>79</v>
      </c>
      <c r="L15" s="5" t="s">
        <v>80</v>
      </c>
      <c r="M15" s="5" t="s">
        <v>78</v>
      </c>
    </row>
    <row r="16" spans="1:15" x14ac:dyDescent="0.2">
      <c r="B16" s="29" cm="1">
        <f t="array" ref="B16:B47">_xlfn.SEQUENCE(G10)</f>
        <v>1</v>
      </c>
      <c r="C16" s="33">
        <f ca="1">TODAY()</f>
        <v>45684</v>
      </c>
      <c r="D16" s="34">
        <v>0.4289351851851852</v>
      </c>
      <c r="E16" s="39" cm="1">
        <f t="array" aca="1" ref="E16:E47" ca="1">_xlfn.RANDARRAY(G10,1,75,85,FALSE)</f>
        <v>84.209965290150791</v>
      </c>
      <c r="F16" s="29" cm="1">
        <f t="array" ref="F16:F47">IF(_xlfn.ANCHORARRAY(B16)&lt;&gt;0,ROW(_xlfn.ANCHORARRAY(B16)))</f>
        <v>16</v>
      </c>
      <c r="G16" s="29" cm="1">
        <f t="array" ref="G16:G47">_xlfn.BYROW(_xlfn.ANCHORARRAY(F16), _xlfn.LAMBDA(_xlpm.row, _xlfn._xlws.FILTER(calculs_intermediaires!$M$7:$M$100, (_xlpm.row&gt;=calculs_intermediaires!O$7:O$100) * (_xlpm.row&lt;=calculs_intermediaires!P$7:P$100), "No Match")))</f>
        <v>1</v>
      </c>
      <c r="H16" s="29" cm="1">
        <f t="array" ref="H16:H47">INDEX(calculs_intermediaires!$N$7:$N$100,MATCH(_xlfn.ANCHORARRAY(G16),calculs_intermediaires!$M$7:$M$100,0))</f>
        <v>5</v>
      </c>
      <c r="I16" s="39" cm="1">
        <f t="array" aca="1" ref="I16:I47" ca="1">_xlfn.ANCHORARRAY(E16)-_xlfn.ANCHORARRAY(H16)</f>
        <v>79.209965290150791</v>
      </c>
      <c r="J16" s="2" t="b" cm="1">
        <f t="array" ref="J16:J47">IF(_xlfn.ANCHORARRAY(B16)&lt;&gt;"",TRUE,FALSE)</f>
        <v>1</v>
      </c>
      <c r="K16" s="2" t="b" cm="1">
        <f t="array" aca="1" ref="K16:K47" ca="1">IF(_xlfn.ANCHORARRAY(I16)&gt;$F$3,TRUE,FALSE)</f>
        <v>1</v>
      </c>
      <c r="L16" s="2" t="b" cm="1">
        <f t="array" aca="1" ref="L16:L47" ca="1">IF(_xlfn.ANCHORARRAY(I16)&gt;$F$4,TRUE,FALSE)</f>
        <v>1</v>
      </c>
      <c r="M16" s="2" cm="1">
        <f t="array" ref="M16:M47">_xlfn.SEQUENCE(calculs_intermediaires!F4, 1, interface!C6, 0)</f>
        <v>80</v>
      </c>
    </row>
    <row r="17" spans="2:13" x14ac:dyDescent="0.2">
      <c r="B17" s="29">
        <v>2</v>
      </c>
      <c r="C17" s="33">
        <v>100</v>
      </c>
      <c r="D17" s="34">
        <v>0.4289351851851852</v>
      </c>
      <c r="E17" s="39">
        <f ca="1"/>
        <v>80.665843285659946</v>
      </c>
      <c r="F17" s="29">
        <v>17</v>
      </c>
      <c r="G17" s="29">
        <v>1</v>
      </c>
      <c r="H17" s="29">
        <v>5</v>
      </c>
      <c r="I17" s="39">
        <f ca="1"/>
        <v>75.665843285659946</v>
      </c>
      <c r="J17" s="2" t="b">
        <v>1</v>
      </c>
      <c r="K17" s="2" t="b">
        <f ca="1"/>
        <v>1</v>
      </c>
      <c r="L17" s="2" t="b">
        <f ca="1"/>
        <v>1</v>
      </c>
      <c r="M17" s="2">
        <v>80</v>
      </c>
    </row>
    <row r="18" spans="2:13" x14ac:dyDescent="0.2">
      <c r="B18" s="29">
        <v>3</v>
      </c>
      <c r="C18" s="33">
        <f t="shared" ref="C18:C25" ca="1" si="0">TODAY()</f>
        <v>45684</v>
      </c>
      <c r="D18" s="34">
        <v>0.4289351851851852</v>
      </c>
      <c r="E18" s="39">
        <f ca="1"/>
        <v>80.347132932155873</v>
      </c>
      <c r="F18" s="29">
        <v>18</v>
      </c>
      <c r="G18" s="29">
        <v>1</v>
      </c>
      <c r="H18" s="29">
        <v>5</v>
      </c>
      <c r="I18" s="39">
        <f ca="1"/>
        <v>75.347132932155873</v>
      </c>
      <c r="J18" s="2" t="b">
        <v>1</v>
      </c>
      <c r="K18" s="2" t="b">
        <f ca="1"/>
        <v>0</v>
      </c>
      <c r="L18" s="2" t="b">
        <f ca="1"/>
        <v>1</v>
      </c>
      <c r="M18" s="2">
        <v>80</v>
      </c>
    </row>
    <row r="19" spans="2:13" x14ac:dyDescent="0.2">
      <c r="B19" s="29">
        <v>4</v>
      </c>
      <c r="C19" s="33">
        <f t="shared" ca="1" si="0"/>
        <v>45684</v>
      </c>
      <c r="D19" s="34">
        <v>0.4289351851851852</v>
      </c>
      <c r="E19" s="39">
        <f ca="1"/>
        <v>84.051308198751713</v>
      </c>
      <c r="F19" s="29">
        <v>19</v>
      </c>
      <c r="G19" s="29">
        <v>1</v>
      </c>
      <c r="H19" s="29">
        <v>5</v>
      </c>
      <c r="I19" s="39">
        <f ca="1"/>
        <v>79.051308198751713</v>
      </c>
      <c r="J19" s="2" t="b">
        <v>1</v>
      </c>
      <c r="K19" s="2" t="b">
        <f ca="1"/>
        <v>1</v>
      </c>
      <c r="L19" s="2" t="b">
        <f ca="1"/>
        <v>1</v>
      </c>
      <c r="M19" s="2">
        <v>80</v>
      </c>
    </row>
    <row r="20" spans="2:13" x14ac:dyDescent="0.2">
      <c r="B20" s="29">
        <v>5</v>
      </c>
      <c r="C20" s="33">
        <f t="shared" ca="1" si="0"/>
        <v>45684</v>
      </c>
      <c r="D20" s="34">
        <v>0.4289351851851852</v>
      </c>
      <c r="E20" s="39">
        <f ca="1"/>
        <v>82.449425259874332</v>
      </c>
      <c r="F20" s="29">
        <v>20</v>
      </c>
      <c r="G20" s="29">
        <v>1</v>
      </c>
      <c r="H20" s="29">
        <v>5</v>
      </c>
      <c r="I20" s="39">
        <f ca="1"/>
        <v>77.449425259874332</v>
      </c>
      <c r="J20" s="2" t="b">
        <v>1</v>
      </c>
      <c r="K20" s="2" t="b">
        <f ca="1"/>
        <v>1</v>
      </c>
      <c r="L20" s="2" t="b">
        <f ca="1"/>
        <v>1</v>
      </c>
      <c r="M20" s="2">
        <v>80</v>
      </c>
    </row>
    <row r="21" spans="2:13" x14ac:dyDescent="0.2">
      <c r="B21" s="29">
        <v>6</v>
      </c>
      <c r="C21" s="33">
        <f t="shared" ca="1" si="0"/>
        <v>45684</v>
      </c>
      <c r="D21" s="34">
        <v>0.4289351851851852</v>
      </c>
      <c r="E21" s="39">
        <f ca="1"/>
        <v>78.955293439337396</v>
      </c>
      <c r="F21" s="29">
        <v>21</v>
      </c>
      <c r="G21" s="29">
        <v>1</v>
      </c>
      <c r="H21" s="29">
        <v>5</v>
      </c>
      <c r="I21" s="39">
        <f ca="1"/>
        <v>73.955293439337396</v>
      </c>
      <c r="J21" s="2" t="b">
        <v>1</v>
      </c>
      <c r="K21" s="2" t="b">
        <f ca="1"/>
        <v>0</v>
      </c>
      <c r="L21" s="2" t="b">
        <f ca="1"/>
        <v>1</v>
      </c>
      <c r="M21" s="2">
        <v>80</v>
      </c>
    </row>
    <row r="22" spans="2:13" x14ac:dyDescent="0.2">
      <c r="B22" s="29">
        <v>7</v>
      </c>
      <c r="C22" s="33">
        <f t="shared" ca="1" si="0"/>
        <v>45684</v>
      </c>
      <c r="D22" s="34">
        <v>0.4289351851851852</v>
      </c>
      <c r="E22" s="39">
        <f ca="1"/>
        <v>77.265160164838562</v>
      </c>
      <c r="F22" s="29">
        <v>22</v>
      </c>
      <c r="G22" s="29">
        <v>1</v>
      </c>
      <c r="H22" s="29">
        <v>5</v>
      </c>
      <c r="I22" s="39">
        <f ca="1"/>
        <v>72.265160164838562</v>
      </c>
      <c r="J22" s="2" t="b">
        <v>1</v>
      </c>
      <c r="K22" s="2" t="b">
        <f ca="1"/>
        <v>0</v>
      </c>
      <c r="L22" s="2" t="b">
        <f ca="1"/>
        <v>1</v>
      </c>
      <c r="M22" s="2">
        <v>80</v>
      </c>
    </row>
    <row r="23" spans="2:13" x14ac:dyDescent="0.2">
      <c r="B23" s="29">
        <v>8</v>
      </c>
      <c r="C23" s="33">
        <f t="shared" ca="1" si="0"/>
        <v>45684</v>
      </c>
      <c r="D23" s="34">
        <v>0.4289351851851852</v>
      </c>
      <c r="E23" s="39">
        <f ca="1"/>
        <v>81.229650341615297</v>
      </c>
      <c r="F23" s="29">
        <v>23</v>
      </c>
      <c r="G23" s="29">
        <v>1</v>
      </c>
      <c r="H23" s="29">
        <v>5</v>
      </c>
      <c r="I23" s="39">
        <f ca="1"/>
        <v>76.229650341615297</v>
      </c>
      <c r="J23" s="2" t="b">
        <v>1</v>
      </c>
      <c r="K23" s="2" t="b">
        <f ca="1"/>
        <v>1</v>
      </c>
      <c r="L23" s="2" t="b">
        <f ca="1"/>
        <v>1</v>
      </c>
      <c r="M23" s="2">
        <v>80</v>
      </c>
    </row>
    <row r="24" spans="2:13" x14ac:dyDescent="0.2">
      <c r="B24" s="29">
        <v>9</v>
      </c>
      <c r="C24" s="33">
        <f t="shared" ca="1" si="0"/>
        <v>45684</v>
      </c>
      <c r="D24" s="34">
        <v>0.4289351851851852</v>
      </c>
      <c r="E24" s="39">
        <f ca="1"/>
        <v>79.933322602011728</v>
      </c>
      <c r="F24" s="29">
        <v>24</v>
      </c>
      <c r="G24" s="29">
        <v>1</v>
      </c>
      <c r="H24" s="29">
        <v>5</v>
      </c>
      <c r="I24" s="39">
        <f ca="1"/>
        <v>74.933322602011728</v>
      </c>
      <c r="J24" s="2" t="b">
        <v>1</v>
      </c>
      <c r="K24" s="2" t="b">
        <f ca="1"/>
        <v>0</v>
      </c>
      <c r="L24" s="2" t="b">
        <f ca="1"/>
        <v>1</v>
      </c>
      <c r="M24" s="2">
        <v>80</v>
      </c>
    </row>
    <row r="25" spans="2:13" x14ac:dyDescent="0.2">
      <c r="B25" s="29">
        <v>10</v>
      </c>
      <c r="C25" s="33">
        <f t="shared" ca="1" si="0"/>
        <v>45684</v>
      </c>
      <c r="D25" s="34">
        <v>0.4289351851851852</v>
      </c>
      <c r="E25" s="39">
        <f ca="1"/>
        <v>84.914433229987935</v>
      </c>
      <c r="F25" s="29">
        <v>25</v>
      </c>
      <c r="G25" s="29">
        <v>1</v>
      </c>
      <c r="H25" s="29">
        <v>5</v>
      </c>
      <c r="I25" s="39">
        <f ca="1"/>
        <v>79.914433229987935</v>
      </c>
      <c r="J25" s="2" t="b">
        <v>1</v>
      </c>
      <c r="K25" s="2" t="b">
        <f ca="1"/>
        <v>1</v>
      </c>
      <c r="L25" s="2" t="b">
        <f ca="1"/>
        <v>1</v>
      </c>
      <c r="M25" s="2">
        <v>80</v>
      </c>
    </row>
    <row r="26" spans="2:13" x14ac:dyDescent="0.2">
      <c r="B26" s="29">
        <v>11</v>
      </c>
      <c r="E26" s="39">
        <f ca="1"/>
        <v>82.450564586864459</v>
      </c>
      <c r="F26" s="29">
        <v>26</v>
      </c>
      <c r="G26" s="29">
        <v>1</v>
      </c>
      <c r="H26" s="29">
        <v>5</v>
      </c>
      <c r="I26" s="39">
        <f ca="1"/>
        <v>77.450564586864459</v>
      </c>
      <c r="J26" s="2" t="b">
        <v>1</v>
      </c>
      <c r="K26" s="2" t="b">
        <f ca="1"/>
        <v>1</v>
      </c>
      <c r="L26" s="2" t="b">
        <f ca="1"/>
        <v>1</v>
      </c>
      <c r="M26" s="2">
        <v>80</v>
      </c>
    </row>
    <row r="27" spans="2:13" x14ac:dyDescent="0.2">
      <c r="B27" s="29">
        <v>12</v>
      </c>
      <c r="E27" s="39">
        <f ca="1"/>
        <v>76.083464670215676</v>
      </c>
      <c r="F27" s="29">
        <v>27</v>
      </c>
      <c r="G27" s="29">
        <v>1</v>
      </c>
      <c r="H27" s="29">
        <v>5</v>
      </c>
      <c r="I27" s="39">
        <f ca="1"/>
        <v>71.083464670215676</v>
      </c>
      <c r="J27" s="2" t="b">
        <v>1</v>
      </c>
      <c r="K27" s="2" t="b">
        <f ca="1"/>
        <v>0</v>
      </c>
      <c r="L27" s="2" t="b">
        <f ca="1"/>
        <v>1</v>
      </c>
      <c r="M27" s="2">
        <v>80</v>
      </c>
    </row>
    <row r="28" spans="2:13" x14ac:dyDescent="0.2">
      <c r="B28" s="29">
        <v>13</v>
      </c>
      <c r="E28" s="39">
        <f ca="1"/>
        <v>77.365460148161631</v>
      </c>
      <c r="F28" s="29">
        <v>28</v>
      </c>
      <c r="G28" s="29">
        <v>1</v>
      </c>
      <c r="H28" s="29">
        <v>5</v>
      </c>
      <c r="I28" s="39">
        <f ca="1"/>
        <v>72.365460148161631</v>
      </c>
      <c r="J28" s="2" t="b">
        <v>1</v>
      </c>
      <c r="K28" s="2" t="b">
        <f ca="1"/>
        <v>0</v>
      </c>
      <c r="L28" s="2" t="b">
        <f ca="1"/>
        <v>1</v>
      </c>
      <c r="M28" s="2">
        <v>80</v>
      </c>
    </row>
    <row r="29" spans="2:13" x14ac:dyDescent="0.2">
      <c r="B29" s="29">
        <v>14</v>
      </c>
      <c r="E29" s="39">
        <f ca="1"/>
        <v>84.641620357698343</v>
      </c>
      <c r="F29" s="29">
        <v>29</v>
      </c>
      <c r="G29" s="29">
        <v>1</v>
      </c>
      <c r="H29" s="29">
        <v>5</v>
      </c>
      <c r="I29" s="39">
        <f ca="1"/>
        <v>79.641620357698343</v>
      </c>
      <c r="J29" s="2" t="b">
        <v>1</v>
      </c>
      <c r="K29" s="2" t="b">
        <f ca="1"/>
        <v>1</v>
      </c>
      <c r="L29" s="2" t="b">
        <f ca="1"/>
        <v>1</v>
      </c>
      <c r="M29" s="2">
        <v>80</v>
      </c>
    </row>
    <row r="30" spans="2:13" x14ac:dyDescent="0.2">
      <c r="B30" s="29">
        <v>15</v>
      </c>
      <c r="E30" s="39">
        <f ca="1"/>
        <v>81.885477247094983</v>
      </c>
      <c r="F30" s="29">
        <v>30</v>
      </c>
      <c r="G30" s="29">
        <v>1</v>
      </c>
      <c r="H30" s="29">
        <v>5</v>
      </c>
      <c r="I30" s="39">
        <f ca="1"/>
        <v>76.885477247094983</v>
      </c>
      <c r="J30" s="2" t="b">
        <v>1</v>
      </c>
      <c r="K30" s="2" t="b">
        <f ca="1"/>
        <v>1</v>
      </c>
      <c r="L30" s="2" t="b">
        <f ca="1"/>
        <v>1</v>
      </c>
      <c r="M30" s="2">
        <v>80</v>
      </c>
    </row>
    <row r="31" spans="2:13" x14ac:dyDescent="0.2">
      <c r="B31" s="29">
        <v>16</v>
      </c>
      <c r="E31" s="39">
        <f ca="1"/>
        <v>81.780918075322788</v>
      </c>
      <c r="F31" s="29">
        <v>31</v>
      </c>
      <c r="G31" s="29">
        <v>1</v>
      </c>
      <c r="H31" s="29">
        <v>5</v>
      </c>
      <c r="I31" s="39">
        <f ca="1"/>
        <v>76.780918075322788</v>
      </c>
      <c r="J31" s="2" t="b">
        <v>1</v>
      </c>
      <c r="K31" s="2" t="b">
        <f ca="1"/>
        <v>1</v>
      </c>
      <c r="L31" s="2" t="b">
        <f ca="1"/>
        <v>1</v>
      </c>
      <c r="M31" s="2">
        <v>80</v>
      </c>
    </row>
    <row r="32" spans="2:13" x14ac:dyDescent="0.2">
      <c r="B32" s="29">
        <v>17</v>
      </c>
      <c r="E32" s="39">
        <f ca="1"/>
        <v>80.319441965134104</v>
      </c>
      <c r="F32" s="29">
        <v>32</v>
      </c>
      <c r="G32" s="29">
        <v>1</v>
      </c>
      <c r="H32" s="29">
        <v>5</v>
      </c>
      <c r="I32" s="39">
        <f ca="1"/>
        <v>75.319441965134104</v>
      </c>
      <c r="J32" s="2" t="b">
        <v>1</v>
      </c>
      <c r="K32" s="2" t="b">
        <f ca="1"/>
        <v>0</v>
      </c>
      <c r="L32" s="2" t="b">
        <f ca="1"/>
        <v>1</v>
      </c>
      <c r="M32" s="2">
        <v>80</v>
      </c>
    </row>
    <row r="33" spans="2:13" x14ac:dyDescent="0.2">
      <c r="B33" s="29">
        <v>18</v>
      </c>
      <c r="E33" s="39">
        <f ca="1"/>
        <v>81.941042268582464</v>
      </c>
      <c r="F33" s="29">
        <v>33</v>
      </c>
      <c r="G33" s="29">
        <v>1</v>
      </c>
      <c r="H33" s="29">
        <v>5</v>
      </c>
      <c r="I33" s="39">
        <f ca="1"/>
        <v>76.941042268582464</v>
      </c>
      <c r="J33" s="2" t="b">
        <v>1</v>
      </c>
      <c r="K33" s="2" t="b">
        <f ca="1"/>
        <v>1</v>
      </c>
      <c r="L33" s="2" t="b">
        <f ca="1"/>
        <v>1</v>
      </c>
      <c r="M33" s="2">
        <v>80</v>
      </c>
    </row>
    <row r="34" spans="2:13" x14ac:dyDescent="0.2">
      <c r="B34" s="29">
        <v>19</v>
      </c>
      <c r="E34" s="39">
        <f ca="1"/>
        <v>80.146859304309061</v>
      </c>
      <c r="F34" s="29">
        <v>34</v>
      </c>
      <c r="G34" s="29">
        <v>1</v>
      </c>
      <c r="H34" s="29">
        <v>5</v>
      </c>
      <c r="I34" s="39">
        <f ca="1"/>
        <v>75.146859304309061</v>
      </c>
      <c r="J34" s="2" t="b">
        <v>1</v>
      </c>
      <c r="K34" s="2" t="b">
        <f ca="1"/>
        <v>0</v>
      </c>
      <c r="L34" s="2" t="b">
        <f ca="1"/>
        <v>1</v>
      </c>
      <c r="M34" s="2">
        <v>80</v>
      </c>
    </row>
    <row r="35" spans="2:13" x14ac:dyDescent="0.2">
      <c r="B35" s="29">
        <v>20</v>
      </c>
      <c r="E35" s="39">
        <f ca="1"/>
        <v>79.424817314853371</v>
      </c>
      <c r="F35" s="29">
        <v>35</v>
      </c>
      <c r="G35" s="29">
        <v>1</v>
      </c>
      <c r="H35" s="29">
        <v>5</v>
      </c>
      <c r="I35" s="39">
        <f ca="1"/>
        <v>74.424817314853371</v>
      </c>
      <c r="J35" s="2" t="b">
        <v>1</v>
      </c>
      <c r="K35" s="2" t="b">
        <f ca="1"/>
        <v>0</v>
      </c>
      <c r="L35" s="2" t="b">
        <f ca="1"/>
        <v>1</v>
      </c>
      <c r="M35" s="2">
        <v>80</v>
      </c>
    </row>
    <row r="36" spans="2:13" x14ac:dyDescent="0.2">
      <c r="B36" s="29">
        <v>21</v>
      </c>
      <c r="E36" s="39">
        <f ca="1"/>
        <v>83.66777476083611</v>
      </c>
      <c r="F36" s="29">
        <v>36</v>
      </c>
      <c r="G36" s="29">
        <v>1</v>
      </c>
      <c r="H36" s="29">
        <v>5</v>
      </c>
      <c r="I36" s="39">
        <f ca="1"/>
        <v>78.66777476083611</v>
      </c>
      <c r="J36" s="2" t="b">
        <v>1</v>
      </c>
      <c r="K36" s="2" t="b">
        <f ca="1"/>
        <v>1</v>
      </c>
      <c r="L36" s="2" t="b">
        <f ca="1"/>
        <v>1</v>
      </c>
      <c r="M36" s="2">
        <v>80</v>
      </c>
    </row>
    <row r="37" spans="2:13" x14ac:dyDescent="0.2">
      <c r="B37" s="29">
        <v>22</v>
      </c>
      <c r="E37" s="39">
        <f ca="1"/>
        <v>83.942146912322244</v>
      </c>
      <c r="F37" s="29">
        <v>37</v>
      </c>
      <c r="G37" s="29">
        <v>1</v>
      </c>
      <c r="H37" s="29">
        <v>5</v>
      </c>
      <c r="I37" s="39">
        <f ca="1"/>
        <v>78.942146912322244</v>
      </c>
      <c r="J37" s="2" t="b">
        <v>1</v>
      </c>
      <c r="K37" s="2" t="b">
        <f ca="1"/>
        <v>1</v>
      </c>
      <c r="L37" s="2" t="b">
        <f ca="1"/>
        <v>1</v>
      </c>
      <c r="M37" s="2">
        <v>80</v>
      </c>
    </row>
    <row r="38" spans="2:13" x14ac:dyDescent="0.2">
      <c r="B38" s="29">
        <v>23</v>
      </c>
      <c r="E38" s="39">
        <f ca="1"/>
        <v>81.595584954419692</v>
      </c>
      <c r="F38" s="29">
        <v>38</v>
      </c>
      <c r="G38" s="29">
        <v>1</v>
      </c>
      <c r="H38" s="29">
        <v>5</v>
      </c>
      <c r="I38" s="39">
        <f ca="1"/>
        <v>76.595584954419692</v>
      </c>
      <c r="J38" s="2" t="b">
        <v>1</v>
      </c>
      <c r="K38" s="2" t="b">
        <f ca="1"/>
        <v>1</v>
      </c>
      <c r="L38" s="2" t="b">
        <f ca="1"/>
        <v>1</v>
      </c>
      <c r="M38" s="2">
        <v>80</v>
      </c>
    </row>
    <row r="39" spans="2:13" x14ac:dyDescent="0.2">
      <c r="B39" s="29">
        <v>24</v>
      </c>
      <c r="E39" s="39">
        <f ca="1"/>
        <v>79.590927661816082</v>
      </c>
      <c r="F39" s="29">
        <v>39</v>
      </c>
      <c r="G39" s="29">
        <v>1</v>
      </c>
      <c r="H39" s="29">
        <v>5</v>
      </c>
      <c r="I39" s="39">
        <f ca="1"/>
        <v>74.590927661816082</v>
      </c>
      <c r="J39" s="2" t="b">
        <v>1</v>
      </c>
      <c r="K39" s="2" t="b">
        <f ca="1"/>
        <v>0</v>
      </c>
      <c r="L39" s="2" t="b">
        <f ca="1"/>
        <v>1</v>
      </c>
      <c r="M39" s="2">
        <v>80</v>
      </c>
    </row>
    <row r="40" spans="2:13" x14ac:dyDescent="0.2">
      <c r="B40" s="29">
        <v>25</v>
      </c>
      <c r="E40" s="39">
        <f ca="1"/>
        <v>79.726536637517029</v>
      </c>
      <c r="F40" s="29">
        <v>40</v>
      </c>
      <c r="G40" s="29">
        <v>1</v>
      </c>
      <c r="H40" s="29">
        <v>5</v>
      </c>
      <c r="I40" s="39">
        <f ca="1"/>
        <v>74.726536637517029</v>
      </c>
      <c r="J40" s="2" t="b">
        <v>1</v>
      </c>
      <c r="K40" s="2" t="b">
        <f ca="1"/>
        <v>0</v>
      </c>
      <c r="L40" s="2" t="b">
        <f ca="1"/>
        <v>1</v>
      </c>
      <c r="M40" s="2">
        <v>80</v>
      </c>
    </row>
    <row r="41" spans="2:13" x14ac:dyDescent="0.2">
      <c r="B41" s="29">
        <v>26</v>
      </c>
      <c r="E41" s="39">
        <f ca="1"/>
        <v>82.266259878328938</v>
      </c>
      <c r="F41" s="29">
        <v>41</v>
      </c>
      <c r="G41" s="29">
        <v>1</v>
      </c>
      <c r="H41" s="29">
        <v>5</v>
      </c>
      <c r="I41" s="39">
        <f ca="1"/>
        <v>77.266259878328938</v>
      </c>
      <c r="J41" s="2" t="b">
        <v>1</v>
      </c>
      <c r="K41" s="2" t="b">
        <f ca="1"/>
        <v>1</v>
      </c>
      <c r="L41" s="2" t="b">
        <f ca="1"/>
        <v>1</v>
      </c>
      <c r="M41" s="2">
        <v>80</v>
      </c>
    </row>
    <row r="42" spans="2:13" x14ac:dyDescent="0.2">
      <c r="B42" s="29">
        <v>27</v>
      </c>
      <c r="E42" s="39">
        <f ca="1"/>
        <v>78.207697212423696</v>
      </c>
      <c r="F42" s="29">
        <v>42</v>
      </c>
      <c r="G42" s="29">
        <v>1</v>
      </c>
      <c r="H42" s="29">
        <v>5</v>
      </c>
      <c r="I42" s="39">
        <f ca="1"/>
        <v>73.207697212423696</v>
      </c>
      <c r="J42" s="2" t="b">
        <v>1</v>
      </c>
      <c r="K42" s="2" t="b">
        <f ca="1"/>
        <v>0</v>
      </c>
      <c r="L42" s="2" t="b">
        <f ca="1"/>
        <v>1</v>
      </c>
      <c r="M42" s="2">
        <v>80</v>
      </c>
    </row>
    <row r="43" spans="2:13" x14ac:dyDescent="0.2">
      <c r="B43" s="29">
        <v>28</v>
      </c>
      <c r="E43" s="39">
        <f ca="1"/>
        <v>80.629429336568194</v>
      </c>
      <c r="F43" s="29">
        <v>43</v>
      </c>
      <c r="G43" s="29">
        <v>1</v>
      </c>
      <c r="H43" s="29">
        <v>5</v>
      </c>
      <c r="I43" s="39">
        <f ca="1"/>
        <v>75.629429336568194</v>
      </c>
      <c r="J43" s="2" t="b">
        <v>1</v>
      </c>
      <c r="K43" s="2" t="b">
        <f ca="1"/>
        <v>1</v>
      </c>
      <c r="L43" s="2" t="b">
        <f ca="1"/>
        <v>1</v>
      </c>
      <c r="M43" s="2">
        <v>80</v>
      </c>
    </row>
    <row r="44" spans="2:13" x14ac:dyDescent="0.2">
      <c r="B44" s="29">
        <v>29</v>
      </c>
      <c r="E44" s="39">
        <f ca="1"/>
        <v>83.161665183639627</v>
      </c>
      <c r="F44" s="29">
        <v>44</v>
      </c>
      <c r="G44" s="29">
        <v>1</v>
      </c>
      <c r="H44" s="29">
        <v>5</v>
      </c>
      <c r="I44" s="39">
        <f ca="1"/>
        <v>78.161665183639627</v>
      </c>
      <c r="J44" s="2" t="b">
        <v>1</v>
      </c>
      <c r="K44" s="2" t="b">
        <f ca="1"/>
        <v>1</v>
      </c>
      <c r="L44" s="2" t="b">
        <f ca="1"/>
        <v>1</v>
      </c>
      <c r="M44" s="2">
        <v>80</v>
      </c>
    </row>
    <row r="45" spans="2:13" x14ac:dyDescent="0.2">
      <c r="B45" s="29">
        <v>30</v>
      </c>
      <c r="E45" s="39">
        <f ca="1"/>
        <v>82.104525132934569</v>
      </c>
      <c r="F45" s="29">
        <v>45</v>
      </c>
      <c r="G45" s="29">
        <v>1</v>
      </c>
      <c r="H45" s="29">
        <v>5</v>
      </c>
      <c r="I45" s="39">
        <f ca="1"/>
        <v>77.104525132934569</v>
      </c>
      <c r="J45" s="2" t="b">
        <v>1</v>
      </c>
      <c r="K45" s="2" t="b">
        <f ca="1"/>
        <v>1</v>
      </c>
      <c r="L45" s="2" t="b">
        <f ca="1"/>
        <v>1</v>
      </c>
      <c r="M45" s="2">
        <v>80</v>
      </c>
    </row>
    <row r="46" spans="2:13" x14ac:dyDescent="0.2">
      <c r="B46" s="29">
        <v>31</v>
      </c>
      <c r="E46" s="39">
        <f ca="1"/>
        <v>81.012440914431224</v>
      </c>
      <c r="F46" s="29">
        <v>46</v>
      </c>
      <c r="G46" s="29">
        <v>1</v>
      </c>
      <c r="H46" s="29">
        <v>5</v>
      </c>
      <c r="I46" s="39">
        <f ca="1"/>
        <v>76.012440914431224</v>
      </c>
      <c r="J46" s="2" t="b">
        <v>1</v>
      </c>
      <c r="K46" s="2" t="b">
        <f ca="1"/>
        <v>1</v>
      </c>
      <c r="L46" s="2" t="b">
        <f ca="1"/>
        <v>1</v>
      </c>
      <c r="M46" s="2">
        <v>80</v>
      </c>
    </row>
    <row r="47" spans="2:13" x14ac:dyDescent="0.2">
      <c r="B47" s="29">
        <v>32</v>
      </c>
      <c r="E47" s="39">
        <f ca="1"/>
        <v>76.858469368766762</v>
      </c>
      <c r="F47" s="29">
        <v>47</v>
      </c>
      <c r="G47" s="29">
        <v>1</v>
      </c>
      <c r="H47" s="29">
        <v>5</v>
      </c>
      <c r="I47" s="39">
        <f ca="1"/>
        <v>71.858469368766762</v>
      </c>
      <c r="J47" s="2" t="b">
        <v>1</v>
      </c>
      <c r="K47" s="2" t="b">
        <f ca="1"/>
        <v>0</v>
      </c>
      <c r="L47" s="2" t="b">
        <f ca="1"/>
        <v>1</v>
      </c>
      <c r="M47" s="2">
        <v>80</v>
      </c>
    </row>
  </sheetData>
  <conditionalFormatting sqref="B16:I48">
    <cfRule type="expression" dxfId="3" priority="1">
      <formula>B16&lt;&gt;""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1</xdr:col>
                    <xdr:colOff>520700</xdr:colOff>
                    <xdr:row>10</xdr:row>
                    <xdr:rowOff>88900</xdr:rowOff>
                  </from>
                  <to>
                    <xdr:col>2</xdr:col>
                    <xdr:colOff>876300</xdr:colOff>
                    <xdr:row>12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DisplayFinLot" altText="TARE">
                <anchor moveWithCells="1" sizeWithCells="1">
                  <from>
                    <xdr:col>2</xdr:col>
                    <xdr:colOff>990600</xdr:colOff>
                    <xdr:row>10</xdr:row>
                    <xdr:rowOff>76200</xdr:rowOff>
                  </from>
                  <to>
                    <xdr:col>4</xdr:col>
                    <xdr:colOff>165100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" name="Button 28">
              <controlPr defaultSize="0" print="0" autoFill="0" autoPict="0" macro="[0]!DisplayDebutOf" altText="TARE">
                <anchor moveWithCells="1" sizeWithCells="1">
                  <from>
                    <xdr:col>1</xdr:col>
                    <xdr:colOff>520700</xdr:colOff>
                    <xdr:row>7</xdr:row>
                    <xdr:rowOff>63500</xdr:rowOff>
                  </from>
                  <to>
                    <xdr:col>2</xdr:col>
                    <xdr:colOff>876300</xdr:colOff>
                    <xdr:row>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6" name="Spinner 31">
              <controlPr defaultSize="0" autoPict="0">
                <anchor moveWithCells="1" sizeWithCells="1">
                  <from>
                    <xdr:col>7</xdr:col>
                    <xdr:colOff>165100</xdr:colOff>
                    <xdr:row>5</xdr:row>
                    <xdr:rowOff>139700</xdr:rowOff>
                  </from>
                  <to>
                    <xdr:col>8</xdr:col>
                    <xdr:colOff>723900</xdr:colOff>
                    <xdr:row>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DisplayDebutEquipe" altText="TARE">
                <anchor moveWithCells="1" sizeWithCells="1">
                  <from>
                    <xdr:col>0</xdr:col>
                    <xdr:colOff>76200</xdr:colOff>
                    <xdr:row>7</xdr:row>
                    <xdr:rowOff>76200</xdr:rowOff>
                  </from>
                  <to>
                    <xdr:col>1</xdr:col>
                    <xdr:colOff>482600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8" name="Button 34">
              <controlPr defaultSize="0" print="0" autoFill="0" autoPict="0" macro="[0]!DisplayDebutOf" altText="TARE">
                <anchor moveWithCells="1" sizeWithCells="1">
                  <from>
                    <xdr:col>0</xdr:col>
                    <xdr:colOff>76200</xdr:colOff>
                    <xdr:row>10</xdr:row>
                    <xdr:rowOff>76200</xdr:rowOff>
                  </from>
                  <to>
                    <xdr:col>1</xdr:col>
                    <xdr:colOff>482600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9" name="Button 35">
              <controlPr defaultSize="0" print="0" autoFill="0" autoPict="0" macro="[0]!update_tar">
                <anchor moveWithCells="1" sizeWithCells="1">
                  <from>
                    <xdr:col>2</xdr:col>
                    <xdr:colOff>990600</xdr:colOff>
                    <xdr:row>7</xdr:row>
                    <xdr:rowOff>38100</xdr:rowOff>
                  </from>
                  <to>
                    <xdr:col>4</xdr:col>
                    <xdr:colOff>228600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AI70"/>
  <sheetViews>
    <sheetView showGridLines="0" zoomScale="125" workbookViewId="0">
      <selection activeCell="E25" sqref="E25"/>
    </sheetView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13.1640625" bestFit="1" customWidth="1" collapsed="1"/>
    <col min="11" max="11" width="3.83203125" style="36" customWidth="1"/>
    <col min="12" max="12" width="4.33203125" customWidth="1"/>
    <col min="18" max="18" width="12.83203125" bestFit="1" customWidth="1"/>
    <col min="19" max="19" width="7.5" style="36" customWidth="1"/>
    <col min="20" max="20" width="8.1640625" customWidth="1"/>
    <col min="21" max="27" width="10.83203125" style="2"/>
    <col min="28" max="28" width="10.83203125" style="41"/>
    <col min="29" max="29" width="8.33203125" style="36" customWidth="1"/>
    <col min="30" max="30" width="7.5" customWidth="1"/>
    <col min="33" max="33" width="10.83203125" style="40"/>
  </cols>
  <sheetData>
    <row r="1" spans="2:35" x14ac:dyDescent="0.2">
      <c r="U1"/>
      <c r="V1"/>
      <c r="W1"/>
      <c r="X1"/>
      <c r="Y1"/>
      <c r="Z1"/>
      <c r="AA1"/>
      <c r="AB1" s="40"/>
    </row>
    <row r="2" spans="2:35" x14ac:dyDescent="0.2">
      <c r="B2" s="6" t="s">
        <v>11</v>
      </c>
      <c r="M2" s="5" t="s">
        <v>33</v>
      </c>
      <c r="U2" s="6" t="s">
        <v>55</v>
      </c>
      <c r="V2"/>
      <c r="W2" s="3">
        <v>10</v>
      </c>
      <c r="X2"/>
      <c r="Y2"/>
      <c r="Z2"/>
      <c r="AA2" t="s">
        <v>52</v>
      </c>
      <c r="AB2" s="42">
        <f ca="1">AVERAGE($AB$5:$AB$15)</f>
        <v>75.515353628084583</v>
      </c>
      <c r="AE2" s="6" t="s">
        <v>59</v>
      </c>
      <c r="AG2" s="53">
        <v>10</v>
      </c>
    </row>
    <row r="3" spans="2:35" x14ac:dyDescent="0.2">
      <c r="E3" s="14" t="s">
        <v>58</v>
      </c>
      <c r="F3" s="51">
        <f>ROW(interface!H16)</f>
        <v>16</v>
      </c>
      <c r="U3"/>
      <c r="V3"/>
      <c r="W3"/>
      <c r="X3"/>
      <c r="Y3"/>
      <c r="Z3"/>
      <c r="AA3"/>
      <c r="AB3" s="40"/>
    </row>
    <row r="4" spans="2:35" x14ac:dyDescent="0.2">
      <c r="B4" s="2" t="s">
        <v>6</v>
      </c>
      <c r="C4" s="24">
        <f>interface!C6</f>
        <v>80</v>
      </c>
      <c r="E4" s="14" t="s">
        <v>60</v>
      </c>
      <c r="F4" s="52">
        <f>COUNTA(interface!B16:B1048576)</f>
        <v>32</v>
      </c>
      <c r="M4" s="14" t="s">
        <v>29</v>
      </c>
      <c r="N4" s="38">
        <f>F4</f>
        <v>32</v>
      </c>
      <c r="O4" s="14"/>
      <c r="P4" s="14" t="s">
        <v>64</v>
      </c>
      <c r="Q4" s="2">
        <f>N4-SUMIFS(Q7:Q100,R7:R100,FALSE)</f>
        <v>32</v>
      </c>
      <c r="U4" s="4" t="str" cm="1">
        <f t="array" aca="1" ref="U4:AB14" ca="1">_xlfn._xlws.FILTER(interface!B15:I10000,interface!B15:B10000&gt;=N4-$W$2+1,"ERROR")</f>
        <v>Pesée</v>
      </c>
      <c r="V4" s="4" t="str">
        <f ca="1"/>
        <v>Date</v>
      </c>
      <c r="W4" s="4" t="str">
        <f ca="1"/>
        <v>Heure</v>
      </c>
      <c r="X4" s="4" t="str">
        <f ca="1"/>
        <v>Poids Brut</v>
      </c>
      <c r="Y4" s="4" t="str">
        <f ca="1"/>
        <v>Ligne</v>
      </c>
      <c r="Z4" s="4" t="str">
        <f ca="1"/>
        <v>Bobine</v>
      </c>
      <c r="AA4" s="4" t="str">
        <f ca="1"/>
        <v>Tare</v>
      </c>
      <c r="AB4" s="47" t="str">
        <f ca="1"/>
        <v>Poids net</v>
      </c>
      <c r="AE4" s="4" t="s">
        <v>57</v>
      </c>
      <c r="AF4" s="4" t="s">
        <v>48</v>
      </c>
      <c r="AG4" s="47" t="s">
        <v>56</v>
      </c>
      <c r="AH4" s="4" t="s">
        <v>62</v>
      </c>
      <c r="AI4" s="2"/>
    </row>
    <row r="5" spans="2:35" x14ac:dyDescent="0.2">
      <c r="E5" s="14" t="s">
        <v>61</v>
      </c>
      <c r="F5" s="2">
        <f>F3+F4-1</f>
        <v>47</v>
      </c>
      <c r="U5" s="15">
        <f ca="1"/>
        <v>23</v>
      </c>
      <c r="V5" s="54">
        <f ca="1"/>
        <v>0</v>
      </c>
      <c r="W5" s="57">
        <f ca="1"/>
        <v>0</v>
      </c>
      <c r="X5" s="48">
        <f ca="1"/>
        <v>81.595584954419692</v>
      </c>
      <c r="Y5" s="43">
        <f ca="1"/>
        <v>38</v>
      </c>
      <c r="Z5" s="43">
        <f ca="1"/>
        <v>1</v>
      </c>
      <c r="AA5" s="43">
        <f ca="1"/>
        <v>5</v>
      </c>
      <c r="AB5" s="17">
        <f ca="1"/>
        <v>76.595584954419692</v>
      </c>
      <c r="AE5" s="15">
        <f>F3</f>
        <v>16</v>
      </c>
      <c r="AF5" s="60">
        <f>AE5+$AG$2-1</f>
        <v>25</v>
      </c>
      <c r="AG5" s="61" cm="1">
        <f t="array" aca="1" ref="AG5" ca="1">IFERROR(AVERAGE(_xlfn._xlws.FILTER(interface!I16:I10000,_xlfn.BYROW(interface!F16:F10000,_xlfn.LAMBDA(_xlpm.row, (_xlpm.row&gt;=calculs_intermediaires!AE5)*(_xlpm.row&lt;=calculs_intermediaires!AF5)))&gt;0)),"")</f>
        <v>76.40215347443835</v>
      </c>
      <c r="AH5" s="62">
        <f ca="1">IFERROR(IF(AG5&lt;&gt;"",$AG$2*(ROW()-ROW($AI$4)),NA()),"")</f>
        <v>10</v>
      </c>
    </row>
    <row r="6" spans="2:35" x14ac:dyDescent="0.2">
      <c r="B6" s="30" t="s">
        <v>21</v>
      </c>
      <c r="C6" s="31">
        <f>MATCH(TRUE,$D$10:$D$16,0)</f>
        <v>2</v>
      </c>
      <c r="M6" s="4" t="s">
        <v>41</v>
      </c>
      <c r="N6" s="4" t="s">
        <v>33</v>
      </c>
      <c r="O6" s="4" t="s">
        <v>47</v>
      </c>
      <c r="P6" s="4" t="s">
        <v>48</v>
      </c>
      <c r="Q6" s="4" t="s">
        <v>50</v>
      </c>
      <c r="R6" s="4" t="s">
        <v>17</v>
      </c>
      <c r="U6" s="8">
        <f ca="1"/>
        <v>24</v>
      </c>
      <c r="V6" s="55">
        <f ca="1"/>
        <v>0</v>
      </c>
      <c r="W6" s="58">
        <f ca="1"/>
        <v>0</v>
      </c>
      <c r="X6" s="49">
        <f ca="1"/>
        <v>79.590927661816082</v>
      </c>
      <c r="Y6" s="2">
        <f ca="1"/>
        <v>39</v>
      </c>
      <c r="Z6" s="2">
        <f ca="1"/>
        <v>1</v>
      </c>
      <c r="AA6" s="2">
        <f ca="1"/>
        <v>5</v>
      </c>
      <c r="AB6" s="44">
        <f ca="1"/>
        <v>74.590927661816082</v>
      </c>
      <c r="AE6" s="8">
        <f>AF5+1</f>
        <v>26</v>
      </c>
      <c r="AF6" s="2">
        <f>AE6+$AG$2</f>
        <v>36</v>
      </c>
      <c r="AG6" s="41" cm="1">
        <f t="array" aca="1" ref="AG6" ca="1">IFERROR(AVERAGE(_xlfn._xlws.FILTER(interface!I17:I10001,_xlfn.BYROW(interface!F17:F10001,_xlfn.LAMBDA(_xlpm.row, (_xlpm.row&gt;=calculs_intermediaires!AE6)*(_xlpm.row&lt;=calculs_intermediaires!AF6)))&gt;0)),"")</f>
        <v>75.882494609006642</v>
      </c>
      <c r="AH6" s="63">
        <f t="shared" ref="AH6:AH69" ca="1" si="0">IFERROR(IF(AG6&lt;&gt;"",$AG$2*(ROW()-ROW($AI$4)),NA()),"")</f>
        <v>20</v>
      </c>
    </row>
    <row r="7" spans="2:35" x14ac:dyDescent="0.2">
      <c r="M7" s="2">
        <v>1</v>
      </c>
      <c r="N7" s="2">
        <v>5</v>
      </c>
      <c r="O7" s="29">
        <v>16</v>
      </c>
      <c r="P7" s="2">
        <f>O7+N4-1</f>
        <v>47</v>
      </c>
      <c r="Q7" s="2">
        <f>P7-O7+1</f>
        <v>32</v>
      </c>
      <c r="R7" s="2" t="b">
        <v>1</v>
      </c>
      <c r="U7" s="8">
        <f ca="1"/>
        <v>25</v>
      </c>
      <c r="V7" s="55">
        <f ca="1"/>
        <v>0</v>
      </c>
      <c r="W7" s="58">
        <f ca="1"/>
        <v>0</v>
      </c>
      <c r="X7" s="49">
        <f ca="1"/>
        <v>79.726536637517029</v>
      </c>
      <c r="Y7" s="2">
        <f ca="1"/>
        <v>40</v>
      </c>
      <c r="Z7" s="2">
        <f ca="1"/>
        <v>1</v>
      </c>
      <c r="AA7" s="2">
        <f ca="1"/>
        <v>5</v>
      </c>
      <c r="AB7" s="44">
        <f ca="1"/>
        <v>74.726536637517029</v>
      </c>
      <c r="AE7" s="8">
        <f t="shared" ref="AE7:AE70" si="1">AF6+1</f>
        <v>37</v>
      </c>
      <c r="AF7" s="2">
        <f t="shared" ref="AF7:AF70" si="2">AE7+$AG$2</f>
        <v>47</v>
      </c>
      <c r="AG7" s="41" cm="1">
        <f t="array" aca="1" ref="AG7" ca="1">IFERROR(AVERAGE(_xlfn._xlws.FILTER(interface!I18:I10002,_xlfn.BYROW(interface!F18:F10002,_xlfn.LAMBDA(_xlpm.row, (_xlpm.row&gt;=calculs_intermediaires!AE7)*(_xlpm.row&lt;=calculs_intermediaires!AF7)))&gt;0)),"")</f>
        <v>75.826880290288003</v>
      </c>
      <c r="AH7" s="63">
        <f t="shared" ca="1" si="0"/>
        <v>30</v>
      </c>
    </row>
    <row r="8" spans="2:35" x14ac:dyDescent="0.2">
      <c r="B8" s="75" t="s">
        <v>6</v>
      </c>
      <c r="C8" s="76"/>
      <c r="D8" s="77" t="s">
        <v>17</v>
      </c>
      <c r="E8" s="75" t="s">
        <v>15</v>
      </c>
      <c r="F8" s="76"/>
      <c r="G8" s="7" t="s">
        <v>18</v>
      </c>
      <c r="H8" s="77" t="s">
        <v>20</v>
      </c>
      <c r="I8" s="75"/>
      <c r="J8" s="76"/>
      <c r="M8" s="2"/>
      <c r="N8" s="2"/>
      <c r="O8" s="2"/>
      <c r="P8" s="2"/>
      <c r="Q8" s="2"/>
      <c r="R8" s="2"/>
      <c r="U8" s="8">
        <f ca="1"/>
        <v>26</v>
      </c>
      <c r="V8" s="55">
        <f ca="1"/>
        <v>0</v>
      </c>
      <c r="W8" s="58">
        <f ca="1"/>
        <v>0</v>
      </c>
      <c r="X8" s="49">
        <f ca="1"/>
        <v>82.266259878328938</v>
      </c>
      <c r="Y8" s="2">
        <f ca="1"/>
        <v>41</v>
      </c>
      <c r="Z8" s="2">
        <f ca="1"/>
        <v>1</v>
      </c>
      <c r="AA8" s="2">
        <f ca="1"/>
        <v>5</v>
      </c>
      <c r="AB8" s="44">
        <f ca="1"/>
        <v>77.266259878328938</v>
      </c>
      <c r="AE8" s="8">
        <f t="shared" si="1"/>
        <v>48</v>
      </c>
      <c r="AF8" s="2">
        <f t="shared" si="2"/>
        <v>58</v>
      </c>
      <c r="AG8" s="41" t="str" cm="1">
        <f t="array" ref="AG8">IFERROR(AVERAGE(_xlfn._xlws.FILTER(interface!I19:I10003,_xlfn.BYROW(interface!F19:F10003,_xlfn.LAMBDA(_xlpm.row, (_xlpm.row&gt;=calculs_intermediaires!AE8)*(_xlpm.row&lt;=calculs_intermediaires!AF8)))&gt;0)),"")</f>
        <v/>
      </c>
      <c r="AH8" s="63" t="str">
        <f t="shared" si="0"/>
        <v/>
      </c>
    </row>
    <row r="9" spans="2:35" x14ac:dyDescent="0.2">
      <c r="B9" s="18" t="s">
        <v>12</v>
      </c>
      <c r="C9" s="19" t="s">
        <v>13</v>
      </c>
      <c r="D9" s="78"/>
      <c r="E9" s="18" t="s">
        <v>14</v>
      </c>
      <c r="F9" s="19" t="s">
        <v>16</v>
      </c>
      <c r="G9" s="25" t="s">
        <v>19</v>
      </c>
      <c r="H9" s="78"/>
      <c r="I9" s="18" t="s">
        <v>5</v>
      </c>
      <c r="J9" s="19" t="s">
        <v>10</v>
      </c>
      <c r="M9" s="2"/>
      <c r="N9" s="2"/>
      <c r="O9" s="2"/>
      <c r="P9" s="2"/>
      <c r="Q9" s="2"/>
      <c r="R9" s="2"/>
      <c r="U9" s="8">
        <f ca="1"/>
        <v>27</v>
      </c>
      <c r="V9" s="55">
        <f ca="1"/>
        <v>0</v>
      </c>
      <c r="W9" s="58">
        <f ca="1"/>
        <v>0</v>
      </c>
      <c r="X9" s="49">
        <f ca="1"/>
        <v>78.207697212423696</v>
      </c>
      <c r="Y9" s="2">
        <f ca="1"/>
        <v>42</v>
      </c>
      <c r="Z9" s="2">
        <f ca="1"/>
        <v>1</v>
      </c>
      <c r="AA9" s="2">
        <f ca="1"/>
        <v>5</v>
      </c>
      <c r="AB9" s="44">
        <f ca="1"/>
        <v>73.207697212423696</v>
      </c>
      <c r="AE9" s="8">
        <f t="shared" si="1"/>
        <v>59</v>
      </c>
      <c r="AF9" s="2">
        <f t="shared" si="2"/>
        <v>69</v>
      </c>
      <c r="AG9" s="41" t="str" cm="1">
        <f t="array" ref="AG9">IFERROR(AVERAGE(_xlfn._xlws.FILTER(interface!I20:I10004,_xlfn.BYROW(interface!F20:F10004,_xlfn.LAMBDA(_xlpm.row, (_xlpm.row&gt;=calculs_intermediaires!AE9)*(_xlpm.row&lt;=calculs_intermediaires!AF9)))&gt;0)),"")</f>
        <v/>
      </c>
      <c r="AH9" s="63" t="str">
        <f t="shared" si="0"/>
        <v/>
      </c>
    </row>
    <row r="10" spans="2:35" x14ac:dyDescent="0.2">
      <c r="B10" s="8">
        <v>5</v>
      </c>
      <c r="C10" s="9">
        <v>50</v>
      </c>
      <c r="D10" s="12" t="b">
        <f t="shared" ref="D10:D16" si="3">IF(AND($C$4&gt;=B10,$C$4&lt;C10),TRUE,FALSE)</f>
        <v>0</v>
      </c>
      <c r="E10" s="15">
        <v>9</v>
      </c>
      <c r="F10" s="16"/>
      <c r="G10" s="26" cm="1">
        <f t="array" ref="G10">_xlfn.IFS(AND(E10&lt;&gt;"",F10=""),1,AND(E10="",F10&lt;&gt;""),2,AND(E10="",F10&lt;&gt;""),0)</f>
        <v>1</v>
      </c>
      <c r="H10" s="26">
        <f>IF(G10=1,E10,F10)</f>
        <v>9</v>
      </c>
      <c r="I10" s="8" t="str" cm="1">
        <f t="array" ref="I10">_xlfn.IFS(AND(D10,G10=1),H10*$C$4/100,AND(D10,G10=2),H10,NOT(D10),"")</f>
        <v/>
      </c>
      <c r="J10" s="9" t="str">
        <f>IF(I10="","",2*I10)</f>
        <v/>
      </c>
      <c r="M10" s="2"/>
      <c r="N10" s="2"/>
      <c r="O10" s="2"/>
      <c r="P10" s="2"/>
      <c r="Q10" s="2"/>
      <c r="R10" s="2"/>
      <c r="U10" s="8">
        <f ca="1"/>
        <v>28</v>
      </c>
      <c r="V10" s="55">
        <f ca="1"/>
        <v>0</v>
      </c>
      <c r="W10" s="58">
        <f ca="1"/>
        <v>0</v>
      </c>
      <c r="X10" s="49">
        <f ca="1"/>
        <v>80.629429336568194</v>
      </c>
      <c r="Y10" s="2">
        <f ca="1"/>
        <v>43</v>
      </c>
      <c r="Z10" s="2">
        <f ca="1"/>
        <v>1</v>
      </c>
      <c r="AA10" s="2">
        <f ca="1"/>
        <v>5</v>
      </c>
      <c r="AB10" s="44">
        <f ca="1"/>
        <v>75.629429336568194</v>
      </c>
      <c r="AE10" s="8">
        <f t="shared" si="1"/>
        <v>70</v>
      </c>
      <c r="AF10" s="2">
        <f t="shared" si="2"/>
        <v>80</v>
      </c>
      <c r="AG10" s="41" t="str" cm="1">
        <f t="array" ref="AG10">IFERROR(AVERAGE(_xlfn._xlws.FILTER(interface!I21:I10005,_xlfn.BYROW(interface!F21:F10005,_xlfn.LAMBDA(_xlpm.row, (_xlpm.row&gt;=calculs_intermediaires!AE10)*(_xlpm.row&lt;=calculs_intermediaires!AF10)))&gt;0)),"")</f>
        <v/>
      </c>
      <c r="AH10" s="63" t="str">
        <f t="shared" si="0"/>
        <v/>
      </c>
    </row>
    <row r="11" spans="2:35" x14ac:dyDescent="0.2">
      <c r="B11" s="8">
        <v>50</v>
      </c>
      <c r="C11" s="9">
        <v>100</v>
      </c>
      <c r="D11" s="12" t="b">
        <f t="shared" si="3"/>
        <v>1</v>
      </c>
      <c r="E11" s="8"/>
      <c r="F11" s="9">
        <v>4.5</v>
      </c>
      <c r="G11" s="27" cm="1">
        <f t="array" ref="G11">_xlfn.IFS(AND(E11&lt;&gt;"",F11=""),1,AND(E11="",F11&lt;&gt;""),2,AND(E11="",F11&lt;&gt;""),0)</f>
        <v>2</v>
      </c>
      <c r="H11" s="27">
        <f t="shared" ref="H11:H16" si="4">IF(G11=1,E11,F11)</f>
        <v>4.5</v>
      </c>
      <c r="I11" s="8" cm="1">
        <f t="array" ref="I11">_xlfn.IFS(AND(D11,G11=1),H11*$C$4/100,AND(D11,G11=2),H11,NOT(D11),"")</f>
        <v>4.5</v>
      </c>
      <c r="J11" s="9">
        <f t="shared" ref="J11:J16" si="5">IF(I11="","",2*I11)</f>
        <v>9</v>
      </c>
      <c r="K11" s="9"/>
      <c r="L11" s="2"/>
      <c r="M11" s="2"/>
      <c r="N11" s="2"/>
      <c r="O11" s="2"/>
      <c r="P11" s="2"/>
      <c r="Q11" s="2"/>
      <c r="R11" s="2"/>
      <c r="U11" s="8">
        <f ca="1"/>
        <v>29</v>
      </c>
      <c r="V11" s="55">
        <f ca="1"/>
        <v>0</v>
      </c>
      <c r="W11" s="58">
        <f ca="1"/>
        <v>0</v>
      </c>
      <c r="X11" s="49">
        <f ca="1"/>
        <v>83.161665183639627</v>
      </c>
      <c r="Y11" s="2">
        <f ca="1"/>
        <v>44</v>
      </c>
      <c r="Z11" s="2">
        <f ca="1"/>
        <v>1</v>
      </c>
      <c r="AA11" s="2">
        <f ca="1"/>
        <v>5</v>
      </c>
      <c r="AB11" s="44">
        <f ca="1"/>
        <v>78.161665183639627</v>
      </c>
      <c r="AE11" s="8">
        <f>AF10+1</f>
        <v>81</v>
      </c>
      <c r="AF11" s="2">
        <f t="shared" si="2"/>
        <v>91</v>
      </c>
      <c r="AG11" s="41" t="str" cm="1">
        <f t="array" ref="AG11">IFERROR(AVERAGE(_xlfn._xlws.FILTER(interface!I22:I10006,_xlfn.BYROW(interface!F22:F10006,_xlfn.LAMBDA(_xlpm.row, (_xlpm.row&gt;=calculs_intermediaires!AE11)*(_xlpm.row&lt;=calculs_intermediaires!AF11)))&gt;0)),"")</f>
        <v/>
      </c>
      <c r="AH11" s="63" t="str">
        <f t="shared" si="0"/>
        <v/>
      </c>
    </row>
    <row r="12" spans="2:35" x14ac:dyDescent="0.2">
      <c r="B12" s="8">
        <v>100</v>
      </c>
      <c r="C12" s="9">
        <v>200</v>
      </c>
      <c r="D12" s="12" t="b">
        <f t="shared" si="3"/>
        <v>0</v>
      </c>
      <c r="E12" s="8">
        <v>4.5</v>
      </c>
      <c r="F12" s="9"/>
      <c r="G12" s="27" cm="1">
        <f t="array" ref="G12">_xlfn.IFS(AND(E12&lt;&gt;"",F12=""),1,AND(E12="",F12&lt;&gt;""),2,AND(E12="",F12&lt;&gt;""),0)</f>
        <v>1</v>
      </c>
      <c r="H12" s="27">
        <f t="shared" si="4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U12" s="8">
        <f ca="1"/>
        <v>30</v>
      </c>
      <c r="V12" s="55">
        <f ca="1"/>
        <v>0</v>
      </c>
      <c r="W12" s="58">
        <f ca="1"/>
        <v>0</v>
      </c>
      <c r="X12" s="49">
        <f ca="1"/>
        <v>82.104525132934569</v>
      </c>
      <c r="Y12" s="2">
        <f ca="1"/>
        <v>45</v>
      </c>
      <c r="Z12" s="2">
        <f ca="1"/>
        <v>1</v>
      </c>
      <c r="AA12" s="2">
        <f ca="1"/>
        <v>5</v>
      </c>
      <c r="AB12" s="44">
        <f ca="1"/>
        <v>77.104525132934569</v>
      </c>
      <c r="AE12" s="8">
        <f t="shared" si="1"/>
        <v>92</v>
      </c>
      <c r="AF12" s="2">
        <f t="shared" si="2"/>
        <v>102</v>
      </c>
      <c r="AG12" s="41" t="str" cm="1">
        <f t="array" ref="AG12">IFERROR(AVERAGE(_xlfn._xlws.FILTER(interface!I23:I10007,_xlfn.BYROW(interface!F23:F10007,_xlfn.LAMBDA(_xlpm.row, (_xlpm.row&gt;=calculs_intermediaires!AE12)*(_xlpm.row&lt;=calculs_intermediaires!AF12)))&gt;0)),"")</f>
        <v/>
      </c>
      <c r="AH12" s="63" t="str">
        <f t="shared" si="0"/>
        <v/>
      </c>
    </row>
    <row r="13" spans="2:35" x14ac:dyDescent="0.2">
      <c r="B13" s="8">
        <v>200</v>
      </c>
      <c r="C13" s="9">
        <v>300</v>
      </c>
      <c r="D13" s="12" t="b">
        <f t="shared" si="3"/>
        <v>0</v>
      </c>
      <c r="E13" s="8"/>
      <c r="F13" s="9">
        <v>9</v>
      </c>
      <c r="G13" s="27" cm="1">
        <f t="array" ref="G13">_xlfn.IFS(AND(E13&lt;&gt;"",F13=""),1,AND(E13="",F13&lt;&gt;""),2,AND(E13="",F13&lt;&gt;""),0)</f>
        <v>2</v>
      </c>
      <c r="H13" s="27">
        <f t="shared" si="4"/>
        <v>9</v>
      </c>
      <c r="I13" s="8" t="str" cm="1">
        <f t="array" ref="I13">_xlfn.IFS(AND(D13,G13=1),H13*$C$4/100,AND(D13,G13=2),H13,NOT(D13),"")</f>
        <v/>
      </c>
      <c r="J13" s="9" t="str">
        <f t="shared" si="5"/>
        <v/>
      </c>
      <c r="K13" s="9" t="str" cm="1">
        <f t="array" ref="K13">_xlfn.IFS(AND(D13,G13=1),H13*$C$4/100,AND(D13,G13=2),H13,NOT(D13),"")</f>
        <v/>
      </c>
      <c r="L13" s="2"/>
      <c r="M13" s="2"/>
      <c r="U13" s="8">
        <f ca="1"/>
        <v>31</v>
      </c>
      <c r="V13" s="55">
        <f ca="1"/>
        <v>0</v>
      </c>
      <c r="W13" s="58">
        <f ca="1"/>
        <v>0</v>
      </c>
      <c r="X13" s="49">
        <f ca="1"/>
        <v>81.012440914431224</v>
      </c>
      <c r="Y13" s="2">
        <f ca="1"/>
        <v>46</v>
      </c>
      <c r="Z13" s="2">
        <f ca="1"/>
        <v>1</v>
      </c>
      <c r="AA13" s="2">
        <f ca="1"/>
        <v>5</v>
      </c>
      <c r="AB13" s="44">
        <f ca="1"/>
        <v>76.012440914431224</v>
      </c>
      <c r="AE13" s="8">
        <f t="shared" si="1"/>
        <v>103</v>
      </c>
      <c r="AF13" s="2">
        <f t="shared" si="2"/>
        <v>113</v>
      </c>
      <c r="AG13" s="41" t="str" cm="1">
        <f t="array" ref="AG13">IFERROR(AVERAGE(_xlfn._xlws.FILTER(interface!I24:I10008,_xlfn.BYROW(interface!F24:F10008,_xlfn.LAMBDA(_xlpm.row, (_xlpm.row&gt;=calculs_intermediaires!AE13)*(_xlpm.row&lt;=calculs_intermediaires!AF13)))&gt;0)),"")</f>
        <v/>
      </c>
      <c r="AH13" s="63" t="str">
        <f t="shared" si="0"/>
        <v/>
      </c>
    </row>
    <row r="14" spans="2:35" x14ac:dyDescent="0.2">
      <c r="B14" s="8">
        <v>300</v>
      </c>
      <c r="C14" s="9">
        <v>500</v>
      </c>
      <c r="D14" s="12" t="b">
        <f t="shared" si="3"/>
        <v>0</v>
      </c>
      <c r="E14" s="8">
        <v>3</v>
      </c>
      <c r="F14" s="9"/>
      <c r="G14" s="27" cm="1">
        <f t="array" ref="G14">_xlfn.IFS(AND(E14&lt;&gt;"",F14=""),1,AND(E14="",F14&lt;&gt;""),2,AND(E14="",F14&lt;&gt;""),0)</f>
        <v>1</v>
      </c>
      <c r="H14" s="27">
        <f t="shared" si="4"/>
        <v>3</v>
      </c>
      <c r="I14" s="8" t="str" cm="1">
        <f t="array" ref="I14">_xlfn.IFS(AND(D14,G14=1),H14*$C$4/100,AND(D14,G14=2),H14,NOT(D14),"")</f>
        <v/>
      </c>
      <c r="J14" s="9" t="str">
        <f t="shared" si="5"/>
        <v/>
      </c>
      <c r="K14" s="9" t="str" cm="1">
        <f t="array" ref="K14">_xlfn.IFS(AND(D14,G14=1),H14*$C$4/100,AND(D14,G14=2),H14,NOT(D14),"")</f>
        <v/>
      </c>
      <c r="L14" s="2"/>
      <c r="M14" s="2"/>
      <c r="U14" s="10">
        <f ca="1"/>
        <v>32</v>
      </c>
      <c r="V14" s="56">
        <f ca="1"/>
        <v>0</v>
      </c>
      <c r="W14" s="59">
        <f ca="1"/>
        <v>0</v>
      </c>
      <c r="X14" s="50">
        <f ca="1"/>
        <v>76.858469368766762</v>
      </c>
      <c r="Y14" s="45">
        <f ca="1"/>
        <v>47</v>
      </c>
      <c r="Z14" s="45">
        <f ca="1"/>
        <v>1</v>
      </c>
      <c r="AA14" s="45">
        <f ca="1"/>
        <v>5</v>
      </c>
      <c r="AB14" s="46">
        <f ca="1"/>
        <v>71.858469368766762</v>
      </c>
      <c r="AE14" s="8">
        <f t="shared" si="1"/>
        <v>114</v>
      </c>
      <c r="AF14" s="2">
        <f t="shared" si="2"/>
        <v>124</v>
      </c>
      <c r="AG14" s="41" t="str" cm="1">
        <f t="array" ref="AG14">IFERROR(AVERAGE(_xlfn._xlws.FILTER(interface!I25:I10009,_xlfn.BYROW(interface!F25:F10009,_xlfn.LAMBDA(_xlpm.row, (_xlpm.row&gt;=calculs_intermediaires!AE14)*(_xlpm.row&lt;=calculs_intermediaires!AF14)))&gt;0)),"")</f>
        <v/>
      </c>
      <c r="AH14" s="63" t="str">
        <f t="shared" si="0"/>
        <v/>
      </c>
    </row>
    <row r="15" spans="2:35" x14ac:dyDescent="0.2">
      <c r="B15" s="8">
        <v>500</v>
      </c>
      <c r="C15" s="9">
        <v>1000</v>
      </c>
      <c r="D15" s="12" t="b">
        <f t="shared" si="3"/>
        <v>0</v>
      </c>
      <c r="E15" s="8"/>
      <c r="F15" s="9">
        <v>15</v>
      </c>
      <c r="G15" s="27" cm="1">
        <f t="array" ref="G15">_xlfn.IFS(AND(E15&lt;&gt;"",F15=""),1,AND(E15="",F15&lt;&gt;""),2,AND(E15="",F15&lt;&gt;""),0)</f>
        <v>2</v>
      </c>
      <c r="H15" s="27">
        <f t="shared" si="4"/>
        <v>15</v>
      </c>
      <c r="I15" s="8" t="str" cm="1">
        <f t="array" ref="I15">_xlfn.IFS(AND(D15,G15=1),H15*$C$4/100,AND(D15,G15=2),H15,NOT(D15),"")</f>
        <v/>
      </c>
      <c r="J15" s="9" t="str">
        <f t="shared" si="5"/>
        <v/>
      </c>
      <c r="K15" s="9" t="str" cm="1">
        <f t="array" ref="K15">_xlfn.IFS(AND(D15,G15=1),H15*$C$4/100,AND(D15,G15=2),H15,NOT(D15),"")</f>
        <v/>
      </c>
      <c r="L15" s="2"/>
      <c r="M15" s="2"/>
      <c r="AE15" s="8">
        <f t="shared" si="1"/>
        <v>125</v>
      </c>
      <c r="AF15" s="2">
        <f t="shared" si="2"/>
        <v>135</v>
      </c>
      <c r="AG15" s="41" t="str" cm="1">
        <f t="array" ref="AG15">IFERROR(AVERAGE(_xlfn._xlws.FILTER(interface!I26:I10010,_xlfn.BYROW(interface!F26:F10010,_xlfn.LAMBDA(_xlpm.row, (_xlpm.row&gt;=calculs_intermediaires!AE15)*(_xlpm.row&lt;=calculs_intermediaires!AF15)))&gt;0)),"")</f>
        <v/>
      </c>
      <c r="AH15" s="63" t="str">
        <f t="shared" si="0"/>
        <v/>
      </c>
    </row>
    <row r="16" spans="2:35" x14ac:dyDescent="0.2">
      <c r="B16" s="10">
        <v>1000</v>
      </c>
      <c r="C16" s="11">
        <v>10000</v>
      </c>
      <c r="D16" s="13" t="b">
        <f t="shared" si="3"/>
        <v>0</v>
      </c>
      <c r="E16" s="10">
        <v>1.5</v>
      </c>
      <c r="F16" s="11"/>
      <c r="G16" s="28" cm="1">
        <f t="array" ref="G16">_xlfn.IFS(AND(E16&lt;&gt;"",F16=""),1,AND(E16="",F16&lt;&gt;""),2,AND(E16="",F16&lt;&gt;""),0)</f>
        <v>1</v>
      </c>
      <c r="H16" s="28">
        <f t="shared" si="4"/>
        <v>1.5</v>
      </c>
      <c r="I16" s="10" t="str" cm="1">
        <f t="array" ref="I16">_xlfn.IFS(AND(D16,G16=1),H16*$C$4/100,AND(D16,G16=2),H16,NOT(D16),"")</f>
        <v/>
      </c>
      <c r="J16" s="11" t="str">
        <f t="shared" si="5"/>
        <v/>
      </c>
      <c r="K16" s="9" t="str" cm="1">
        <f t="array" ref="K16">_xlfn.IFS(AND(D16,G16=1),H16*$C$4/100,AND(D16,G16=2),H16,NOT(D16),"")</f>
        <v/>
      </c>
      <c r="L16" s="2"/>
      <c r="M16" s="2"/>
      <c r="U16" s="5"/>
      <c r="AE16" s="8">
        <f t="shared" si="1"/>
        <v>136</v>
      </c>
      <c r="AF16" s="2">
        <f t="shared" si="2"/>
        <v>146</v>
      </c>
      <c r="AG16" s="41" t="str" cm="1">
        <f t="array" ref="AG16">IFERROR(AVERAGE(_xlfn._xlws.FILTER(interface!I27:I10011,_xlfn.BYROW(interface!F27:F10011,_xlfn.LAMBDA(_xlpm.row, (_xlpm.row&gt;=calculs_intermediaires!AE16)*(_xlpm.row&lt;=calculs_intermediaires!AF16)))&gt;0)),"")</f>
        <v/>
      </c>
      <c r="AH16" s="63" t="str">
        <f t="shared" si="0"/>
        <v/>
      </c>
    </row>
    <row r="17" spans="2:34" x14ac:dyDescent="0.2">
      <c r="AE17" s="8">
        <f t="shared" si="1"/>
        <v>147</v>
      </c>
      <c r="AF17" s="2">
        <f t="shared" si="2"/>
        <v>157</v>
      </c>
      <c r="AG17" s="41" t="str" cm="1">
        <f t="array" ref="AG17">IFERROR(AVERAGE(_xlfn._xlws.FILTER(interface!I28:I10012,_xlfn.BYROW(interface!F28:F10012,_xlfn.LAMBDA(_xlpm.row, (_xlpm.row&gt;=calculs_intermediaires!AE17)*(_xlpm.row&lt;=calculs_intermediaires!AF17)))&gt;0)),"")</f>
        <v/>
      </c>
      <c r="AH17" s="63" t="str">
        <f t="shared" si="0"/>
        <v/>
      </c>
    </row>
    <row r="18" spans="2:34" x14ac:dyDescent="0.2">
      <c r="B18" s="15" t="s">
        <v>5</v>
      </c>
      <c r="C18" s="16" cm="1">
        <f t="array" ref="C18">C4-INDEX($I$10:$I$16,$C$6)</f>
        <v>75.5</v>
      </c>
      <c r="AE18" s="8">
        <f t="shared" si="1"/>
        <v>158</v>
      </c>
      <c r="AF18" s="2">
        <f t="shared" si="2"/>
        <v>168</v>
      </c>
      <c r="AG18" s="41" t="str" cm="1">
        <f t="array" ref="AG18">IFERROR(AVERAGE(_xlfn._xlws.FILTER(interface!I29:I10013,_xlfn.BYROW(interface!F29:F10013,_xlfn.LAMBDA(_xlpm.row, (_xlpm.row&gt;=calculs_intermediaires!AE18)*(_xlpm.row&lt;=calculs_intermediaires!AF18)))&gt;0)),"")</f>
        <v/>
      </c>
      <c r="AH18" s="63" t="str">
        <f t="shared" si="0"/>
        <v/>
      </c>
    </row>
    <row r="19" spans="2:34" x14ac:dyDescent="0.2">
      <c r="B19" s="10" t="s">
        <v>10</v>
      </c>
      <c r="C19" s="11" cm="1">
        <f t="array" ref="C19">C4-INDEX($J$10:$J$16,$C$6)</f>
        <v>71</v>
      </c>
      <c r="AE19" s="8">
        <f t="shared" si="1"/>
        <v>169</v>
      </c>
      <c r="AF19" s="2">
        <f t="shared" si="2"/>
        <v>179</v>
      </c>
      <c r="AG19" s="41" t="str" cm="1">
        <f t="array" ref="AG19">IFERROR(AVERAGE(_xlfn._xlws.FILTER(interface!I30:I10014,_xlfn.BYROW(interface!F30:F10014,_xlfn.LAMBDA(_xlpm.row, (_xlpm.row&gt;=calculs_intermediaires!AE19)*(_xlpm.row&lt;=calculs_intermediaires!AF19)))&gt;0)),"")</f>
        <v/>
      </c>
      <c r="AH19" s="63" t="str">
        <f t="shared" si="0"/>
        <v/>
      </c>
    </row>
    <row r="20" spans="2:34" x14ac:dyDescent="0.2">
      <c r="AE20" s="8">
        <f t="shared" si="1"/>
        <v>180</v>
      </c>
      <c r="AF20" s="2">
        <f t="shared" si="2"/>
        <v>190</v>
      </c>
      <c r="AG20" s="41" t="str" cm="1">
        <f t="array" ref="AG20">IFERROR(AVERAGE(_xlfn._xlws.FILTER(interface!I31:I10015,_xlfn.BYROW(interface!F31:F10015,_xlfn.LAMBDA(_xlpm.row, (_xlpm.row&gt;=calculs_intermediaires!AE20)*(_xlpm.row&lt;=calculs_intermediaires!AF20)))&gt;0)),"")</f>
        <v/>
      </c>
      <c r="AH20" s="63" t="str">
        <f t="shared" si="0"/>
        <v/>
      </c>
    </row>
    <row r="21" spans="2:34" x14ac:dyDescent="0.2">
      <c r="B21" s="15" t="s">
        <v>22</v>
      </c>
      <c r="C21" s="16">
        <f>C4-C18</f>
        <v>4.5</v>
      </c>
      <c r="AE21" s="8">
        <f t="shared" si="1"/>
        <v>191</v>
      </c>
      <c r="AF21" s="2">
        <f t="shared" si="2"/>
        <v>201</v>
      </c>
      <c r="AG21" s="41" t="str" cm="1">
        <f t="array" ref="AG21">IFERROR(AVERAGE(_xlfn._xlws.FILTER(interface!I32:I10016,_xlfn.BYROW(interface!F32:F10016,_xlfn.LAMBDA(_xlpm.row, (_xlpm.row&gt;=calculs_intermediaires!AE21)*(_xlpm.row&lt;=calculs_intermediaires!AF21)))&gt;0)),"")</f>
        <v/>
      </c>
      <c r="AH21" s="63" t="str">
        <f t="shared" si="0"/>
        <v/>
      </c>
    </row>
    <row r="22" spans="2:34" x14ac:dyDescent="0.2">
      <c r="B22" s="8" t="s">
        <v>24</v>
      </c>
      <c r="C22" s="67">
        <f>1/6</f>
        <v>0.16666666666666666</v>
      </c>
      <c r="AE22" s="8">
        <f t="shared" si="1"/>
        <v>202</v>
      </c>
      <c r="AF22" s="2">
        <f t="shared" si="2"/>
        <v>212</v>
      </c>
      <c r="AG22" s="41" t="str" cm="1">
        <f t="array" ref="AG22">IFERROR(AVERAGE(_xlfn._xlws.FILTER(interface!I33:I10017,_xlfn.BYROW(interface!F33:F10017,_xlfn.LAMBDA(_xlpm.row, (_xlpm.row&gt;=calculs_intermediaires!AE22)*(_xlpm.row&lt;=calculs_intermediaires!AF22)))&gt;0)),"")</f>
        <v/>
      </c>
      <c r="AH22" s="63" t="str">
        <f t="shared" si="0"/>
        <v/>
      </c>
    </row>
    <row r="23" spans="2:34" x14ac:dyDescent="0.2">
      <c r="B23" s="10" t="s">
        <v>23</v>
      </c>
      <c r="C23" s="46">
        <f>C21*C22</f>
        <v>0.75</v>
      </c>
      <c r="AE23" s="8">
        <f t="shared" si="1"/>
        <v>213</v>
      </c>
      <c r="AF23" s="2">
        <f t="shared" si="2"/>
        <v>223</v>
      </c>
      <c r="AG23" s="41" t="str" cm="1">
        <f t="array" ref="AG23">IFERROR(AVERAGE(_xlfn._xlws.FILTER(interface!I34:I10018,_xlfn.BYROW(interface!F34:F10018,_xlfn.LAMBDA(_xlpm.row, (_xlpm.row&gt;=calculs_intermediaires!AE23)*(_xlpm.row&lt;=calculs_intermediaires!AF23)))&gt;0)),"")</f>
        <v/>
      </c>
      <c r="AH23" s="63" t="str">
        <f t="shared" si="0"/>
        <v/>
      </c>
    </row>
    <row r="24" spans="2:34" x14ac:dyDescent="0.2">
      <c r="AE24" s="8">
        <f t="shared" si="1"/>
        <v>224</v>
      </c>
      <c r="AF24" s="2">
        <f t="shared" si="2"/>
        <v>234</v>
      </c>
      <c r="AG24" s="41" t="str" cm="1">
        <f t="array" ref="AG24">IFERROR(AVERAGE(_xlfn._xlws.FILTER(interface!I35:I10019,_xlfn.BYROW(interface!F35:F10019,_xlfn.LAMBDA(_xlpm.row, (_xlpm.row&gt;=calculs_intermediaires!AE24)*(_xlpm.row&lt;=calculs_intermediaires!AF24)))&gt;0)),"")</f>
        <v/>
      </c>
      <c r="AH24" s="63" t="str">
        <f t="shared" si="0"/>
        <v/>
      </c>
    </row>
    <row r="25" spans="2:34" x14ac:dyDescent="0.2">
      <c r="B25" s="15" t="s">
        <v>25</v>
      </c>
      <c r="C25" s="17">
        <f>C4-C23</f>
        <v>79.25</v>
      </c>
      <c r="AE25" s="8">
        <f t="shared" si="1"/>
        <v>235</v>
      </c>
      <c r="AF25" s="2">
        <f t="shared" si="2"/>
        <v>245</v>
      </c>
      <c r="AG25" s="41" t="str" cm="1">
        <f t="array" ref="AG25">IFERROR(AVERAGE(_xlfn._xlws.FILTER(interface!I36:I10020,_xlfn.BYROW(interface!F36:F10020,_xlfn.LAMBDA(_xlpm.row, (_xlpm.row&gt;=calculs_intermediaires!AE25)*(_xlpm.row&lt;=calculs_intermediaires!AF25)))&gt;0)),"")</f>
        <v/>
      </c>
      <c r="AH25" s="63" t="str">
        <f t="shared" si="0"/>
        <v/>
      </c>
    </row>
    <row r="26" spans="2:34" x14ac:dyDescent="0.2">
      <c r="B26" s="10" t="s">
        <v>26</v>
      </c>
      <c r="C26" s="46">
        <f>C4+C23</f>
        <v>80.75</v>
      </c>
      <c r="AE26" s="8">
        <f t="shared" si="1"/>
        <v>246</v>
      </c>
      <c r="AF26" s="2">
        <f t="shared" si="2"/>
        <v>256</v>
      </c>
      <c r="AG26" s="41" t="str" cm="1">
        <f t="array" ref="AG26">IFERROR(AVERAGE(_xlfn._xlws.FILTER(interface!I37:I10021,_xlfn.BYROW(interface!F37:F10021,_xlfn.LAMBDA(_xlpm.row, (_xlpm.row&gt;=calculs_intermediaires!AE26)*(_xlpm.row&lt;=calculs_intermediaires!AF26)))&gt;0)),"")</f>
        <v/>
      </c>
      <c r="AH26" s="63" t="str">
        <f t="shared" si="0"/>
        <v/>
      </c>
    </row>
    <row r="27" spans="2:34" x14ac:dyDescent="0.2">
      <c r="AE27" s="8">
        <f t="shared" si="1"/>
        <v>257</v>
      </c>
      <c r="AF27" s="2">
        <f t="shared" si="2"/>
        <v>267</v>
      </c>
      <c r="AG27" s="41" t="str" cm="1">
        <f t="array" ref="AG27">IFERROR(AVERAGE(_xlfn._xlws.FILTER(interface!I38:I10022,_xlfn.BYROW(interface!F38:F10022,_xlfn.LAMBDA(_xlpm.row, (_xlpm.row&gt;=calculs_intermediaires!AE27)*(_xlpm.row&lt;=calculs_intermediaires!AF27)))&gt;0)),"")</f>
        <v/>
      </c>
      <c r="AH27" s="63" t="str">
        <f t="shared" si="0"/>
        <v/>
      </c>
    </row>
    <row r="28" spans="2:34" x14ac:dyDescent="0.2">
      <c r="B28" s="2"/>
      <c r="C28" s="2"/>
      <c r="G28">
        <f>G27+1</f>
        <v>1</v>
      </c>
      <c r="H28">
        <f>$C$17</f>
        <v>0</v>
      </c>
      <c r="AE28" s="8">
        <f t="shared" si="1"/>
        <v>268</v>
      </c>
      <c r="AF28" s="2">
        <f t="shared" si="2"/>
        <v>278</v>
      </c>
      <c r="AG28" s="41" t="str" cm="1">
        <f t="array" ref="AG28">IFERROR(AVERAGE(_xlfn._xlws.FILTER(interface!I39:I10023,_xlfn.BYROW(interface!F39:F10023,_xlfn.LAMBDA(_xlpm.row, (_xlpm.row&gt;=calculs_intermediaires!AE28)*(_xlpm.row&lt;=calculs_intermediaires!AF28)))&gt;0)),"")</f>
        <v/>
      </c>
      <c r="AH28" s="63" t="str">
        <f t="shared" si="0"/>
        <v/>
      </c>
    </row>
    <row r="29" spans="2:34" x14ac:dyDescent="0.2">
      <c r="B29" s="2"/>
      <c r="C29" s="2"/>
      <c r="AE29" s="8">
        <f t="shared" si="1"/>
        <v>279</v>
      </c>
      <c r="AF29" s="2">
        <f t="shared" si="2"/>
        <v>289</v>
      </c>
      <c r="AG29" s="41" t="str" cm="1">
        <f t="array" ref="AG29">IFERROR(AVERAGE(_xlfn._xlws.FILTER(interface!I40:I10024,_xlfn.BYROW(interface!F40:F10024,_xlfn.LAMBDA(_xlpm.row, (_xlpm.row&gt;=calculs_intermediaires!AE29)*(_xlpm.row&lt;=calculs_intermediaires!AF29)))&gt;0)),"")</f>
        <v/>
      </c>
      <c r="AH29" s="63" t="str">
        <f t="shared" si="0"/>
        <v/>
      </c>
    </row>
    <row r="30" spans="2:34" x14ac:dyDescent="0.2">
      <c r="AE30" s="8">
        <f t="shared" si="1"/>
        <v>290</v>
      </c>
      <c r="AF30" s="2">
        <f t="shared" si="2"/>
        <v>300</v>
      </c>
      <c r="AG30" s="41" t="str" cm="1">
        <f t="array" ref="AG30">IFERROR(AVERAGE(_xlfn._xlws.FILTER(interface!I41:I10025,_xlfn.BYROW(interface!F41:F10025,_xlfn.LAMBDA(_xlpm.row, (_xlpm.row&gt;=calculs_intermediaires!AE30)*(_xlpm.row&lt;=calculs_intermediaires!AF30)))&gt;0)),"")</f>
        <v/>
      </c>
      <c r="AH30" s="63" t="str">
        <f t="shared" si="0"/>
        <v/>
      </c>
    </row>
    <row r="31" spans="2:34" x14ac:dyDescent="0.2">
      <c r="B31" s="32"/>
      <c r="AE31" s="8">
        <f t="shared" si="1"/>
        <v>301</v>
      </c>
      <c r="AF31" s="2">
        <f t="shared" si="2"/>
        <v>311</v>
      </c>
      <c r="AG31" s="41" t="str" cm="1">
        <f t="array" ref="AG31">IFERROR(AVERAGE(_xlfn._xlws.FILTER(interface!I42:I10026,_xlfn.BYROW(interface!F42:F10026,_xlfn.LAMBDA(_xlpm.row, (_xlpm.row&gt;=calculs_intermediaires!AE31)*(_xlpm.row&lt;=calculs_intermediaires!AF31)))&gt;0)),"")</f>
        <v/>
      </c>
      <c r="AH31" s="63" t="str">
        <f t="shared" si="0"/>
        <v/>
      </c>
    </row>
    <row r="32" spans="2:34" x14ac:dyDescent="0.2">
      <c r="AE32" s="8">
        <f t="shared" si="1"/>
        <v>312</v>
      </c>
      <c r="AF32" s="2">
        <f t="shared" si="2"/>
        <v>322</v>
      </c>
      <c r="AG32" s="41" t="str" cm="1">
        <f t="array" ref="AG32">IFERROR(AVERAGE(_xlfn._xlws.FILTER(interface!I43:I10027,_xlfn.BYROW(interface!F43:F10027,_xlfn.LAMBDA(_xlpm.row, (_xlpm.row&gt;=calculs_intermediaires!AE32)*(_xlpm.row&lt;=calculs_intermediaires!AF32)))&gt;0)),"")</f>
        <v/>
      </c>
      <c r="AH32" s="63" t="str">
        <f t="shared" si="0"/>
        <v/>
      </c>
    </row>
    <row r="33" spans="11:34" x14ac:dyDescent="0.2">
      <c r="AE33" s="8">
        <f t="shared" si="1"/>
        <v>323</v>
      </c>
      <c r="AF33" s="2">
        <f t="shared" si="2"/>
        <v>333</v>
      </c>
      <c r="AG33" s="41" t="str" cm="1">
        <f t="array" ref="AG33">IFERROR(AVERAGE(_xlfn._xlws.FILTER(interface!I44:I10028,_xlfn.BYROW(interface!F44:F10028,_xlfn.LAMBDA(_xlpm.row, (_xlpm.row&gt;=calculs_intermediaires!AE33)*(_xlpm.row&lt;=calculs_intermediaires!AF33)))&gt;0)),"")</f>
        <v/>
      </c>
      <c r="AH33" s="63" t="str">
        <f t="shared" si="0"/>
        <v/>
      </c>
    </row>
    <row r="34" spans="11:34" s="2" customFormat="1" x14ac:dyDescent="0.2">
      <c r="K34" s="9"/>
      <c r="S34" s="9"/>
      <c r="AB34" s="41"/>
      <c r="AC34" s="9"/>
      <c r="AE34" s="8">
        <f t="shared" si="1"/>
        <v>334</v>
      </c>
      <c r="AF34" s="2">
        <f t="shared" si="2"/>
        <v>344</v>
      </c>
      <c r="AG34" s="41" t="str" cm="1">
        <f t="array" ref="AG34">IFERROR(AVERAGE(_xlfn._xlws.FILTER(interface!I45:I10029,_xlfn.BYROW(interface!F45:F10029,_xlfn.LAMBDA(_xlpm.row, (_xlpm.row&gt;=calculs_intermediaires!AE34)*(_xlpm.row&lt;=calculs_intermediaires!AF34)))&gt;0)),"")</f>
        <v/>
      </c>
      <c r="AH34" s="63" t="str">
        <f t="shared" si="0"/>
        <v/>
      </c>
    </row>
    <row r="35" spans="11:34" x14ac:dyDescent="0.2">
      <c r="AE35" s="8">
        <f t="shared" si="1"/>
        <v>345</v>
      </c>
      <c r="AF35" s="2">
        <f t="shared" si="2"/>
        <v>355</v>
      </c>
      <c r="AG35" s="41" t="str" cm="1">
        <f t="array" ref="AG35">IFERROR(AVERAGE(_xlfn._xlws.FILTER(interface!I46:I10030,_xlfn.BYROW(interface!F46:F10030,_xlfn.LAMBDA(_xlpm.row, (_xlpm.row&gt;=calculs_intermediaires!AE35)*(_xlpm.row&lt;=calculs_intermediaires!AF35)))&gt;0)),"")</f>
        <v/>
      </c>
      <c r="AH35" s="63" t="str">
        <f t="shared" si="0"/>
        <v/>
      </c>
    </row>
    <row r="36" spans="11:34" x14ac:dyDescent="0.2">
      <c r="AE36" s="8">
        <f t="shared" si="1"/>
        <v>356</v>
      </c>
      <c r="AF36" s="2">
        <f t="shared" si="2"/>
        <v>366</v>
      </c>
      <c r="AG36" s="41" t="str" cm="1">
        <f t="array" ref="AG36">IFERROR(AVERAGE(_xlfn._xlws.FILTER(interface!I47:I10031,_xlfn.BYROW(interface!F47:F10031,_xlfn.LAMBDA(_xlpm.row, (_xlpm.row&gt;=calculs_intermediaires!AE36)*(_xlpm.row&lt;=calculs_intermediaires!AF36)))&gt;0)),"")</f>
        <v/>
      </c>
      <c r="AH36" s="63" t="str">
        <f t="shared" si="0"/>
        <v/>
      </c>
    </row>
    <row r="37" spans="11:34" x14ac:dyDescent="0.2">
      <c r="AE37" s="8">
        <f t="shared" si="1"/>
        <v>367</v>
      </c>
      <c r="AF37" s="2">
        <f t="shared" si="2"/>
        <v>377</v>
      </c>
      <c r="AG37" s="41" t="str" cm="1">
        <f t="array" ref="AG37">IFERROR(AVERAGE(_xlfn._xlws.FILTER(interface!I48:I10032,_xlfn.BYROW(interface!F48:F10032,_xlfn.LAMBDA(_xlpm.row, (_xlpm.row&gt;=calculs_intermediaires!AE37)*(_xlpm.row&lt;=calculs_intermediaires!AF37)))&gt;0)),"")</f>
        <v/>
      </c>
      <c r="AH37" s="63" t="str">
        <f t="shared" si="0"/>
        <v/>
      </c>
    </row>
    <row r="38" spans="11:34" x14ac:dyDescent="0.2">
      <c r="AE38" s="8">
        <f t="shared" si="1"/>
        <v>378</v>
      </c>
      <c r="AF38" s="2">
        <f t="shared" si="2"/>
        <v>388</v>
      </c>
      <c r="AG38" s="41" t="str" cm="1">
        <f t="array" ref="AG38">IFERROR(AVERAGE(_xlfn._xlws.FILTER(interface!I49:I10033,_xlfn.BYROW(interface!F49:F10033,_xlfn.LAMBDA(_xlpm.row, (_xlpm.row&gt;=calculs_intermediaires!AE38)*(_xlpm.row&lt;=calculs_intermediaires!AF38)))&gt;0)),"")</f>
        <v/>
      </c>
      <c r="AH38" s="63" t="str">
        <f t="shared" si="0"/>
        <v/>
      </c>
    </row>
    <row r="39" spans="11:34" x14ac:dyDescent="0.2">
      <c r="AE39" s="8">
        <f t="shared" si="1"/>
        <v>389</v>
      </c>
      <c r="AF39" s="2">
        <f t="shared" si="2"/>
        <v>399</v>
      </c>
      <c r="AG39" s="41" t="str" cm="1">
        <f t="array" ref="AG39">IFERROR(AVERAGE(_xlfn._xlws.FILTER(interface!I50:I10034,_xlfn.BYROW(interface!F50:F10034,_xlfn.LAMBDA(_xlpm.row, (_xlpm.row&gt;=calculs_intermediaires!AE39)*(_xlpm.row&lt;=calculs_intermediaires!AF39)))&gt;0)),"")</f>
        <v/>
      </c>
      <c r="AH39" s="63" t="str">
        <f t="shared" si="0"/>
        <v/>
      </c>
    </row>
    <row r="40" spans="11:34" x14ac:dyDescent="0.2">
      <c r="AE40" s="8">
        <f t="shared" si="1"/>
        <v>400</v>
      </c>
      <c r="AF40" s="2">
        <f t="shared" si="2"/>
        <v>410</v>
      </c>
      <c r="AG40" s="41" t="str" cm="1">
        <f t="array" ref="AG40">IFERROR(AVERAGE(_xlfn._xlws.FILTER(interface!I51:I10035,_xlfn.BYROW(interface!F51:F10035,_xlfn.LAMBDA(_xlpm.row, (_xlpm.row&gt;=calculs_intermediaires!AE40)*(_xlpm.row&lt;=calculs_intermediaires!AF40)))&gt;0)),"")</f>
        <v/>
      </c>
      <c r="AH40" s="63" t="str">
        <f t="shared" si="0"/>
        <v/>
      </c>
    </row>
    <row r="41" spans="11:34" x14ac:dyDescent="0.2">
      <c r="AE41" s="8">
        <f t="shared" si="1"/>
        <v>411</v>
      </c>
      <c r="AF41" s="2">
        <f t="shared" si="2"/>
        <v>421</v>
      </c>
      <c r="AG41" s="41" t="str" cm="1">
        <f t="array" ref="AG41">IFERROR(AVERAGE(_xlfn._xlws.FILTER(interface!I52:I10036,_xlfn.BYROW(interface!F52:F10036,_xlfn.LAMBDA(_xlpm.row, (_xlpm.row&gt;=calculs_intermediaires!AE41)*(_xlpm.row&lt;=calculs_intermediaires!AF41)))&gt;0)),"")</f>
        <v/>
      </c>
      <c r="AH41" s="63" t="str">
        <f t="shared" si="0"/>
        <v/>
      </c>
    </row>
    <row r="42" spans="11:34" x14ac:dyDescent="0.2">
      <c r="AE42" s="8">
        <f t="shared" si="1"/>
        <v>422</v>
      </c>
      <c r="AF42" s="2">
        <f t="shared" si="2"/>
        <v>432</v>
      </c>
      <c r="AG42" s="41" t="str" cm="1">
        <f t="array" ref="AG42">IFERROR(AVERAGE(_xlfn._xlws.FILTER(interface!I53:I10037,_xlfn.BYROW(interface!F53:F10037,_xlfn.LAMBDA(_xlpm.row, (_xlpm.row&gt;=calculs_intermediaires!AE42)*(_xlpm.row&lt;=calculs_intermediaires!AF42)))&gt;0)),"")</f>
        <v/>
      </c>
      <c r="AH42" s="63" t="str">
        <f t="shared" si="0"/>
        <v/>
      </c>
    </row>
    <row r="43" spans="11:34" x14ac:dyDescent="0.2">
      <c r="AE43" s="8">
        <f t="shared" si="1"/>
        <v>433</v>
      </c>
      <c r="AF43" s="2">
        <f t="shared" si="2"/>
        <v>443</v>
      </c>
      <c r="AG43" s="41" t="str" cm="1">
        <f t="array" ref="AG43">IFERROR(AVERAGE(_xlfn._xlws.FILTER(interface!I54:I10038,_xlfn.BYROW(interface!F54:F10038,_xlfn.LAMBDA(_xlpm.row, (_xlpm.row&gt;=calculs_intermediaires!AE43)*(_xlpm.row&lt;=calculs_intermediaires!AF43)))&gt;0)),"")</f>
        <v/>
      </c>
      <c r="AH43" s="63" t="str">
        <f t="shared" si="0"/>
        <v/>
      </c>
    </row>
    <row r="44" spans="11:34" x14ac:dyDescent="0.2">
      <c r="AE44" s="8">
        <f t="shared" si="1"/>
        <v>444</v>
      </c>
      <c r="AF44" s="2">
        <f t="shared" si="2"/>
        <v>454</v>
      </c>
      <c r="AG44" s="41" t="str" cm="1">
        <f t="array" ref="AG44">IFERROR(AVERAGE(_xlfn._xlws.FILTER(interface!I55:I10039,_xlfn.BYROW(interface!F55:F10039,_xlfn.LAMBDA(_xlpm.row, (_xlpm.row&gt;=calculs_intermediaires!AE44)*(_xlpm.row&lt;=calculs_intermediaires!AF44)))&gt;0)),"")</f>
        <v/>
      </c>
      <c r="AH44" s="63" t="str">
        <f t="shared" si="0"/>
        <v/>
      </c>
    </row>
    <row r="45" spans="11:34" x14ac:dyDescent="0.2">
      <c r="AE45" s="8">
        <f t="shared" si="1"/>
        <v>455</v>
      </c>
      <c r="AF45" s="2">
        <f t="shared" si="2"/>
        <v>465</v>
      </c>
      <c r="AG45" s="41" t="str" cm="1">
        <f t="array" ref="AG45">IFERROR(AVERAGE(_xlfn._xlws.FILTER(interface!I56:I10040,_xlfn.BYROW(interface!F56:F10040,_xlfn.LAMBDA(_xlpm.row, (_xlpm.row&gt;=calculs_intermediaires!AE45)*(_xlpm.row&lt;=calculs_intermediaires!AF45)))&gt;0)),"")</f>
        <v/>
      </c>
      <c r="AH45" s="63" t="str">
        <f t="shared" si="0"/>
        <v/>
      </c>
    </row>
    <row r="46" spans="11:34" x14ac:dyDescent="0.2">
      <c r="AE46" s="8">
        <f t="shared" si="1"/>
        <v>466</v>
      </c>
      <c r="AF46" s="2">
        <f t="shared" si="2"/>
        <v>476</v>
      </c>
      <c r="AG46" s="41" t="str" cm="1">
        <f t="array" ref="AG46">IFERROR(AVERAGE(_xlfn._xlws.FILTER(interface!I57:I10041,_xlfn.BYROW(interface!F57:F10041,_xlfn.LAMBDA(_xlpm.row, (_xlpm.row&gt;=calculs_intermediaires!AE46)*(_xlpm.row&lt;=calculs_intermediaires!AF46)))&gt;0)),"")</f>
        <v/>
      </c>
      <c r="AH46" s="63" t="str">
        <f t="shared" si="0"/>
        <v/>
      </c>
    </row>
    <row r="47" spans="11:34" x14ac:dyDescent="0.2">
      <c r="AE47" s="8">
        <f t="shared" si="1"/>
        <v>477</v>
      </c>
      <c r="AF47" s="2">
        <f t="shared" si="2"/>
        <v>487</v>
      </c>
      <c r="AG47" s="41" t="str" cm="1">
        <f t="array" ref="AG47">IFERROR(AVERAGE(_xlfn._xlws.FILTER(interface!I58:I10042,_xlfn.BYROW(interface!F58:F10042,_xlfn.LAMBDA(_xlpm.row, (_xlpm.row&gt;=calculs_intermediaires!AE47)*(_xlpm.row&lt;=calculs_intermediaires!AF47)))&gt;0)),"")</f>
        <v/>
      </c>
      <c r="AH47" s="63" t="str">
        <f t="shared" si="0"/>
        <v/>
      </c>
    </row>
    <row r="48" spans="11:34" x14ac:dyDescent="0.2">
      <c r="AE48" s="8">
        <f t="shared" si="1"/>
        <v>488</v>
      </c>
      <c r="AF48" s="2">
        <f t="shared" si="2"/>
        <v>498</v>
      </c>
      <c r="AG48" s="41" t="str" cm="1">
        <f t="array" ref="AG48">IFERROR(AVERAGE(_xlfn._xlws.FILTER(interface!I59:I10043,_xlfn.BYROW(interface!F59:F10043,_xlfn.LAMBDA(_xlpm.row, (_xlpm.row&gt;=calculs_intermediaires!AE48)*(_xlpm.row&lt;=calculs_intermediaires!AF48)))&gt;0)),"")</f>
        <v/>
      </c>
      <c r="AH48" s="63" t="str">
        <f t="shared" si="0"/>
        <v/>
      </c>
    </row>
    <row r="49" spans="31:34" x14ac:dyDescent="0.2">
      <c r="AE49" s="8">
        <f t="shared" si="1"/>
        <v>499</v>
      </c>
      <c r="AF49" s="2">
        <f t="shared" si="2"/>
        <v>509</v>
      </c>
      <c r="AG49" s="41" t="str" cm="1">
        <f t="array" ref="AG49">IFERROR(AVERAGE(_xlfn._xlws.FILTER(interface!I60:I10044,_xlfn.BYROW(interface!F60:F10044,_xlfn.LAMBDA(_xlpm.row, (_xlpm.row&gt;=calculs_intermediaires!AE49)*(_xlpm.row&lt;=calculs_intermediaires!AF49)))&gt;0)),"")</f>
        <v/>
      </c>
      <c r="AH49" s="63" t="str">
        <f t="shared" si="0"/>
        <v/>
      </c>
    </row>
    <row r="50" spans="31:34" x14ac:dyDescent="0.2">
      <c r="AE50" s="8">
        <f t="shared" si="1"/>
        <v>510</v>
      </c>
      <c r="AF50" s="2">
        <f t="shared" si="2"/>
        <v>520</v>
      </c>
      <c r="AG50" s="41" t="str" cm="1">
        <f t="array" ref="AG50">IFERROR(AVERAGE(_xlfn._xlws.FILTER(interface!I61:I10045,_xlfn.BYROW(interface!F61:F10045,_xlfn.LAMBDA(_xlpm.row, (_xlpm.row&gt;=calculs_intermediaires!AE50)*(_xlpm.row&lt;=calculs_intermediaires!AF50)))&gt;0)),"")</f>
        <v/>
      </c>
      <c r="AH50" s="63" t="str">
        <f t="shared" si="0"/>
        <v/>
      </c>
    </row>
    <row r="51" spans="31:34" x14ac:dyDescent="0.2">
      <c r="AE51" s="8">
        <f t="shared" si="1"/>
        <v>521</v>
      </c>
      <c r="AF51" s="2">
        <f t="shared" si="2"/>
        <v>531</v>
      </c>
      <c r="AG51" s="41" t="str" cm="1">
        <f t="array" ref="AG51">IFERROR(AVERAGE(_xlfn._xlws.FILTER(interface!I62:I10046,_xlfn.BYROW(interface!F62:F10046,_xlfn.LAMBDA(_xlpm.row, (_xlpm.row&gt;=calculs_intermediaires!AE51)*(_xlpm.row&lt;=calculs_intermediaires!AF51)))&gt;0)),"")</f>
        <v/>
      </c>
      <c r="AH51" s="63" t="str">
        <f t="shared" si="0"/>
        <v/>
      </c>
    </row>
    <row r="52" spans="31:34" x14ac:dyDescent="0.2">
      <c r="AE52" s="8">
        <f t="shared" si="1"/>
        <v>532</v>
      </c>
      <c r="AF52" s="2">
        <f t="shared" si="2"/>
        <v>542</v>
      </c>
      <c r="AG52" s="41" t="str" cm="1">
        <f t="array" ref="AG52">IFERROR(AVERAGE(_xlfn._xlws.FILTER(interface!I63:I10047,_xlfn.BYROW(interface!F63:F10047,_xlfn.LAMBDA(_xlpm.row, (_xlpm.row&gt;=calculs_intermediaires!AE52)*(_xlpm.row&lt;=calculs_intermediaires!AF52)))&gt;0)),"")</f>
        <v/>
      </c>
      <c r="AH52" s="63" t="str">
        <f t="shared" si="0"/>
        <v/>
      </c>
    </row>
    <row r="53" spans="31:34" x14ac:dyDescent="0.2">
      <c r="AE53" s="8">
        <f t="shared" si="1"/>
        <v>543</v>
      </c>
      <c r="AF53" s="2">
        <f t="shared" si="2"/>
        <v>553</v>
      </c>
      <c r="AG53" s="41" t="str" cm="1">
        <f t="array" ref="AG53">IFERROR(AVERAGE(_xlfn._xlws.FILTER(interface!I64:I10048,_xlfn.BYROW(interface!F64:F10048,_xlfn.LAMBDA(_xlpm.row, (_xlpm.row&gt;=calculs_intermediaires!AE53)*(_xlpm.row&lt;=calculs_intermediaires!AF53)))&gt;0)),"")</f>
        <v/>
      </c>
      <c r="AH53" s="63" t="str">
        <f t="shared" si="0"/>
        <v/>
      </c>
    </row>
    <row r="54" spans="31:34" x14ac:dyDescent="0.2">
      <c r="AE54" s="8">
        <f t="shared" si="1"/>
        <v>554</v>
      </c>
      <c r="AF54" s="2">
        <f t="shared" si="2"/>
        <v>564</v>
      </c>
      <c r="AG54" s="41" t="str" cm="1">
        <f t="array" ref="AG54">IFERROR(AVERAGE(_xlfn._xlws.FILTER(interface!I65:I10049,_xlfn.BYROW(interface!F65:F10049,_xlfn.LAMBDA(_xlpm.row, (_xlpm.row&gt;=calculs_intermediaires!AE54)*(_xlpm.row&lt;=calculs_intermediaires!AF54)))&gt;0)),"")</f>
        <v/>
      </c>
      <c r="AH54" s="63" t="str">
        <f t="shared" si="0"/>
        <v/>
      </c>
    </row>
    <row r="55" spans="31:34" x14ac:dyDescent="0.2">
      <c r="AE55" s="8">
        <f t="shared" si="1"/>
        <v>565</v>
      </c>
      <c r="AF55" s="2">
        <f t="shared" si="2"/>
        <v>575</v>
      </c>
      <c r="AG55" s="41" t="str" cm="1">
        <f t="array" ref="AG55">IFERROR(AVERAGE(_xlfn._xlws.FILTER(interface!I66:I10050,_xlfn.BYROW(interface!F66:F10050,_xlfn.LAMBDA(_xlpm.row, (_xlpm.row&gt;=calculs_intermediaires!AE55)*(_xlpm.row&lt;=calculs_intermediaires!AF55)))&gt;0)),"")</f>
        <v/>
      </c>
      <c r="AH55" s="63" t="str">
        <f t="shared" si="0"/>
        <v/>
      </c>
    </row>
    <row r="56" spans="31:34" x14ac:dyDescent="0.2">
      <c r="AE56" s="8">
        <f t="shared" si="1"/>
        <v>576</v>
      </c>
      <c r="AF56" s="2">
        <f t="shared" si="2"/>
        <v>586</v>
      </c>
      <c r="AG56" s="41" t="str" cm="1">
        <f t="array" ref="AG56">IFERROR(AVERAGE(_xlfn._xlws.FILTER(interface!I67:I10051,_xlfn.BYROW(interface!F67:F10051,_xlfn.LAMBDA(_xlpm.row, (_xlpm.row&gt;=calculs_intermediaires!AE56)*(_xlpm.row&lt;=calculs_intermediaires!AF56)))&gt;0)),"")</f>
        <v/>
      </c>
      <c r="AH56" s="63" t="str">
        <f t="shared" si="0"/>
        <v/>
      </c>
    </row>
    <row r="57" spans="31:34" x14ac:dyDescent="0.2">
      <c r="AE57" s="8">
        <f t="shared" si="1"/>
        <v>587</v>
      </c>
      <c r="AF57" s="2">
        <f t="shared" si="2"/>
        <v>597</v>
      </c>
      <c r="AG57" s="41" t="str" cm="1">
        <f t="array" ref="AG57">IFERROR(AVERAGE(_xlfn._xlws.FILTER(interface!I68:I10052,_xlfn.BYROW(interface!F68:F10052,_xlfn.LAMBDA(_xlpm.row, (_xlpm.row&gt;=calculs_intermediaires!AE57)*(_xlpm.row&lt;=calculs_intermediaires!AF57)))&gt;0)),"")</f>
        <v/>
      </c>
      <c r="AH57" s="63" t="str">
        <f t="shared" si="0"/>
        <v/>
      </c>
    </row>
    <row r="58" spans="31:34" x14ac:dyDescent="0.2">
      <c r="AE58" s="8">
        <f t="shared" si="1"/>
        <v>598</v>
      </c>
      <c r="AF58" s="2">
        <f t="shared" si="2"/>
        <v>608</v>
      </c>
      <c r="AG58" s="41" t="str" cm="1">
        <f t="array" ref="AG58">IFERROR(AVERAGE(_xlfn._xlws.FILTER(interface!I69:I10053,_xlfn.BYROW(interface!F69:F10053,_xlfn.LAMBDA(_xlpm.row, (_xlpm.row&gt;=calculs_intermediaires!AE58)*(_xlpm.row&lt;=calculs_intermediaires!AF58)))&gt;0)),"")</f>
        <v/>
      </c>
      <c r="AH58" s="63" t="str">
        <f t="shared" si="0"/>
        <v/>
      </c>
    </row>
    <row r="59" spans="31:34" x14ac:dyDescent="0.2">
      <c r="AE59" s="8">
        <f t="shared" si="1"/>
        <v>609</v>
      </c>
      <c r="AF59" s="2">
        <f t="shared" si="2"/>
        <v>619</v>
      </c>
      <c r="AG59" s="41" t="str" cm="1">
        <f t="array" ref="AG59">IFERROR(AVERAGE(_xlfn._xlws.FILTER(interface!I70:I10054,_xlfn.BYROW(interface!F70:F10054,_xlfn.LAMBDA(_xlpm.row, (_xlpm.row&gt;=calculs_intermediaires!AE59)*(_xlpm.row&lt;=calculs_intermediaires!AF59)))&gt;0)),"")</f>
        <v/>
      </c>
      <c r="AH59" s="63" t="str">
        <f t="shared" si="0"/>
        <v/>
      </c>
    </row>
    <row r="60" spans="31:34" x14ac:dyDescent="0.2">
      <c r="AE60" s="8">
        <f t="shared" si="1"/>
        <v>620</v>
      </c>
      <c r="AF60" s="2">
        <f t="shared" si="2"/>
        <v>630</v>
      </c>
      <c r="AG60" s="41" t="str" cm="1">
        <f t="array" ref="AG60">IFERROR(AVERAGE(_xlfn._xlws.FILTER(interface!I71:I10055,_xlfn.BYROW(interface!F71:F10055,_xlfn.LAMBDA(_xlpm.row, (_xlpm.row&gt;=calculs_intermediaires!AE60)*(_xlpm.row&lt;=calculs_intermediaires!AF60)))&gt;0)),"")</f>
        <v/>
      </c>
      <c r="AH60" s="63" t="str">
        <f t="shared" si="0"/>
        <v/>
      </c>
    </row>
    <row r="61" spans="31:34" x14ac:dyDescent="0.2">
      <c r="AE61" s="8">
        <f t="shared" si="1"/>
        <v>631</v>
      </c>
      <c r="AF61" s="2">
        <f t="shared" si="2"/>
        <v>641</v>
      </c>
      <c r="AG61" s="41" t="str" cm="1">
        <f t="array" ref="AG61">IFERROR(AVERAGE(_xlfn._xlws.FILTER(interface!I72:I10056,_xlfn.BYROW(interface!F72:F10056,_xlfn.LAMBDA(_xlpm.row, (_xlpm.row&gt;=calculs_intermediaires!AE61)*(_xlpm.row&lt;=calculs_intermediaires!AF61)))&gt;0)),"")</f>
        <v/>
      </c>
      <c r="AH61" s="63" t="str">
        <f t="shared" si="0"/>
        <v/>
      </c>
    </row>
    <row r="62" spans="31:34" x14ac:dyDescent="0.2">
      <c r="AE62" s="8">
        <f t="shared" si="1"/>
        <v>642</v>
      </c>
      <c r="AF62" s="2">
        <f t="shared" si="2"/>
        <v>652</v>
      </c>
      <c r="AG62" s="41" t="str" cm="1">
        <f t="array" ref="AG62">IFERROR(AVERAGE(_xlfn._xlws.FILTER(interface!I73:I10057,_xlfn.BYROW(interface!F73:F10057,_xlfn.LAMBDA(_xlpm.row, (_xlpm.row&gt;=calculs_intermediaires!AE62)*(_xlpm.row&lt;=calculs_intermediaires!AF62)))&gt;0)),"")</f>
        <v/>
      </c>
      <c r="AH62" s="63" t="str">
        <f t="shared" si="0"/>
        <v/>
      </c>
    </row>
    <row r="63" spans="31:34" x14ac:dyDescent="0.2">
      <c r="AE63" s="8">
        <f t="shared" si="1"/>
        <v>653</v>
      </c>
      <c r="AF63" s="2">
        <f t="shared" si="2"/>
        <v>663</v>
      </c>
      <c r="AG63" s="41" t="str" cm="1">
        <f t="array" ref="AG63">IFERROR(AVERAGE(_xlfn._xlws.FILTER(interface!I74:I10058,_xlfn.BYROW(interface!F74:F10058,_xlfn.LAMBDA(_xlpm.row, (_xlpm.row&gt;=calculs_intermediaires!AE63)*(_xlpm.row&lt;=calculs_intermediaires!AF63)))&gt;0)),"")</f>
        <v/>
      </c>
      <c r="AH63" s="63" t="str">
        <f t="shared" si="0"/>
        <v/>
      </c>
    </row>
    <row r="64" spans="31:34" x14ac:dyDescent="0.2">
      <c r="AE64" s="8">
        <f t="shared" si="1"/>
        <v>664</v>
      </c>
      <c r="AF64" s="2">
        <f t="shared" si="2"/>
        <v>674</v>
      </c>
      <c r="AG64" s="41" t="str" cm="1">
        <f t="array" ref="AG64">IFERROR(AVERAGE(_xlfn._xlws.FILTER(interface!I75:I10059,_xlfn.BYROW(interface!F75:F10059,_xlfn.LAMBDA(_xlpm.row, (_xlpm.row&gt;=calculs_intermediaires!AE64)*(_xlpm.row&lt;=calculs_intermediaires!AF64)))&gt;0)),"")</f>
        <v/>
      </c>
      <c r="AH64" s="63" t="str">
        <f t="shared" si="0"/>
        <v/>
      </c>
    </row>
    <row r="65" spans="31:34" x14ac:dyDescent="0.2">
      <c r="AE65" s="8">
        <f t="shared" si="1"/>
        <v>675</v>
      </c>
      <c r="AF65" s="2">
        <f t="shared" si="2"/>
        <v>685</v>
      </c>
      <c r="AG65" s="41" t="str" cm="1">
        <f t="array" ref="AG65">IFERROR(AVERAGE(_xlfn._xlws.FILTER(interface!I76:I10060,_xlfn.BYROW(interface!F76:F10060,_xlfn.LAMBDA(_xlpm.row, (_xlpm.row&gt;=calculs_intermediaires!AE65)*(_xlpm.row&lt;=calculs_intermediaires!AF65)))&gt;0)),"")</f>
        <v/>
      </c>
      <c r="AH65" s="63" t="str">
        <f t="shared" si="0"/>
        <v/>
      </c>
    </row>
    <row r="66" spans="31:34" x14ac:dyDescent="0.2">
      <c r="AE66" s="8">
        <f t="shared" si="1"/>
        <v>686</v>
      </c>
      <c r="AF66" s="2">
        <f t="shared" si="2"/>
        <v>696</v>
      </c>
      <c r="AG66" s="41" t="str" cm="1">
        <f t="array" ref="AG66">IFERROR(AVERAGE(_xlfn._xlws.FILTER(interface!I77:I10061,_xlfn.BYROW(interface!F77:F10061,_xlfn.LAMBDA(_xlpm.row, (_xlpm.row&gt;=calculs_intermediaires!AE66)*(_xlpm.row&lt;=calculs_intermediaires!AF66)))&gt;0)),"")</f>
        <v/>
      </c>
      <c r="AH66" s="63" t="str">
        <f t="shared" si="0"/>
        <v/>
      </c>
    </row>
    <row r="67" spans="31:34" x14ac:dyDescent="0.2">
      <c r="AE67" s="8">
        <f t="shared" si="1"/>
        <v>697</v>
      </c>
      <c r="AF67" s="2">
        <f t="shared" si="2"/>
        <v>707</v>
      </c>
      <c r="AG67" s="41" t="str" cm="1">
        <f t="array" ref="AG67">IFERROR(AVERAGE(_xlfn._xlws.FILTER(interface!I78:I10062,_xlfn.BYROW(interface!F78:F10062,_xlfn.LAMBDA(_xlpm.row, (_xlpm.row&gt;=calculs_intermediaires!AE67)*(_xlpm.row&lt;=calculs_intermediaires!AF67)))&gt;0)),"")</f>
        <v/>
      </c>
      <c r="AH67" s="63" t="str">
        <f t="shared" si="0"/>
        <v/>
      </c>
    </row>
    <row r="68" spans="31:34" x14ac:dyDescent="0.2">
      <c r="AE68" s="8">
        <f t="shared" si="1"/>
        <v>708</v>
      </c>
      <c r="AF68" s="2">
        <f t="shared" si="2"/>
        <v>718</v>
      </c>
      <c r="AG68" s="41" t="str" cm="1">
        <f t="array" ref="AG68">IFERROR(AVERAGE(_xlfn._xlws.FILTER(interface!I79:I10063,_xlfn.BYROW(interface!F79:F10063,_xlfn.LAMBDA(_xlpm.row, (_xlpm.row&gt;=calculs_intermediaires!AE68)*(_xlpm.row&lt;=calculs_intermediaires!AF68)))&gt;0)),"")</f>
        <v/>
      </c>
      <c r="AH68" s="63" t="str">
        <f t="shared" si="0"/>
        <v/>
      </c>
    </row>
    <row r="69" spans="31:34" x14ac:dyDescent="0.2">
      <c r="AE69" s="8">
        <f t="shared" si="1"/>
        <v>719</v>
      </c>
      <c r="AF69" s="2">
        <f t="shared" si="2"/>
        <v>729</v>
      </c>
      <c r="AG69" s="41" t="str" cm="1">
        <f t="array" ref="AG69">IFERROR(AVERAGE(_xlfn._xlws.FILTER(interface!I80:I10064,_xlfn.BYROW(interface!F80:F10064,_xlfn.LAMBDA(_xlpm.row, (_xlpm.row&gt;=calculs_intermediaires!AE69)*(_xlpm.row&lt;=calculs_intermediaires!AF69)))&gt;0)),"")</f>
        <v/>
      </c>
      <c r="AH69" s="63" t="str">
        <f t="shared" si="0"/>
        <v/>
      </c>
    </row>
    <row r="70" spans="31:34" x14ac:dyDescent="0.2">
      <c r="AE70" s="10">
        <f t="shared" si="1"/>
        <v>730</v>
      </c>
      <c r="AF70" s="45">
        <f t="shared" si="2"/>
        <v>740</v>
      </c>
      <c r="AG70" s="64" t="str" cm="1">
        <f t="array" ref="AG70">IFERROR(AVERAGE(_xlfn._xlws.FILTER(interface!I81:I10065,_xlfn.BYROW(interface!F81:F10065,_xlfn.LAMBDA(_xlpm.row, (_xlpm.row&gt;=calculs_intermediaires!AE70)*(_xlpm.row&lt;=calculs_intermediaires!AF70)))&gt;0)),"")</f>
        <v/>
      </c>
      <c r="AH70" s="65" t="str">
        <f t="shared" ref="AH70" si="6">IFERROR(IF(AG70&lt;&gt;"",$AG$2*(ROW()-ROW($AI$4)),NA()),"")</f>
        <v/>
      </c>
    </row>
  </sheetData>
  <mergeCells count="5"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n_tare.clean_tare">
                <anchor moveWithCells="1" sizeWithCells="1">
                  <from>
                    <xdr:col>16</xdr:col>
                    <xdr:colOff>723900</xdr:colOff>
                    <xdr:row>2</xdr:row>
                    <xdr:rowOff>114300</xdr:rowOff>
                  </from>
                  <to>
                    <xdr:col>18</xdr:col>
                    <xdr:colOff>406400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DC408-7D93-FE4B-A91C-96D553B4ECE6}">
  <sheetPr codeName="Sheet5"/>
  <dimension ref="A1:B2"/>
  <sheetViews>
    <sheetView workbookViewId="0">
      <selection activeCell="D4" sqref="D4"/>
    </sheetView>
  </sheetViews>
  <sheetFormatPr baseColWidth="10" defaultRowHeight="16" x14ac:dyDescent="0.2"/>
  <cols>
    <col min="1" max="1" width="13.33203125" bestFit="1" customWidth="1"/>
    <col min="2" max="2" width="28.33203125" bestFit="1" customWidth="1"/>
  </cols>
  <sheetData>
    <row r="1" spans="1:2" x14ac:dyDescent="0.2">
      <c r="A1" s="2" t="s">
        <v>96</v>
      </c>
      <c r="B1" s="2" t="s">
        <v>95</v>
      </c>
    </row>
    <row r="2" spans="1:2" x14ac:dyDescent="0.2">
      <c r="A2" s="2" t="s">
        <v>97</v>
      </c>
      <c r="B2" s="2" t="s">
        <v>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14E1B-D54D-CA40-9F95-8BF8E8001FFB}">
  <sheetPr codeName="Sheet6"/>
  <dimension ref="B1:H11"/>
  <sheetViews>
    <sheetView showGridLines="0" zoomScale="188" workbookViewId="0">
      <selection activeCell="C3" sqref="C3"/>
    </sheetView>
  </sheetViews>
  <sheetFormatPr baseColWidth="10" defaultRowHeight="16" x14ac:dyDescent="0.2"/>
  <cols>
    <col min="1" max="1" width="7.6640625" customWidth="1"/>
    <col min="2" max="2" width="14.1640625" bestFit="1" customWidth="1"/>
    <col min="3" max="3" width="12" customWidth="1"/>
  </cols>
  <sheetData>
    <row r="1" spans="2:8" x14ac:dyDescent="0.2">
      <c r="C1" s="2"/>
      <c r="D1" s="2"/>
      <c r="E1" s="2"/>
      <c r="F1" s="2"/>
    </row>
    <row r="2" spans="2:8" x14ac:dyDescent="0.2">
      <c r="B2" s="15" t="s">
        <v>6</v>
      </c>
      <c r="C2" s="73">
        <v>10</v>
      </c>
      <c r="D2" s="43"/>
      <c r="E2" s="43"/>
      <c r="F2" s="43"/>
      <c r="G2" s="43"/>
      <c r="H2" s="74">
        <v>11</v>
      </c>
    </row>
    <row r="3" spans="2:8" x14ac:dyDescent="0.2">
      <c r="B3" s="8" t="s">
        <v>90</v>
      </c>
      <c r="C3" s="2">
        <v>9</v>
      </c>
      <c r="D3" s="3">
        <v>10</v>
      </c>
      <c r="E3" s="3">
        <v>8</v>
      </c>
      <c r="F3" s="2"/>
      <c r="G3" s="2"/>
      <c r="H3" s="9"/>
    </row>
    <row r="4" spans="2:8" x14ac:dyDescent="0.2">
      <c r="B4" s="8" t="s">
        <v>92</v>
      </c>
      <c r="C4" s="2"/>
      <c r="D4" s="2"/>
      <c r="E4" s="2"/>
      <c r="F4" s="2"/>
      <c r="G4" s="2"/>
      <c r="H4" s="9">
        <v>11</v>
      </c>
    </row>
    <row r="5" spans="2:8" x14ac:dyDescent="0.2">
      <c r="B5" s="8" t="s">
        <v>25</v>
      </c>
      <c r="C5" s="2"/>
      <c r="D5" s="2">
        <v>10</v>
      </c>
      <c r="E5" s="2"/>
      <c r="F5" s="2"/>
      <c r="G5" s="2"/>
      <c r="H5" s="9"/>
    </row>
    <row r="6" spans="2:8" x14ac:dyDescent="0.2">
      <c r="B6" s="8" t="s">
        <v>26</v>
      </c>
      <c r="C6" s="2"/>
      <c r="D6" s="2"/>
      <c r="E6" s="2">
        <v>8</v>
      </c>
      <c r="F6" s="2"/>
      <c r="G6" s="2"/>
      <c r="H6" s="9"/>
    </row>
    <row r="7" spans="2:8" x14ac:dyDescent="0.2">
      <c r="B7" s="8" t="s">
        <v>5</v>
      </c>
      <c r="C7" s="2"/>
      <c r="D7" s="2"/>
      <c r="E7" s="2"/>
      <c r="F7" s="2" t="b">
        <v>0</v>
      </c>
      <c r="G7" s="2"/>
      <c r="H7" s="9"/>
    </row>
    <row r="8" spans="2:8" x14ac:dyDescent="0.2">
      <c r="B8" s="10" t="s">
        <v>10</v>
      </c>
      <c r="C8" s="45"/>
      <c r="D8" s="45"/>
      <c r="E8" s="45"/>
      <c r="F8" s="45"/>
      <c r="G8" s="45" t="b">
        <v>0</v>
      </c>
      <c r="H8" s="11"/>
    </row>
    <row r="9" spans="2:8" x14ac:dyDescent="0.2">
      <c r="B9" s="2" t="s">
        <v>91</v>
      </c>
      <c r="C9" s="2" t="b">
        <f>C3&lt;C2</f>
        <v>1</v>
      </c>
      <c r="D9" s="2" t="b">
        <f>D3&lt;D5</f>
        <v>0</v>
      </c>
      <c r="E9" s="2" t="b">
        <f>E3&gt;E6</f>
        <v>0</v>
      </c>
      <c r="F9" s="2" t="b">
        <f>F7</f>
        <v>0</v>
      </c>
      <c r="G9" s="2" t="b">
        <f>G8</f>
        <v>0</v>
      </c>
      <c r="H9" s="2" t="b">
        <f>H4&lt;H2</f>
        <v>0</v>
      </c>
    </row>
    <row r="11" spans="2:8" x14ac:dyDescent="0.2">
      <c r="B11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B9507-58A9-C746-98E0-6AA745535215}">
  <sheetPr codeName="Sheet3">
    <tabColor theme="8" tint="0.79998168889431442"/>
  </sheetPr>
  <dimension ref="B2:E12"/>
  <sheetViews>
    <sheetView showGridLines="0" workbookViewId="0">
      <selection activeCell="F25" sqref="F25"/>
    </sheetView>
  </sheetViews>
  <sheetFormatPr baseColWidth="10" defaultRowHeight="16" x14ac:dyDescent="0.2"/>
  <cols>
    <col min="2" max="2" width="15.1640625" bestFit="1" customWidth="1"/>
    <col min="4" max="4" width="5" customWidth="1"/>
    <col min="5" max="5" width="10.83203125" style="2"/>
  </cols>
  <sheetData>
    <row r="2" spans="2:5" x14ac:dyDescent="0.2">
      <c r="B2" s="2" t="s">
        <v>43</v>
      </c>
      <c r="C2" s="26" t="s">
        <v>46</v>
      </c>
      <c r="E2" s="4" t="s">
        <v>45</v>
      </c>
    </row>
    <row r="3" spans="2:5" x14ac:dyDescent="0.2">
      <c r="B3" s="2" t="s">
        <v>44</v>
      </c>
      <c r="C3" s="28">
        <v>10</v>
      </c>
      <c r="E3" s="2" t="str" cm="1">
        <f t="array" ref="E3:E12">IF(_xlfn.SEQUENCE($C$3,1,1), $C$2, "")</f>
        <v>Hello</v>
      </c>
    </row>
    <row r="4" spans="2:5" x14ac:dyDescent="0.2">
      <c r="E4" s="2" t="str">
        <v>Hello</v>
      </c>
    </row>
    <row r="5" spans="2:5" x14ac:dyDescent="0.2">
      <c r="E5" s="2" t="str">
        <v>Hello</v>
      </c>
    </row>
    <row r="6" spans="2:5" x14ac:dyDescent="0.2">
      <c r="E6" s="2" t="str">
        <v>Hello</v>
      </c>
    </row>
    <row r="7" spans="2:5" x14ac:dyDescent="0.2">
      <c r="E7" s="2" t="str">
        <v>Hello</v>
      </c>
    </row>
    <row r="8" spans="2:5" x14ac:dyDescent="0.2">
      <c r="E8" s="2" t="str">
        <v>Hello</v>
      </c>
    </row>
    <row r="9" spans="2:5" x14ac:dyDescent="0.2">
      <c r="E9" s="2" t="str">
        <v>Hello</v>
      </c>
    </row>
    <row r="10" spans="2:5" x14ac:dyDescent="0.2">
      <c r="E10" s="2" t="str">
        <v>Hello</v>
      </c>
    </row>
    <row r="11" spans="2:5" x14ac:dyDescent="0.2">
      <c r="E11" s="2" t="str">
        <v>Hello</v>
      </c>
    </row>
    <row r="12" spans="2:5" x14ac:dyDescent="0.2">
      <c r="E12" s="2" t="str">
        <v>Hello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9"/>
  <sheetViews>
    <sheetView showGridLines="0" topLeftCell="F1" zoomScale="117" workbookViewId="0">
      <selection activeCell="L4" sqref="L4"/>
    </sheetView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37" style="2" bestFit="1" customWidth="1"/>
    <col min="4" max="4" width="11" style="2" bestFit="1" customWidth="1"/>
    <col min="5" max="5" width="14.5" style="2" bestFit="1" customWidth="1"/>
    <col min="6" max="6" width="34.5" style="2" customWidth="1"/>
    <col min="7" max="7" width="12.1640625" style="2" customWidth="1"/>
    <col min="8" max="8" width="18.6640625" style="2" bestFit="1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14.83203125" style="2" bestFit="1" customWidth="1"/>
    <col min="13" max="13" width="18.6640625" style="2" bestFit="1" customWidth="1"/>
    <col min="14" max="16384" width="10.83203125" style="2"/>
  </cols>
  <sheetData>
    <row r="2" spans="2:13" ht="17" x14ac:dyDescent="0.2">
      <c r="B2" s="71" t="s">
        <v>34</v>
      </c>
      <c r="C2" s="71" t="s">
        <v>36</v>
      </c>
      <c r="D2" s="71" t="s">
        <v>37</v>
      </c>
      <c r="E2" s="71" t="s">
        <v>38</v>
      </c>
      <c r="F2" s="71" t="s">
        <v>65</v>
      </c>
      <c r="G2" s="71" t="s">
        <v>66</v>
      </c>
      <c r="H2" s="71" t="s">
        <v>81</v>
      </c>
      <c r="I2" s="72" t="s">
        <v>83</v>
      </c>
      <c r="J2" s="72" t="s">
        <v>85</v>
      </c>
      <c r="K2" s="72" t="s">
        <v>86</v>
      </c>
      <c r="L2" s="72" t="s">
        <v>87</v>
      </c>
      <c r="M2" s="72" t="s">
        <v>88</v>
      </c>
    </row>
    <row r="3" spans="2:13" ht="409.6" x14ac:dyDescent="0.2">
      <c r="B3" s="68" t="s">
        <v>68</v>
      </c>
      <c r="C3" s="68" t="s">
        <v>69</v>
      </c>
      <c r="D3" s="68" t="s">
        <v>40</v>
      </c>
      <c r="E3" s="68" t="s">
        <v>39</v>
      </c>
      <c r="F3" s="68" t="s">
        <v>72</v>
      </c>
      <c r="G3" s="68" t="s">
        <v>67</v>
      </c>
      <c r="H3" s="68" t="s">
        <v>82</v>
      </c>
      <c r="I3" s="68" t="s">
        <v>84</v>
      </c>
      <c r="J3" s="68" t="s">
        <v>84</v>
      </c>
      <c r="K3" s="68" t="s">
        <v>93</v>
      </c>
      <c r="L3" s="68" t="s">
        <v>94</v>
      </c>
      <c r="M3" s="68" t="s">
        <v>89</v>
      </c>
    </row>
    <row r="4" spans="2:13" ht="17" x14ac:dyDescent="0.2">
      <c r="B4" s="68" t="s">
        <v>35</v>
      </c>
      <c r="C4" s="68" t="s">
        <v>70</v>
      </c>
      <c r="D4" s="68"/>
      <c r="E4" s="68"/>
      <c r="F4" s="68" t="s">
        <v>73</v>
      </c>
      <c r="G4" s="68"/>
      <c r="H4" s="68"/>
      <c r="I4" s="68"/>
      <c r="J4" s="68"/>
      <c r="K4" s="68"/>
      <c r="L4" s="68"/>
      <c r="M4" s="68"/>
    </row>
    <row r="5" spans="2:13" ht="17" x14ac:dyDescent="0.2">
      <c r="B5" s="68"/>
      <c r="C5" s="69" t="s">
        <v>71</v>
      </c>
      <c r="D5" s="68"/>
      <c r="E5" s="68"/>
      <c r="F5" s="68" t="s">
        <v>74</v>
      </c>
      <c r="G5" s="68"/>
      <c r="H5" s="68"/>
      <c r="I5" s="68"/>
      <c r="J5" s="68"/>
      <c r="K5" s="68"/>
      <c r="L5" s="68"/>
      <c r="M5" s="68"/>
    </row>
    <row r="6" spans="2:13" ht="17" x14ac:dyDescent="0.2">
      <c r="B6" s="68"/>
      <c r="C6" s="68"/>
      <c r="D6" s="68"/>
      <c r="E6" s="68"/>
      <c r="F6" s="68" t="s">
        <v>75</v>
      </c>
      <c r="G6" s="68"/>
      <c r="H6" s="68"/>
      <c r="I6" s="68"/>
      <c r="J6" s="68"/>
      <c r="K6" s="68"/>
      <c r="L6" s="68"/>
      <c r="M6" s="68"/>
    </row>
    <row r="7" spans="2:13" ht="17" x14ac:dyDescent="0.2">
      <c r="B7" s="68"/>
      <c r="C7" s="68"/>
      <c r="D7" s="68"/>
      <c r="E7" s="68"/>
      <c r="F7" s="68" t="s">
        <v>76</v>
      </c>
      <c r="G7" s="68"/>
      <c r="H7" s="68"/>
      <c r="I7" s="68"/>
      <c r="J7" s="68"/>
      <c r="K7" s="68"/>
      <c r="L7" s="68"/>
      <c r="M7" s="68"/>
    </row>
    <row r="8" spans="2:13" ht="34" x14ac:dyDescent="0.2">
      <c r="B8" s="68"/>
      <c r="C8" s="68"/>
      <c r="D8" s="68"/>
      <c r="E8" s="68"/>
      <c r="F8" s="68" t="s">
        <v>77</v>
      </c>
      <c r="G8" s="68"/>
      <c r="H8" s="68"/>
      <c r="I8" s="68"/>
      <c r="J8" s="68"/>
      <c r="K8" s="68"/>
      <c r="L8" s="68"/>
      <c r="M8" s="68"/>
    </row>
    <row r="9" spans="2:13" x14ac:dyDescent="0.2">
      <c r="B9" s="70"/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calculs_intermediaires</vt:lpstr>
      <vt:lpstr>idea</vt:lpstr>
      <vt:lpstr>test</vt:lpstr>
      <vt:lpstr>draft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2025-01-27T23:51:35Z</dcterms:modified>
</cp:coreProperties>
</file>