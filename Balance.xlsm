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084BC86-B560-A94E-A492-E882126DBB95}" xr6:coauthVersionLast="47" xr6:coauthVersionMax="47" xr10:uidLastSave="{00000000-0000-0000-0000-000000000000}"/>
  <bookViews>
    <workbookView xWindow="-3740" yWindow="-21100" windowWidth="38400" windowHeight="21100" activeTab="2" xr2:uid="{5FB1850A-4562-1941-A4C6-C6D993284B38}"/>
  </bookViews>
  <sheets>
    <sheet name="data_brute" sheetId="10" r:id="rId1"/>
    <sheet name="interface" sheetId="1" r:id="rId2"/>
    <sheet name="calculs_intermediaires" sheetId="3" r:id="rId3"/>
    <sheet name="idea" sheetId="9" r:id="rId4"/>
    <sheet name="test" sheetId="8" r:id="rId5"/>
    <sheet name="draft" sheetId="6" r:id="rId6"/>
    <sheet name="pop_up" sheetId="5" r:id="rId7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0" l="1" a="1"/>
  <c r="D2" i="10" s="1"/>
  <c r="H2" i="10" s="1" a="1"/>
  <c r="H2" i="10" s="1"/>
  <c r="A2" i="10" a="1"/>
  <c r="A2" i="10" s="1"/>
  <c r="V6" i="3"/>
  <c r="W6" i="3"/>
  <c r="X6" i="3"/>
  <c r="Y6" i="3"/>
  <c r="Z6" i="3"/>
  <c r="AA6" i="3"/>
  <c r="AB6" i="3"/>
  <c r="U6" i="3"/>
  <c r="F3" i="3"/>
  <c r="O7" i="3" s="1"/>
  <c r="H10" i="1"/>
  <c r="H9" i="8"/>
  <c r="C9" i="8"/>
  <c r="F9" i="8"/>
  <c r="E3" i="6" a="1"/>
  <c r="E3" i="6" s="1"/>
  <c r="G9" i="8"/>
  <c r="E9" i="8"/>
  <c r="D9" i="8"/>
  <c r="C22" i="3"/>
  <c r="H11" i="1"/>
  <c r="H28" i="3"/>
  <c r="G28" i="3"/>
  <c r="E2" i="10" l="1" a="1"/>
  <c r="E2" i="10" s="1"/>
  <c r="F4" i="3"/>
  <c r="F5" i="3" s="1"/>
  <c r="N4" i="3"/>
  <c r="P7" i="3" s="1"/>
  <c r="AE7" i="3"/>
  <c r="AF7" i="3" s="1"/>
  <c r="AE8" i="3" s="1"/>
  <c r="AF8" i="3" s="1"/>
  <c r="AE9" i="3" s="1"/>
  <c r="AF9" i="3" s="1"/>
  <c r="AE10" i="3" s="1"/>
  <c r="AF10" i="3" s="1"/>
  <c r="AE11" i="3" s="1"/>
  <c r="C4" i="3"/>
  <c r="F2" i="10" l="1" a="1"/>
  <c r="F2" i="10" s="1"/>
  <c r="G2" i="10" s="1" a="1"/>
  <c r="G2" i="10" s="1"/>
  <c r="AF11" i="3"/>
  <c r="AE12" i="3" s="1"/>
  <c r="Y3" i="3"/>
  <c r="Y2" i="3"/>
  <c r="AG9" i="3"/>
  <c r="AH9" i="3" s="1"/>
  <c r="AG10" i="3"/>
  <c r="AH10" i="3" s="1"/>
  <c r="U7" i="3" a="1"/>
  <c r="AB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G8" i="3" l="1"/>
  <c r="AH8" i="3" s="1"/>
  <c r="AF12" i="3"/>
  <c r="AE13" i="3" s="1"/>
  <c r="AG12" i="3"/>
  <c r="AH12" i="3" s="1"/>
  <c r="AG11" i="3"/>
  <c r="AH11" i="3" s="1"/>
  <c r="AG7" i="3"/>
  <c r="AH7" i="3" s="1"/>
  <c r="AB3" i="3"/>
  <c r="U7" i="3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F13" i="3" l="1"/>
  <c r="AE14" i="3" s="1"/>
  <c r="K16" i="3" a="1"/>
  <c r="K16" i="3" s="1"/>
  <c r="C6" i="3"/>
  <c r="C18" i="3" s="1" a="1"/>
  <c r="C18" i="3" s="1"/>
  <c r="D11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2" i="1" s="1"/>
  <c r="AF15" i="3" l="1"/>
  <c r="AE16" i="3" s="1"/>
  <c r="AG14" i="3"/>
  <c r="AH14" i="3" s="1"/>
  <c r="C26" i="3"/>
  <c r="C25" i="3"/>
  <c r="AF16" i="3" l="1"/>
  <c r="AE17" i="3" s="1"/>
  <c r="AG15" i="3"/>
  <c r="AH15" i="3" s="1"/>
  <c r="C2" i="1"/>
  <c r="AF17" i="3" l="1"/>
  <c r="AE18" i="3" s="1"/>
  <c r="AG16" i="3"/>
  <c r="AH16" i="3" s="1"/>
  <c r="Q4" i="3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<sst xmlns="http://schemas.openxmlformats.org/spreadsheetml/2006/main" count="113" uniqueCount="96">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</sst>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0" xfId="0" applyNumberFormat="1" applyAlignment="1">
      <alignment horizontal="right" vertical="top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5" fmlaLink="$L$2" max="30000" page="10" val="3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2</xdr:row>
          <xdr:rowOff>152400</xdr:rowOff>
        </xdr:from>
        <xdr:to>
          <xdr:col>11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L40"/>
  <sheetViews>
    <sheetView showGridLines="0" workbookViewId="0">
      <selection activeCell="J20" sqref="J20"/>
    </sheetView>
  </sheetViews>
  <sheetFormatPr baseColWidth="10" defaultRowHeight="16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8" style="2" customWidth="1"/>
    <col min="10" max="16384" width="10.83203125" style="2"/>
  </cols>
  <sheetData>
    <row r="1" spans="1:12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57</v>
      </c>
      <c r="F1" s="4" t="s">
        <v>40</v>
      </c>
      <c r="G1" s="4" t="s">
        <v>32</v>
      </c>
      <c r="H1" s="43" t="s">
        <v>26</v>
      </c>
    </row>
    <row r="2" spans="1:12" x14ac:dyDescent="0.2">
      <c r="A2" s="2" cm="1">
        <f t="array" ref="A2:A40">_xlfn.SEQUENCE(L2)</f>
        <v>1</v>
      </c>
      <c r="D2" s="38" cm="1">
        <f t="array" aca="1" ref="D2:D40" ca="1">_xlfn.RANDARRAY(L2,1,75,85,FALSE)</f>
        <v>82.550758742050334</v>
      </c>
      <c r="E2" s="2" cm="1">
        <f t="array" ref="E2:E40">IF(_xlfn.ANCHORARRAY(A2)&lt;&gt;0,ROW(_xlfn.ANCHORARRAY(A2)))</f>
        <v>2</v>
      </c>
      <c r="F2" s="2" cm="1">
        <f t="array" ref="F2:F40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40">INDEX(calculs_intermediaires!$N$7:$N$100,MATCH(_xlfn.ANCHORARRAY(F2),calculs_intermediaires!$M$7:$M$100,0))</f>
        <v>5</v>
      </c>
      <c r="H2" s="38" cm="1">
        <f t="array" aca="1" ref="H2:H40" ca="1">_xlfn.ANCHORARRAY(D2)-_xlfn.ANCHORARRAY(G2)</f>
        <v>77.550758742050334</v>
      </c>
      <c r="K2" s="14" t="s">
        <v>95</v>
      </c>
      <c r="L2" s="2">
        <v>39</v>
      </c>
    </row>
    <row r="3" spans="1:12" x14ac:dyDescent="0.2">
      <c r="A3" s="2">
        <v>2</v>
      </c>
      <c r="D3" s="38">
        <f ca="1"/>
        <v>77.684651972242477</v>
      </c>
      <c r="E3" s="2">
        <v>3</v>
      </c>
      <c r="F3" s="2">
        <v>1</v>
      </c>
      <c r="G3" s="2">
        <v>5</v>
      </c>
      <c r="H3" s="38">
        <f ca="1"/>
        <v>72.684651972242477</v>
      </c>
    </row>
    <row r="4" spans="1:12" x14ac:dyDescent="0.2">
      <c r="A4" s="2">
        <v>3</v>
      </c>
      <c r="D4" s="38">
        <f ca="1"/>
        <v>82.709640382760881</v>
      </c>
      <c r="E4" s="2">
        <v>4</v>
      </c>
      <c r="F4" s="2">
        <v>1</v>
      </c>
      <c r="G4" s="2">
        <v>5</v>
      </c>
      <c r="H4" s="38">
        <f ca="1"/>
        <v>77.709640382760881</v>
      </c>
    </row>
    <row r="5" spans="1:12" x14ac:dyDescent="0.2">
      <c r="A5" s="2">
        <v>4</v>
      </c>
      <c r="D5" s="38">
        <f ca="1"/>
        <v>77.463662672036918</v>
      </c>
      <c r="E5" s="2">
        <v>5</v>
      </c>
      <c r="F5" s="2">
        <v>1</v>
      </c>
      <c r="G5" s="2">
        <v>5</v>
      </c>
      <c r="H5" s="38">
        <f ca="1"/>
        <v>72.463662672036918</v>
      </c>
    </row>
    <row r="6" spans="1:12" x14ac:dyDescent="0.2">
      <c r="A6" s="2">
        <v>5</v>
      </c>
      <c r="D6" s="38">
        <f ca="1"/>
        <v>81.711037777052312</v>
      </c>
      <c r="E6" s="2">
        <v>6</v>
      </c>
      <c r="F6" s="2">
        <v>1</v>
      </c>
      <c r="G6" s="2">
        <v>5</v>
      </c>
      <c r="H6" s="38">
        <f ca="1"/>
        <v>76.711037777052312</v>
      </c>
    </row>
    <row r="7" spans="1:12" x14ac:dyDescent="0.2">
      <c r="A7" s="2">
        <v>6</v>
      </c>
      <c r="D7" s="38">
        <f ca="1"/>
        <v>82.211365541296445</v>
      </c>
      <c r="E7" s="2">
        <v>7</v>
      </c>
      <c r="F7" s="2">
        <v>1</v>
      </c>
      <c r="G7" s="2">
        <v>5</v>
      </c>
      <c r="H7" s="38">
        <f ca="1"/>
        <v>77.211365541296445</v>
      </c>
    </row>
    <row r="8" spans="1:12" x14ac:dyDescent="0.2">
      <c r="A8" s="2">
        <v>7</v>
      </c>
      <c r="D8" s="38">
        <f ca="1"/>
        <v>75.564608442928034</v>
      </c>
      <c r="E8" s="2">
        <v>8</v>
      </c>
      <c r="F8" s="2">
        <v>1</v>
      </c>
      <c r="G8" s="2">
        <v>5</v>
      </c>
      <c r="H8" s="38">
        <f ca="1"/>
        <v>70.564608442928034</v>
      </c>
    </row>
    <row r="9" spans="1:12" x14ac:dyDescent="0.2">
      <c r="A9" s="2">
        <v>8</v>
      </c>
      <c r="D9" s="38">
        <f ca="1"/>
        <v>82.51248648864194</v>
      </c>
      <c r="E9" s="2">
        <v>9</v>
      </c>
      <c r="F9" s="2">
        <v>1</v>
      </c>
      <c r="G9" s="2">
        <v>5</v>
      </c>
      <c r="H9" s="38">
        <f ca="1"/>
        <v>77.51248648864194</v>
      </c>
    </row>
    <row r="10" spans="1:12" x14ac:dyDescent="0.2">
      <c r="A10" s="2">
        <v>9</v>
      </c>
      <c r="D10" s="38">
        <f ca="1"/>
        <v>77.901124111469898</v>
      </c>
      <c r="E10" s="2">
        <v>10</v>
      </c>
      <c r="F10" s="2">
        <v>1</v>
      </c>
      <c r="G10" s="2">
        <v>5</v>
      </c>
      <c r="H10" s="38">
        <f ca="1"/>
        <v>72.901124111469898</v>
      </c>
    </row>
    <row r="11" spans="1:12" x14ac:dyDescent="0.2">
      <c r="A11" s="2">
        <v>10</v>
      </c>
      <c r="D11" s="38">
        <f ca="1"/>
        <v>81.285454977239269</v>
      </c>
      <c r="E11" s="2">
        <v>11</v>
      </c>
      <c r="F11" s="2">
        <v>1</v>
      </c>
      <c r="G11" s="2">
        <v>5</v>
      </c>
      <c r="H11" s="38">
        <f ca="1"/>
        <v>76.285454977239269</v>
      </c>
    </row>
    <row r="12" spans="1:12" x14ac:dyDescent="0.2">
      <c r="A12" s="2">
        <v>11</v>
      </c>
      <c r="D12" s="38">
        <f ca="1"/>
        <v>80.456050584310873</v>
      </c>
      <c r="E12" s="2">
        <v>12</v>
      </c>
      <c r="F12" s="2">
        <v>1</v>
      </c>
      <c r="G12" s="2">
        <v>5</v>
      </c>
      <c r="H12" s="38">
        <f ca="1"/>
        <v>75.456050584310873</v>
      </c>
    </row>
    <row r="13" spans="1:12" x14ac:dyDescent="0.2">
      <c r="A13" s="2">
        <v>12</v>
      </c>
      <c r="D13" s="38">
        <f ca="1"/>
        <v>80.332098902735652</v>
      </c>
      <c r="E13" s="2">
        <v>13</v>
      </c>
      <c r="F13" s="2">
        <v>1</v>
      </c>
      <c r="G13" s="2">
        <v>5</v>
      </c>
      <c r="H13" s="38">
        <f ca="1"/>
        <v>75.332098902735652</v>
      </c>
    </row>
    <row r="14" spans="1:12" x14ac:dyDescent="0.2">
      <c r="A14" s="2">
        <v>13</v>
      </c>
      <c r="D14" s="38">
        <f ca="1"/>
        <v>78.291170924225668</v>
      </c>
      <c r="E14" s="2">
        <v>14</v>
      </c>
      <c r="F14" s="2">
        <v>1</v>
      </c>
      <c r="G14" s="2">
        <v>5</v>
      </c>
      <c r="H14" s="38">
        <f ca="1"/>
        <v>73.291170924225668</v>
      </c>
    </row>
    <row r="15" spans="1:12" x14ac:dyDescent="0.2">
      <c r="A15" s="2">
        <v>14</v>
      </c>
      <c r="D15" s="38">
        <f ca="1"/>
        <v>79.251721346258293</v>
      </c>
      <c r="E15" s="2">
        <v>15</v>
      </c>
      <c r="F15" s="2">
        <v>1</v>
      </c>
      <c r="G15" s="2">
        <v>5</v>
      </c>
      <c r="H15" s="38">
        <f ca="1"/>
        <v>74.251721346258293</v>
      </c>
    </row>
    <row r="16" spans="1:12" x14ac:dyDescent="0.2">
      <c r="A16" s="2">
        <v>15</v>
      </c>
      <c r="D16" s="38">
        <f ca="1"/>
        <v>79.66040876992956</v>
      </c>
      <c r="E16" s="2">
        <v>16</v>
      </c>
      <c r="F16" s="2">
        <v>1</v>
      </c>
      <c r="G16" s="2">
        <v>5</v>
      </c>
      <c r="H16" s="38">
        <f ca="1"/>
        <v>74.66040876992956</v>
      </c>
    </row>
    <row r="17" spans="1:8" x14ac:dyDescent="0.2">
      <c r="A17" s="2">
        <v>16</v>
      </c>
      <c r="D17" s="38">
        <f ca="1"/>
        <v>81.658732576811801</v>
      </c>
      <c r="E17" s="2">
        <v>17</v>
      </c>
      <c r="F17" s="2">
        <v>1</v>
      </c>
      <c r="G17" s="2">
        <v>5</v>
      </c>
      <c r="H17" s="38">
        <f ca="1"/>
        <v>76.658732576811801</v>
      </c>
    </row>
    <row r="18" spans="1:8" x14ac:dyDescent="0.2">
      <c r="A18" s="2">
        <v>17</v>
      </c>
      <c r="D18" s="38">
        <f ca="1"/>
        <v>82.150170351177508</v>
      </c>
      <c r="E18" s="2">
        <v>18</v>
      </c>
      <c r="F18" s="2">
        <v>1</v>
      </c>
      <c r="G18" s="2">
        <v>5</v>
      </c>
      <c r="H18" s="38">
        <f ca="1"/>
        <v>77.150170351177508</v>
      </c>
    </row>
    <row r="19" spans="1:8" x14ac:dyDescent="0.2">
      <c r="A19" s="2">
        <v>18</v>
      </c>
      <c r="D19" s="38">
        <f ca="1"/>
        <v>78.870174839997119</v>
      </c>
      <c r="E19" s="2">
        <v>19</v>
      </c>
      <c r="F19" s="2">
        <v>1</v>
      </c>
      <c r="G19" s="2">
        <v>5</v>
      </c>
      <c r="H19" s="38">
        <f ca="1"/>
        <v>73.870174839997119</v>
      </c>
    </row>
    <row r="20" spans="1:8" x14ac:dyDescent="0.2">
      <c r="A20" s="2">
        <v>19</v>
      </c>
      <c r="D20" s="38">
        <f ca="1"/>
        <v>79.986578731191571</v>
      </c>
      <c r="E20" s="2">
        <v>20</v>
      </c>
      <c r="F20" s="2">
        <v>1</v>
      </c>
      <c r="G20" s="2">
        <v>5</v>
      </c>
      <c r="H20" s="38">
        <f ca="1"/>
        <v>74.986578731191571</v>
      </c>
    </row>
    <row r="21" spans="1:8" x14ac:dyDescent="0.2">
      <c r="A21" s="2">
        <v>20</v>
      </c>
      <c r="D21" s="38">
        <f ca="1"/>
        <v>81.859567434980661</v>
      </c>
      <c r="E21" s="2">
        <v>21</v>
      </c>
      <c r="F21" s="2">
        <v>1</v>
      </c>
      <c r="G21" s="2">
        <v>5</v>
      </c>
      <c r="H21" s="38">
        <f ca="1"/>
        <v>76.859567434980661</v>
      </c>
    </row>
    <row r="22" spans="1:8" x14ac:dyDescent="0.2">
      <c r="A22" s="2">
        <v>21</v>
      </c>
      <c r="D22" s="38">
        <f ca="1"/>
        <v>81.928049411479577</v>
      </c>
      <c r="E22" s="2">
        <v>22</v>
      </c>
      <c r="F22" s="2">
        <v>1</v>
      </c>
      <c r="G22" s="2">
        <v>5</v>
      </c>
      <c r="H22" s="38">
        <f ca="1"/>
        <v>76.928049411479577</v>
      </c>
    </row>
    <row r="23" spans="1:8" x14ac:dyDescent="0.2">
      <c r="A23" s="2">
        <v>22</v>
      </c>
      <c r="D23" s="38">
        <f ca="1"/>
        <v>83.667574876761662</v>
      </c>
      <c r="E23" s="2">
        <v>23</v>
      </c>
      <c r="F23" s="2">
        <v>1</v>
      </c>
      <c r="G23" s="2">
        <v>5</v>
      </c>
      <c r="H23" s="38">
        <f ca="1"/>
        <v>78.667574876761662</v>
      </c>
    </row>
    <row r="24" spans="1:8" x14ac:dyDescent="0.2">
      <c r="A24" s="2">
        <v>23</v>
      </c>
      <c r="D24" s="38">
        <f ca="1"/>
        <v>76.910514879450133</v>
      </c>
      <c r="E24" s="2">
        <v>24</v>
      </c>
      <c r="F24" s="2">
        <v>1</v>
      </c>
      <c r="G24" s="2">
        <v>5</v>
      </c>
      <c r="H24" s="38">
        <f ca="1"/>
        <v>71.910514879450133</v>
      </c>
    </row>
    <row r="25" spans="1:8" x14ac:dyDescent="0.2">
      <c r="A25" s="2">
        <v>24</v>
      </c>
      <c r="D25" s="38">
        <f ca="1"/>
        <v>81.144357694587598</v>
      </c>
      <c r="E25" s="2">
        <v>25</v>
      </c>
      <c r="F25" s="2">
        <v>1</v>
      </c>
      <c r="G25" s="2">
        <v>5</v>
      </c>
      <c r="H25" s="38">
        <f ca="1"/>
        <v>76.144357694587598</v>
      </c>
    </row>
    <row r="26" spans="1:8" x14ac:dyDescent="0.2">
      <c r="A26" s="2">
        <v>25</v>
      </c>
      <c r="D26" s="38">
        <f ca="1"/>
        <v>83.145062908994504</v>
      </c>
      <c r="E26" s="2">
        <v>26</v>
      </c>
      <c r="F26" s="2">
        <v>1</v>
      </c>
      <c r="G26" s="2">
        <v>5</v>
      </c>
      <c r="H26" s="38">
        <f ca="1"/>
        <v>78.145062908994504</v>
      </c>
    </row>
    <row r="27" spans="1:8" x14ac:dyDescent="0.2">
      <c r="A27" s="2">
        <v>26</v>
      </c>
      <c r="D27" s="38">
        <f ca="1"/>
        <v>84.636322531207227</v>
      </c>
      <c r="E27" s="2">
        <v>27</v>
      </c>
      <c r="F27" s="2">
        <v>1</v>
      </c>
      <c r="G27" s="2">
        <v>5</v>
      </c>
      <c r="H27" s="38">
        <f ca="1"/>
        <v>79.636322531207227</v>
      </c>
    </row>
    <row r="28" spans="1:8" x14ac:dyDescent="0.2">
      <c r="A28" s="2">
        <v>27</v>
      </c>
      <c r="D28" s="38">
        <f ca="1"/>
        <v>84.383168141250181</v>
      </c>
      <c r="E28" s="2">
        <v>28</v>
      </c>
      <c r="F28" s="2">
        <v>1</v>
      </c>
      <c r="G28" s="2">
        <v>5</v>
      </c>
      <c r="H28" s="38">
        <f ca="1"/>
        <v>79.383168141250181</v>
      </c>
    </row>
    <row r="29" spans="1:8" x14ac:dyDescent="0.2">
      <c r="A29" s="2">
        <v>28</v>
      </c>
      <c r="D29" s="38">
        <f ca="1"/>
        <v>84.719210613573964</v>
      </c>
      <c r="E29" s="2">
        <v>29</v>
      </c>
      <c r="F29" s="2">
        <v>1</v>
      </c>
      <c r="G29" s="2">
        <v>5</v>
      </c>
      <c r="H29" s="38">
        <f ca="1"/>
        <v>79.719210613573964</v>
      </c>
    </row>
    <row r="30" spans="1:8" x14ac:dyDescent="0.2">
      <c r="A30" s="2">
        <v>29</v>
      </c>
      <c r="D30" s="38">
        <f ca="1"/>
        <v>84.829989137641576</v>
      </c>
      <c r="E30" s="2">
        <v>30</v>
      </c>
      <c r="F30" s="2">
        <v>1</v>
      </c>
      <c r="G30" s="2">
        <v>5</v>
      </c>
      <c r="H30" s="38">
        <f ca="1"/>
        <v>79.829989137641576</v>
      </c>
    </row>
    <row r="31" spans="1:8" x14ac:dyDescent="0.2">
      <c r="A31" s="2">
        <v>30</v>
      </c>
      <c r="D31" s="38">
        <f ca="1"/>
        <v>78.094436134187077</v>
      </c>
      <c r="E31" s="2">
        <v>31</v>
      </c>
      <c r="F31" s="2">
        <v>1</v>
      </c>
      <c r="G31" s="2">
        <v>5</v>
      </c>
      <c r="H31" s="38">
        <f ca="1"/>
        <v>73.094436134187077</v>
      </c>
    </row>
    <row r="32" spans="1:8" x14ac:dyDescent="0.2">
      <c r="A32" s="2">
        <v>31</v>
      </c>
      <c r="D32" s="38">
        <f ca="1"/>
        <v>82.254213905823988</v>
      </c>
      <c r="E32" s="2">
        <v>32</v>
      </c>
      <c r="F32" s="2">
        <v>1</v>
      </c>
      <c r="G32" s="2">
        <v>5</v>
      </c>
      <c r="H32" s="38">
        <f ca="1"/>
        <v>77.254213905823988</v>
      </c>
    </row>
    <row r="33" spans="1:8" x14ac:dyDescent="0.2">
      <c r="A33" s="2">
        <v>32</v>
      </c>
      <c r="D33" s="38">
        <f ca="1"/>
        <v>76.391553418119528</v>
      </c>
      <c r="E33" s="2">
        <v>33</v>
      </c>
      <c r="F33" s="2">
        <v>1</v>
      </c>
      <c r="G33" s="2">
        <v>5</v>
      </c>
      <c r="H33" s="38">
        <f ca="1"/>
        <v>71.391553418119528</v>
      </c>
    </row>
    <row r="34" spans="1:8" x14ac:dyDescent="0.2">
      <c r="A34" s="2">
        <v>33</v>
      </c>
      <c r="D34" s="38">
        <f ca="1"/>
        <v>78.099498491631124</v>
      </c>
      <c r="E34" s="2">
        <v>34</v>
      </c>
      <c r="F34" s="2">
        <v>1</v>
      </c>
      <c r="G34" s="2">
        <v>5</v>
      </c>
      <c r="H34" s="38">
        <f ca="1"/>
        <v>73.099498491631124</v>
      </c>
    </row>
    <row r="35" spans="1:8" x14ac:dyDescent="0.2">
      <c r="A35" s="2">
        <v>34</v>
      </c>
      <c r="D35" s="38">
        <f ca="1"/>
        <v>77.609412136827743</v>
      </c>
      <c r="E35" s="2">
        <v>35</v>
      </c>
      <c r="F35" s="2">
        <v>1</v>
      </c>
      <c r="G35" s="2">
        <v>5</v>
      </c>
      <c r="H35" s="38">
        <f ca="1"/>
        <v>72.609412136827743</v>
      </c>
    </row>
    <row r="36" spans="1:8" x14ac:dyDescent="0.2">
      <c r="A36" s="2">
        <v>35</v>
      </c>
      <c r="D36" s="38">
        <f ca="1"/>
        <v>77.39514155233465</v>
      </c>
      <c r="E36" s="2">
        <v>36</v>
      </c>
      <c r="F36" s="2">
        <v>1</v>
      </c>
      <c r="G36" s="2">
        <v>5</v>
      </c>
      <c r="H36" s="38">
        <f ca="1"/>
        <v>72.39514155233465</v>
      </c>
    </row>
    <row r="37" spans="1:8" x14ac:dyDescent="0.2">
      <c r="A37" s="2">
        <v>36</v>
      </c>
      <c r="D37" s="38">
        <f ca="1"/>
        <v>78.170837239532119</v>
      </c>
      <c r="E37" s="2">
        <v>37</v>
      </c>
      <c r="F37" s="2">
        <v>1</v>
      </c>
      <c r="G37" s="2">
        <v>5</v>
      </c>
      <c r="H37" s="38">
        <f ca="1"/>
        <v>73.170837239532119</v>
      </c>
    </row>
    <row r="38" spans="1:8" x14ac:dyDescent="0.2">
      <c r="A38" s="2">
        <v>37</v>
      </c>
      <c r="D38" s="38">
        <f ca="1"/>
        <v>81.12939034951367</v>
      </c>
      <c r="E38" s="2">
        <v>38</v>
      </c>
      <c r="F38" s="2">
        <v>1</v>
      </c>
      <c r="G38" s="2">
        <v>5</v>
      </c>
      <c r="H38" s="38">
        <f ca="1"/>
        <v>76.12939034951367</v>
      </c>
    </row>
    <row r="39" spans="1:8" x14ac:dyDescent="0.2">
      <c r="A39" s="2">
        <v>38</v>
      </c>
      <c r="D39" s="38">
        <f ca="1"/>
        <v>78.195377192544711</v>
      </c>
      <c r="E39" s="2">
        <v>39</v>
      </c>
      <c r="F39" s="2">
        <v>1</v>
      </c>
      <c r="G39" s="2">
        <v>5</v>
      </c>
      <c r="H39" s="38">
        <f ca="1"/>
        <v>73.195377192544711</v>
      </c>
    </row>
    <row r="40" spans="1:8" x14ac:dyDescent="0.2">
      <c r="A40" s="2">
        <v>39</v>
      </c>
      <c r="D40" s="38">
        <f ca="1"/>
        <v>76.868435409183121</v>
      </c>
      <c r="E40" s="2">
        <v>40</v>
      </c>
      <c r="F40" s="2">
        <v>1</v>
      </c>
      <c r="G40" s="2">
        <v>5</v>
      </c>
      <c r="H40" s="38">
        <f ca="1"/>
        <v>71.868435409183121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9</xdr:col>
                    <xdr:colOff>520700</xdr:colOff>
                    <xdr:row>2</xdr:row>
                    <xdr:rowOff>152400</xdr:rowOff>
                  </from>
                  <to>
                    <xdr:col>11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workbookViewId="0">
      <selection activeCell="M16" sqref="M16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45686.855970833334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x14ac:dyDescent="0.2">
      <c r="A9" s="31"/>
      <c r="B9" s="2"/>
      <c r="C9" s="28"/>
      <c r="D9" s="28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 t="s">
        <v>29</v>
      </c>
      <c r="E10" s="2" t="s">
        <v>27</v>
      </c>
      <c r="F10" s="2"/>
      <c r="G10" s="14" t="s">
        <v>47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2" t="s">
        <v>5</v>
      </c>
      <c r="D11" s="2">
        <f>calculs_intermediaires!C18</f>
        <v>75.5</v>
      </c>
      <c r="G11" s="32" t="s">
        <v>49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C12" s="2" t="s">
        <v>9</v>
      </c>
      <c r="D12" s="2">
        <f>calculs_intermediaires!C19</f>
        <v>71</v>
      </c>
      <c r="E12" s="28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showGridLines="0" tabSelected="1" topLeftCell="S1" zoomScale="106" workbookViewId="0">
      <selection activeCell="AB8" sqref="AB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90</v>
      </c>
      <c r="V2" s="3">
        <v>10</v>
      </c>
      <c r="X2" s="2" t="s">
        <v>91</v>
      </c>
      <c r="Y2" s="25">
        <f>F5-V2+1</f>
        <v>31</v>
      </c>
      <c r="Z2"/>
      <c r="AA2" s="2" t="s">
        <v>94</v>
      </c>
      <c r="AB2" s="39">
        <f ca="1">AVERAGE(OFFSET($AB$7, 0, 0, V2, 1))</f>
        <v>73.420829582969787</v>
      </c>
      <c r="AE2" s="6" t="s">
        <v>53</v>
      </c>
      <c r="AG2" s="46">
        <v>10</v>
      </c>
    </row>
    <row r="3" spans="2:35" x14ac:dyDescent="0.2">
      <c r="E3" s="14" t="s">
        <v>52</v>
      </c>
      <c r="F3" s="44">
        <f>ROW(data_brute!A2)</f>
        <v>2</v>
      </c>
      <c r="U3"/>
      <c r="V3"/>
      <c r="W3"/>
      <c r="X3" s="2" t="s">
        <v>92</v>
      </c>
      <c r="Y3" s="27">
        <f>F5</f>
        <v>40</v>
      </c>
      <c r="Z3"/>
      <c r="AA3" s="2" t="s">
        <v>93</v>
      </c>
      <c r="AB3" s="38">
        <f ca="1">AVERAGE(data_brute!H:H)</f>
        <v>75.350872092153367</v>
      </c>
    </row>
    <row r="4" spans="2:35" x14ac:dyDescent="0.2">
      <c r="B4" s="2" t="s">
        <v>6</v>
      </c>
      <c r="C4" s="23">
        <f>interface!C6</f>
        <v>80</v>
      </c>
      <c r="E4" s="14" t="s">
        <v>54</v>
      </c>
      <c r="F4" s="45">
        <f>COUNTA(data_brute!A:A)-1</f>
        <v>39</v>
      </c>
      <c r="M4" s="14" t="s">
        <v>28</v>
      </c>
      <c r="N4" s="35">
        <f>F4</f>
        <v>39</v>
      </c>
      <c r="O4" s="14"/>
      <c r="P4" s="14" t="s">
        <v>58</v>
      </c>
      <c r="Q4" s="2">
        <f>N4-SUMIFS(Q7:Q100,R7:R100,FALSE)</f>
        <v>39</v>
      </c>
      <c r="AI4" s="2"/>
    </row>
    <row r="5" spans="2:35" x14ac:dyDescent="0.2">
      <c r="E5" s="14" t="s">
        <v>55</v>
      </c>
      <c r="F5" s="2">
        <f>F3+F4-1</f>
        <v>40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45</v>
      </c>
      <c r="P6" s="4" t="s">
        <v>46</v>
      </c>
      <c r="Q6" s="4" t="s">
        <v>48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51</v>
      </c>
      <c r="AF6" s="60" t="s">
        <v>46</v>
      </c>
      <c r="AG6" s="62" t="s">
        <v>50</v>
      </c>
      <c r="AH6" s="60" t="s">
        <v>56</v>
      </c>
    </row>
    <row r="7" spans="2:35" ht="17" thickTop="1" x14ac:dyDescent="0.2">
      <c r="M7" s="2">
        <v>1</v>
      </c>
      <c r="N7" s="2">
        <v>5</v>
      </c>
      <c r="O7" s="28">
        <f>F3</f>
        <v>2</v>
      </c>
      <c r="P7" s="2">
        <f>O7+N4-1</f>
        <v>40</v>
      </c>
      <c r="Q7" s="2">
        <f>P7-O7+1</f>
        <v>39</v>
      </c>
      <c r="R7" s="2" t="b">
        <v>1</v>
      </c>
      <c r="U7" s="59" cm="1">
        <f t="array" aca="1" ref="U7:AB16" ca="1">_xlfn._xlws.FILTER(data_brute!A:H,(data_brute!E:E&gt;=Y2)*(data_brute!E:E&lt;=Y3),"")</f>
        <v>30</v>
      </c>
      <c r="V7" s="56">
        <f ca="1"/>
        <v>0</v>
      </c>
      <c r="W7" s="57">
        <f ca="1"/>
        <v>0</v>
      </c>
      <c r="X7" s="58">
        <f ca="1"/>
        <v>78.094436134187077</v>
      </c>
      <c r="Y7" s="2">
        <f ca="1"/>
        <v>31</v>
      </c>
      <c r="Z7" s="2">
        <f ca="1"/>
        <v>1</v>
      </c>
      <c r="AA7" s="2">
        <f ca="1"/>
        <v>5</v>
      </c>
      <c r="AB7" s="38">
        <f ca="1"/>
        <v>73.094436134187077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75.159479110771855</v>
      </c>
      <c r="AH7" s="61">
        <f ca="1">IF(AG7&lt;&gt;"",$AG$2*(ROW()-ROW($AH$6)),NA())</f>
        <v>10</v>
      </c>
    </row>
    <row r="8" spans="2:35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31</v>
      </c>
      <c r="V8" s="56">
        <f ca="1"/>
        <v>0</v>
      </c>
      <c r="W8" s="57">
        <f ca="1"/>
        <v>0</v>
      </c>
      <c r="X8" s="58">
        <f ca="1"/>
        <v>82.254213905823988</v>
      </c>
      <c r="Y8" s="2">
        <f ca="1"/>
        <v>32</v>
      </c>
      <c r="Z8" s="2">
        <f ca="1"/>
        <v>1</v>
      </c>
      <c r="AA8" s="2">
        <f ca="1"/>
        <v>5</v>
      </c>
      <c r="AB8" s="67">
        <f ca="1"/>
        <v>77.254213905823988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75.251667446161875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32</v>
      </c>
      <c r="V9" s="56">
        <f ca="1"/>
        <v>0</v>
      </c>
      <c r="W9" s="57">
        <f ca="1"/>
        <v>0</v>
      </c>
      <c r="X9" s="58">
        <f ca="1"/>
        <v>76.391553418119528</v>
      </c>
      <c r="Y9" s="2">
        <f ca="1"/>
        <v>33</v>
      </c>
      <c r="Z9" s="2">
        <f ca="1"/>
        <v>1</v>
      </c>
      <c r="AA9" s="2">
        <f ca="1"/>
        <v>5</v>
      </c>
      <c r="AB9" s="38">
        <f ca="1"/>
        <v>71.391553418119528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77.345868632913351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33</v>
      </c>
      <c r="V10" s="56">
        <f ca="1"/>
        <v>0</v>
      </c>
      <c r="W10" s="57">
        <f ca="1"/>
        <v>0</v>
      </c>
      <c r="X10" s="58">
        <f ca="1"/>
        <v>78.099498491631124</v>
      </c>
      <c r="Y10" s="2">
        <f ca="1"/>
        <v>34</v>
      </c>
      <c r="Z10" s="2">
        <f ca="1"/>
        <v>1</v>
      </c>
      <c r="AA10" s="2">
        <f ca="1"/>
        <v>5</v>
      </c>
      <c r="AB10" s="38">
        <f ca="1"/>
        <v>73.099498491631124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73.457095521723403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34</v>
      </c>
      <c r="V11" s="56">
        <f ca="1"/>
        <v>0</v>
      </c>
      <c r="W11" s="57">
        <f ca="1"/>
        <v>0</v>
      </c>
      <c r="X11" s="58">
        <f ca="1"/>
        <v>77.609412136827743</v>
      </c>
      <c r="Y11" s="2">
        <f ca="1"/>
        <v>35</v>
      </c>
      <c r="Z11" s="2">
        <f ca="1"/>
        <v>1</v>
      </c>
      <c r="AA11" s="2">
        <f ca="1"/>
        <v>5</v>
      </c>
      <c r="AB11" s="38">
        <f ca="1"/>
        <v>72.609412136827743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35</v>
      </c>
      <c r="V12" s="56">
        <f ca="1"/>
        <v>0</v>
      </c>
      <c r="W12" s="57">
        <f ca="1"/>
        <v>0</v>
      </c>
      <c r="X12" s="58">
        <f ca="1"/>
        <v>77.39514155233465</v>
      </c>
      <c r="Y12" s="2">
        <f ca="1"/>
        <v>36</v>
      </c>
      <c r="Z12" s="2">
        <f ca="1"/>
        <v>1</v>
      </c>
      <c r="AA12" s="2">
        <f ca="1"/>
        <v>5</v>
      </c>
      <c r="AB12" s="38">
        <f ca="1"/>
        <v>72.39514155233465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36</v>
      </c>
      <c r="V13" s="56">
        <f ca="1"/>
        <v>0</v>
      </c>
      <c r="W13" s="57">
        <f ca="1"/>
        <v>0</v>
      </c>
      <c r="X13" s="58">
        <f ca="1"/>
        <v>78.170837239532119</v>
      </c>
      <c r="Y13" s="2">
        <f ca="1"/>
        <v>37</v>
      </c>
      <c r="Z13" s="2">
        <f ca="1"/>
        <v>1</v>
      </c>
      <c r="AA13" s="2">
        <f ca="1"/>
        <v>5</v>
      </c>
      <c r="AB13" s="38">
        <f ca="1"/>
        <v>73.170837239532119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37</v>
      </c>
      <c r="V14" s="56">
        <f ca="1"/>
        <v>0</v>
      </c>
      <c r="W14" s="57">
        <f ca="1"/>
        <v>0</v>
      </c>
      <c r="X14" s="58">
        <f ca="1"/>
        <v>81.12939034951367</v>
      </c>
      <c r="Y14" s="2">
        <f ca="1"/>
        <v>38</v>
      </c>
      <c r="Z14" s="2">
        <f ca="1"/>
        <v>1</v>
      </c>
      <c r="AA14" s="2">
        <f ca="1"/>
        <v>5</v>
      </c>
      <c r="AB14" s="38">
        <f ca="1"/>
        <v>76.12939034951367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38</v>
      </c>
      <c r="V15" s="56">
        <f ca="1"/>
        <v>0</v>
      </c>
      <c r="W15" s="57">
        <f ca="1"/>
        <v>0</v>
      </c>
      <c r="X15" s="58">
        <f ca="1"/>
        <v>78.195377192544711</v>
      </c>
      <c r="Y15" s="2">
        <f ca="1"/>
        <v>39</v>
      </c>
      <c r="Z15" s="2">
        <f ca="1"/>
        <v>1</v>
      </c>
      <c r="AA15" s="2">
        <f ca="1"/>
        <v>5</v>
      </c>
      <c r="AB15" s="38">
        <f ca="1"/>
        <v>73.195377192544711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39</v>
      </c>
      <c r="V16" s="56">
        <f ca="1"/>
        <v>0</v>
      </c>
      <c r="W16" s="57">
        <f ca="1"/>
        <v>0</v>
      </c>
      <c r="X16" s="58">
        <f ca="1"/>
        <v>76.868435409183121</v>
      </c>
      <c r="Y16" s="2">
        <f ca="1"/>
        <v>40</v>
      </c>
      <c r="Z16" s="2">
        <f ca="1"/>
        <v>1</v>
      </c>
      <c r="AA16" s="2">
        <f ca="1"/>
        <v>5</v>
      </c>
      <c r="AB16" s="38">
        <f ca="1"/>
        <v>71.868435409183121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87</v>
      </c>
      <c r="B1" s="2" t="s">
        <v>86</v>
      </c>
    </row>
    <row r="2" spans="1:2" x14ac:dyDescent="0.2">
      <c r="A2" s="2" t="s">
        <v>88</v>
      </c>
      <c r="B2" s="2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31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81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83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82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41</v>
      </c>
      <c r="C2" s="25" t="s">
        <v>44</v>
      </c>
      <c r="E2" s="4" t="s">
        <v>43</v>
      </c>
    </row>
    <row r="3" spans="2:5" x14ac:dyDescent="0.2">
      <c r="B3" s="2" t="s">
        <v>42</v>
      </c>
      <c r="C3" s="27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59</v>
      </c>
      <c r="G2" s="52" t="s">
        <v>60</v>
      </c>
      <c r="H2" s="52" t="s">
        <v>72</v>
      </c>
      <c r="I2" s="53" t="s">
        <v>74</v>
      </c>
      <c r="J2" s="53" t="s">
        <v>76</v>
      </c>
      <c r="K2" s="53" t="s">
        <v>77</v>
      </c>
      <c r="L2" s="53" t="s">
        <v>78</v>
      </c>
      <c r="M2" s="53" t="s">
        <v>79</v>
      </c>
    </row>
    <row r="3" spans="2:13" ht="409.6" x14ac:dyDescent="0.2">
      <c r="B3" s="49" t="s">
        <v>62</v>
      </c>
      <c r="C3" s="49" t="s">
        <v>63</v>
      </c>
      <c r="D3" s="49" t="s">
        <v>39</v>
      </c>
      <c r="E3" s="49" t="s">
        <v>38</v>
      </c>
      <c r="F3" s="49" t="s">
        <v>66</v>
      </c>
      <c r="G3" s="49" t="s">
        <v>61</v>
      </c>
      <c r="H3" s="49" t="s">
        <v>73</v>
      </c>
      <c r="I3" s="49" t="s">
        <v>75</v>
      </c>
      <c r="J3" s="49" t="s">
        <v>75</v>
      </c>
      <c r="K3" s="49" t="s">
        <v>84</v>
      </c>
      <c r="L3" s="49" t="s">
        <v>85</v>
      </c>
      <c r="M3" s="49" t="s">
        <v>80</v>
      </c>
    </row>
    <row r="4" spans="2:13" ht="17" x14ac:dyDescent="0.2">
      <c r="B4" s="49" t="s">
        <v>34</v>
      </c>
      <c r="C4" s="49" t="s">
        <v>64</v>
      </c>
      <c r="D4" s="49"/>
      <c r="E4" s="49"/>
      <c r="F4" s="49" t="s">
        <v>67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65</v>
      </c>
      <c r="D5" s="49"/>
      <c r="E5" s="49"/>
      <c r="F5" s="49" t="s">
        <v>68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69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70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71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data_brute</vt:lpstr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2025-01-29T20:32:35Z</dcterms:modified>
</cp:coreProperties>
</file>