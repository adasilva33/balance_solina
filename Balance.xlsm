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C73CA190-0D96-294F-B17D-EEA3C9D83B7F}" xr6:coauthVersionLast="47" xr6:coauthVersionMax="47" xr10:uidLastSave="{00000000-0000-0000-0000-000000000000}"/>
  <bookViews>
    <workbookView xWindow="0" yWindow="760" windowWidth="28740" windowHeight="17180" xr2:uid="{5FB1850A-4562-1941-A4C6-C6D993284B38}"/>
  </bookViews>
  <sheets>
    <sheet name="interface" sheetId="1" r:id="rId1"/>
    <sheet name="calculs_intermediaires" sheetId="3" r:id="rId2"/>
    <sheet name="idea" sheetId="9" r:id="rId3"/>
    <sheet name="test" sheetId="8" r:id="rId4"/>
    <sheet name="draft" sheetId="6" r:id="rId5"/>
    <sheet name="pop_up" sheetId="5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8" l="1"/>
  <c r="C9" i="8"/>
  <c r="F9" i="8"/>
  <c r="E3" i="6" a="1"/>
  <c r="E3" i="6" s="1"/>
  <c r="G9" i="8"/>
  <c r="E9" i="8"/>
  <c r="D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<sst xmlns="http://schemas.openxmlformats.org/spreadsheetml/2006/main" count="118" uniqueCount="101">
  <si>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</si>
  <si>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</si>
  <si>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</si>
  <si>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</si>
  <si>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</si>
  <si>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</si>
  <si>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</si>
  <si>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</si>
  <si>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</si>
  <si>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</si>
  <si>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</si>
  <si>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</si>
  <si>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</si>
  <si>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</si>
  <si>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</si>
  <si>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</si>
  <si>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</si>
  <si>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</si>
  <si>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</si>
  <si>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</si>
  <si>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</si>
  <si>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</si>
  <si>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</si>
  <si>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</si>
  <si>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</si>
  <si>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</si>
  <si>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</si>
  <si>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</si>
  <si>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</si>
  <si>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</si>
  <si>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</si>
  <si>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</si>
  <si>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</si>
  <si>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</si>
  <si>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</si>
  <si>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</si>
  <si>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</si>
  <si>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</si>
  <si>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</si>
  <si>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</si>
  <si>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</si>
  <si>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</si>
  <si>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</si>
  <si>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</si>
  <si>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</si>
  <si>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</si>
  <si>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</si>
  <si>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</si>
  <si>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</si>
  <si>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</si>
  <si>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</si>
  <si>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</si>
  <si>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</si>
  <si>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</si>
  <si>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</si>
  <si>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</si>
  <si>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</si>
  <si>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</si>
  <si>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</si>
  <si>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</si>
  <si>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</si>
  <si>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</si>
  <si>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</si>
  <si>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</si>
  <si>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</si>
  <si>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</si>
  <si>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</si>
  <si>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</si>
  <si>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</si>
  <si>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</si>
  <si>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</si>
  <si>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</si>
  <si>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</si>
  <si>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</si>
  <si>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</si>
  <si>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</si>
  <si>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</si>
  <si>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</si>
  <si>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</si>
  <si>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</si>
  <si>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</si>
  <si>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</si>
  <si>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</si>
  <si>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</si>
  <si>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</si>
  <si>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</si>
  <si>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</si>
  <si>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</si>
  <si>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</si>
  <si>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</si>
  <si>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</si>
  <si>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</si>
  <si>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</si>
  <si>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</si>
  <si>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</si>
  <si>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</si>
  <si>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</si>
  <si>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</si>
  <si>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</si>
  <si>
    <t>hio</t>
  </si>
  <si>
    <t>deloz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</si>
</sst>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79.344622291604963</c:v>
                </c:pt>
                <c:pt idx="1">
                  <c:v>75.837445213037256</c:v>
                </c:pt>
                <c:pt idx="2">
                  <c:v>78.04304885259431</c:v>
                </c:pt>
                <c:pt idx="3">
                  <c:v>71.382859343815909</c:v>
                </c:pt>
                <c:pt idx="4">
                  <c:v>77.264781122803555</c:v>
                </c:pt>
                <c:pt idx="5">
                  <c:v>74.360428840334251</c:v>
                </c:pt>
                <c:pt idx="6">
                  <c:v>70.517376392609307</c:v>
                </c:pt>
                <c:pt idx="7">
                  <c:v>76.068390988814983</c:v>
                </c:pt>
                <c:pt idx="8">
                  <c:v>75.531483661479584</c:v>
                </c:pt>
                <c:pt idx="9">
                  <c:v>70.700192465151176</c:v>
                </c:pt>
                <c:pt idx="10">
                  <c:v>75.143704058343204</c:v>
                </c:pt>
                <c:pt idx="11">
                  <c:v>76.284882240835671</c:v>
                </c:pt>
                <c:pt idx="12">
                  <c:v>74.156076833390387</c:v>
                </c:pt>
                <c:pt idx="13">
                  <c:v>71.141820599006309</c:v>
                </c:pt>
                <c:pt idx="14">
                  <c:v>76.337717926819352</c:v>
                </c:pt>
                <c:pt idx="15">
                  <c:v>75.655512339158349</c:v>
                </c:pt>
                <c:pt idx="16">
                  <c:v>79.912107796810844</c:v>
                </c:pt>
                <c:pt idx="17">
                  <c:v>78.283575978411022</c:v>
                </c:pt>
                <c:pt idx="18">
                  <c:v>73.739552902044423</c:v>
                </c:pt>
                <c:pt idx="19">
                  <c:v>71.392409431897917</c:v>
                </c:pt>
                <c:pt idx="20">
                  <c:v>72.775468058792853</c:v>
                </c:pt>
                <c:pt idx="21">
                  <c:v>78.615172369169684</c:v>
                </c:pt>
                <c:pt idx="22">
                  <c:v>78.343344638650507</c:v>
                </c:pt>
                <c:pt idx="23">
                  <c:v>71.807703105472498</c:v>
                </c:pt>
                <c:pt idx="24">
                  <c:v>75.652221197261085</c:v>
                </c:pt>
                <c:pt idx="25">
                  <c:v>71.897635597260916</c:v>
                </c:pt>
                <c:pt idx="26">
                  <c:v>79.400552248159812</c:v>
                </c:pt>
                <c:pt idx="27">
                  <c:v>77.142755155171955</c:v>
                </c:pt>
                <c:pt idx="28">
                  <c:v>79.939561525243363</c:v>
                </c:pt>
                <c:pt idx="29">
                  <c:v>77.871035852999242</c:v>
                </c:pt>
                <c:pt idx="30">
                  <c:v>77.031943515887889</c:v>
                </c:pt>
                <c:pt idx="31">
                  <c:v>71.417305723119043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74.905062917224512</c:v>
                </c:pt>
                <c:pt idx="1">
                  <c:v>74.983893469591848</c:v>
                </c:pt>
                <c:pt idx="2">
                  <c:v>76.283566448035998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tabSelected="1" zoomScale="110" workbookViewId="0">
      <pane ySplit="15" topLeftCell="A16" activePane="bottomLeft" state="frozen"/>
      <selection pane="bottomLeft" activeCell="H14" sqref="H14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45685.847107407404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75.406021508317238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19</v>
      </c>
      <c r="H3"/>
      <c r="I3"/>
      <c r="N3" s="14" t="s">
        <v>54</v>
      </c>
      <c r="O3" s="41">
        <f ca="1">calculs_intermediaires!AB2</f>
        <v>76.050405855922619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30</v>
      </c>
      <c r="H4" t="s">
        <v>99</v>
      </c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H13" s="29" t="s">
        <v>100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45685</v>
      </c>
      <c r="D16" s="34">
        <v>0.4289351851851852</v>
      </c>
      <c r="E16" s="39" cm="1">
        <f t="array" aca="1" ref="E16:E47" ca="1">_xlfn.RANDARRAY(G10,1,75,85,FALSE)</f>
        <v>84.344622291604963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79.344622291604963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80.837445213037256</v>
      </c>
      <c r="F17" s="29">
        <v>17</v>
      </c>
      <c r="G17" s="29">
        <v>1</v>
      </c>
      <c r="H17" s="29">
        <v>5</v>
      </c>
      <c r="I17" s="39">
        <f ca="1"/>
        <v>75.837445213037256</v>
      </c>
      <c r="J17" s="2" t="b">
        <v>1</v>
      </c>
      <c r="K17" s="2" t="b">
        <f ca="1"/>
        <v>1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45685</v>
      </c>
      <c r="D18" s="34">
        <v>0.4289351851851852</v>
      </c>
      <c r="E18" s="39">
        <f ca="1"/>
        <v>83.04304885259431</v>
      </c>
      <c r="F18" s="29">
        <v>18</v>
      </c>
      <c r="G18" s="29">
        <v>1</v>
      </c>
      <c r="H18" s="29">
        <v>5</v>
      </c>
      <c r="I18" s="39">
        <f ca="1"/>
        <v>78.04304885259431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45685</v>
      </c>
      <c r="D19" s="34">
        <v>0.4289351851851852</v>
      </c>
      <c r="E19" s="39">
        <f ca="1"/>
        <v>76.382859343815909</v>
      </c>
      <c r="F19" s="29">
        <v>19</v>
      </c>
      <c r="G19" s="29">
        <v>1</v>
      </c>
      <c r="H19" s="29">
        <v>5</v>
      </c>
      <c r="I19" s="39">
        <f ca="1"/>
        <v>71.382859343815909</v>
      </c>
      <c r="J19" s="2" t="b">
        <v>1</v>
      </c>
      <c r="K19" s="2" t="b">
        <f ca="1"/>
        <v>0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45685</v>
      </c>
      <c r="D20" s="34">
        <v>0.4289351851851852</v>
      </c>
      <c r="E20" s="39">
        <f ca="1"/>
        <v>82.264781122803555</v>
      </c>
      <c r="F20" s="29">
        <v>20</v>
      </c>
      <c r="G20" s="29">
        <v>1</v>
      </c>
      <c r="H20" s="29">
        <v>5</v>
      </c>
      <c r="I20" s="39">
        <f ca="1"/>
        <v>77.264781122803555</v>
      </c>
      <c r="J20" s="2" t="b">
        <v>1</v>
      </c>
      <c r="K20" s="2" t="b">
        <f ca="1"/>
        <v>1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45685</v>
      </c>
      <c r="D21" s="34">
        <v>0.4289351851851852</v>
      </c>
      <c r="E21" s="39">
        <f ca="1"/>
        <v>79.360428840334251</v>
      </c>
      <c r="F21" s="29">
        <v>21</v>
      </c>
      <c r="G21" s="29">
        <v>1</v>
      </c>
      <c r="H21" s="29">
        <v>5</v>
      </c>
      <c r="I21" s="39">
        <f ca="1"/>
        <v>74.360428840334251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45685</v>
      </c>
      <c r="D22" s="34">
        <v>0.4289351851851852</v>
      </c>
      <c r="E22" s="39">
        <f ca="1"/>
        <v>75.517376392609307</v>
      </c>
      <c r="F22" s="29">
        <v>22</v>
      </c>
      <c r="G22" s="29">
        <v>1</v>
      </c>
      <c r="H22" s="29">
        <v>5</v>
      </c>
      <c r="I22" s="39">
        <f ca="1"/>
        <v>70.517376392609307</v>
      </c>
      <c r="J22" s="2" t="b">
        <v>1</v>
      </c>
      <c r="K22" s="2" t="b">
        <f ca="1"/>
        <v>0</v>
      </c>
      <c r="L22" s="2" t="b">
        <f ca="1"/>
        <v>0</v>
      </c>
      <c r="M22" s="2">
        <v>80</v>
      </c>
    </row>
    <row r="23" spans="2:13" x14ac:dyDescent="0.2">
      <c r="B23" s="29">
        <v>8</v>
      </c>
      <c r="C23" s="33">
        <f t="shared" ca="1" si="0"/>
        <v>45685</v>
      </c>
      <c r="D23" s="34">
        <v>0.4289351851851852</v>
      </c>
      <c r="E23" s="39">
        <f ca="1"/>
        <v>81.068390988814983</v>
      </c>
      <c r="F23" s="29">
        <v>23</v>
      </c>
      <c r="G23" s="29">
        <v>1</v>
      </c>
      <c r="H23" s="29">
        <v>5</v>
      </c>
      <c r="I23" s="39">
        <f ca="1"/>
        <v>76.068390988814983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45685</v>
      </c>
      <c r="D24" s="34">
        <v>0.4289351851851852</v>
      </c>
      <c r="E24" s="39">
        <f ca="1"/>
        <v>80.531483661479584</v>
      </c>
      <c r="F24" s="29">
        <v>24</v>
      </c>
      <c r="G24" s="29">
        <v>1</v>
      </c>
      <c r="H24" s="29">
        <v>5</v>
      </c>
      <c r="I24" s="39">
        <f ca="1"/>
        <v>75.531483661479584</v>
      </c>
      <c r="J24" s="2" t="b">
        <v>1</v>
      </c>
      <c r="K24" s="2" t="b">
        <f ca="1"/>
        <v>1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45685</v>
      </c>
      <c r="D25" s="34">
        <v>0.4289351851851852</v>
      </c>
      <c r="E25" s="39">
        <f ca="1"/>
        <v>75.700192465151176</v>
      </c>
      <c r="F25" s="29">
        <v>25</v>
      </c>
      <c r="G25" s="29">
        <v>1</v>
      </c>
      <c r="H25" s="29">
        <v>5</v>
      </c>
      <c r="I25" s="39">
        <f ca="1"/>
        <v>70.700192465151176</v>
      </c>
      <c r="J25" s="2" t="b">
        <v>1</v>
      </c>
      <c r="K25" s="2" t="b">
        <f ca="1"/>
        <v>0</v>
      </c>
      <c r="L25" s="2" t="b">
        <f ca="1"/>
        <v>0</v>
      </c>
      <c r="M25" s="2">
        <v>80</v>
      </c>
    </row>
    <row r="26" spans="2:13" x14ac:dyDescent="0.2">
      <c r="B26" s="29">
        <v>11</v>
      </c>
      <c r="E26" s="39">
        <f ca="1"/>
        <v>80.143704058343204</v>
      </c>
      <c r="F26" s="29">
        <v>26</v>
      </c>
      <c r="G26" s="29">
        <v>1</v>
      </c>
      <c r="H26" s="29">
        <v>5</v>
      </c>
      <c r="I26" s="39">
        <f ca="1"/>
        <v>75.143704058343204</v>
      </c>
      <c r="J26" s="2" t="b">
        <v>1</v>
      </c>
      <c r="K26" s="2" t="b">
        <f ca="1"/>
        <v>0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81.284882240835671</v>
      </c>
      <c r="F27" s="29">
        <v>27</v>
      </c>
      <c r="G27" s="29">
        <v>1</v>
      </c>
      <c r="H27" s="29">
        <v>5</v>
      </c>
      <c r="I27" s="39">
        <f ca="1"/>
        <v>76.284882240835671</v>
      </c>
      <c r="J27" s="2" t="b">
        <v>1</v>
      </c>
      <c r="K27" s="2" t="b">
        <f ca="1"/>
        <v>1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79.156076833390387</v>
      </c>
      <c r="F28" s="29">
        <v>28</v>
      </c>
      <c r="G28" s="29">
        <v>1</v>
      </c>
      <c r="H28" s="29">
        <v>5</v>
      </c>
      <c r="I28" s="39">
        <f ca="1"/>
        <v>74.156076833390387</v>
      </c>
      <c r="J28" s="2" t="b">
        <v>1</v>
      </c>
      <c r="K28" s="2" t="b">
        <f ca="1"/>
        <v>0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76.141820599006309</v>
      </c>
      <c r="F29" s="29">
        <v>29</v>
      </c>
      <c r="G29" s="29">
        <v>1</v>
      </c>
      <c r="H29" s="29">
        <v>5</v>
      </c>
      <c r="I29" s="39">
        <f ca="1"/>
        <v>71.141820599006309</v>
      </c>
      <c r="J29" s="2" t="b">
        <v>1</v>
      </c>
      <c r="K29" s="2" t="b">
        <f ca="1"/>
        <v>0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81.337717926819352</v>
      </c>
      <c r="F30" s="29">
        <v>30</v>
      </c>
      <c r="G30" s="29">
        <v>1</v>
      </c>
      <c r="H30" s="29">
        <v>5</v>
      </c>
      <c r="I30" s="39">
        <f ca="1"/>
        <v>76.337717926819352</v>
      </c>
      <c r="J30" s="2" t="b">
        <v>1</v>
      </c>
      <c r="K30" s="2" t="b">
        <f ca="1"/>
        <v>1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80.655512339158349</v>
      </c>
      <c r="F31" s="29">
        <v>31</v>
      </c>
      <c r="G31" s="29">
        <v>1</v>
      </c>
      <c r="H31" s="29">
        <v>5</v>
      </c>
      <c r="I31" s="39">
        <f ca="1"/>
        <v>75.655512339158349</v>
      </c>
      <c r="J31" s="2" t="b">
        <v>1</v>
      </c>
      <c r="K31" s="2" t="b">
        <f ca="1"/>
        <v>1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84.912107796810844</v>
      </c>
      <c r="F32" s="29">
        <v>32</v>
      </c>
      <c r="G32" s="29">
        <v>1</v>
      </c>
      <c r="H32" s="29">
        <v>5</v>
      </c>
      <c r="I32" s="39">
        <f ca="1"/>
        <v>79.912107796810844</v>
      </c>
      <c r="J32" s="2" t="b">
        <v>1</v>
      </c>
      <c r="K32" s="2" t="b">
        <f ca="1"/>
        <v>1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83.283575978411022</v>
      </c>
      <c r="F33" s="29">
        <v>33</v>
      </c>
      <c r="G33" s="29">
        <v>1</v>
      </c>
      <c r="H33" s="29">
        <v>5</v>
      </c>
      <c r="I33" s="39">
        <f ca="1"/>
        <v>78.283575978411022</v>
      </c>
      <c r="J33" s="2" t="b">
        <v>1</v>
      </c>
      <c r="K33" s="2" t="b">
        <f ca="1"/>
        <v>1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78.739552902044423</v>
      </c>
      <c r="F34" s="29">
        <v>34</v>
      </c>
      <c r="G34" s="29">
        <v>1</v>
      </c>
      <c r="H34" s="29">
        <v>5</v>
      </c>
      <c r="I34" s="39">
        <f ca="1"/>
        <v>73.739552902044423</v>
      </c>
      <c r="J34" s="2" t="b">
        <v>1</v>
      </c>
      <c r="K34" s="2" t="b">
        <f ca="1"/>
        <v>0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76.392409431897917</v>
      </c>
      <c r="F35" s="29">
        <v>35</v>
      </c>
      <c r="G35" s="29">
        <v>1</v>
      </c>
      <c r="H35" s="29">
        <v>5</v>
      </c>
      <c r="I35" s="39">
        <f ca="1"/>
        <v>71.392409431897917</v>
      </c>
      <c r="J35" s="2" t="b">
        <v>1</v>
      </c>
      <c r="K35" s="2" t="b">
        <f ca="1"/>
        <v>0</v>
      </c>
      <c r="L35" s="2" t="b">
        <f ca="1"/>
        <v>1</v>
      </c>
      <c r="M35" s="2">
        <v>80</v>
      </c>
    </row>
    <row r="36" spans="2:13" x14ac:dyDescent="0.2">
      <c r="B36" s="29">
        <v>21</v>
      </c>
      <c r="E36" s="39">
        <f ca="1"/>
        <v>77.775468058792853</v>
      </c>
      <c r="F36" s="29">
        <v>36</v>
      </c>
      <c r="G36" s="29">
        <v>1</v>
      </c>
      <c r="H36" s="29">
        <v>5</v>
      </c>
      <c r="I36" s="39">
        <f ca="1"/>
        <v>72.775468058792853</v>
      </c>
      <c r="J36" s="2" t="b">
        <v>1</v>
      </c>
      <c r="K36" s="2" t="b">
        <f ca="1"/>
        <v>0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83.615172369169684</v>
      </c>
      <c r="F37" s="29">
        <v>37</v>
      </c>
      <c r="G37" s="29">
        <v>1</v>
      </c>
      <c r="H37" s="29">
        <v>5</v>
      </c>
      <c r="I37" s="39">
        <f ca="1"/>
        <v>78.615172369169684</v>
      </c>
      <c r="J37" s="2" t="b">
        <v>1</v>
      </c>
      <c r="K37" s="2" t="b">
        <f ca="1"/>
        <v>1</v>
      </c>
      <c r="L37" s="2" t="b">
        <f ca="1"/>
        <v>1</v>
      </c>
      <c r="M37" s="2">
        <v>80</v>
      </c>
    </row>
    <row r="38" spans="2:13" x14ac:dyDescent="0.2">
      <c r="B38" s="29">
        <v>23</v>
      </c>
      <c r="E38" s="39">
        <f ca="1"/>
        <v>83.343344638650507</v>
      </c>
      <c r="F38" s="29">
        <v>38</v>
      </c>
      <c r="G38" s="29">
        <v>1</v>
      </c>
      <c r="H38" s="29">
        <v>5</v>
      </c>
      <c r="I38" s="39">
        <f ca="1"/>
        <v>78.343344638650507</v>
      </c>
      <c r="J38" s="2" t="b">
        <v>1</v>
      </c>
      <c r="K38" s="2" t="b">
        <f ca="1"/>
        <v>1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76.807703105472498</v>
      </c>
      <c r="F39" s="29">
        <v>39</v>
      </c>
      <c r="G39" s="29">
        <v>1</v>
      </c>
      <c r="H39" s="29">
        <v>5</v>
      </c>
      <c r="I39" s="39">
        <f ca="1"/>
        <v>71.807703105472498</v>
      </c>
      <c r="J39" s="2" t="b">
        <v>1</v>
      </c>
      <c r="K39" s="2" t="b">
        <f ca="1"/>
        <v>0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80.652221197261085</v>
      </c>
      <c r="F40" s="29">
        <v>40</v>
      </c>
      <c r="G40" s="29">
        <v>1</v>
      </c>
      <c r="H40" s="29">
        <v>5</v>
      </c>
      <c r="I40" s="39">
        <f ca="1"/>
        <v>75.652221197261085</v>
      </c>
      <c r="J40" s="2" t="b">
        <v>1</v>
      </c>
      <c r="K40" s="2" t="b">
        <f ca="1"/>
        <v>1</v>
      </c>
      <c r="L40" s="2" t="b">
        <f ca="1"/>
        <v>1</v>
      </c>
      <c r="M40" s="2">
        <v>80</v>
      </c>
    </row>
    <row r="41" spans="2:13" x14ac:dyDescent="0.2">
      <c r="B41" s="29">
        <v>26</v>
      </c>
      <c r="E41" s="39">
        <f ca="1"/>
        <v>76.897635597260916</v>
      </c>
      <c r="F41" s="29">
        <v>41</v>
      </c>
      <c r="G41" s="29">
        <v>1</v>
      </c>
      <c r="H41" s="29">
        <v>5</v>
      </c>
      <c r="I41" s="39">
        <f ca="1"/>
        <v>71.897635597260916</v>
      </c>
      <c r="J41" s="2" t="b">
        <v>1</v>
      </c>
      <c r="K41" s="2" t="b">
        <f ca="1"/>
        <v>0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84.400552248159812</v>
      </c>
      <c r="F42" s="29">
        <v>42</v>
      </c>
      <c r="G42" s="29">
        <v>1</v>
      </c>
      <c r="H42" s="29">
        <v>5</v>
      </c>
      <c r="I42" s="39">
        <f ca="1"/>
        <v>79.400552248159812</v>
      </c>
      <c r="J42" s="2" t="b">
        <v>1</v>
      </c>
      <c r="K42" s="2" t="b">
        <f ca="1"/>
        <v>1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82.142755155171955</v>
      </c>
      <c r="F43" s="29">
        <v>43</v>
      </c>
      <c r="G43" s="29">
        <v>1</v>
      </c>
      <c r="H43" s="29">
        <v>5</v>
      </c>
      <c r="I43" s="39">
        <f ca="1"/>
        <v>77.142755155171955</v>
      </c>
      <c r="J43" s="2" t="b">
        <v>1</v>
      </c>
      <c r="K43" s="2" t="b">
        <f ca="1"/>
        <v>1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84.939561525243363</v>
      </c>
      <c r="F44" s="29">
        <v>44</v>
      </c>
      <c r="G44" s="29">
        <v>1</v>
      </c>
      <c r="H44" s="29">
        <v>5</v>
      </c>
      <c r="I44" s="39">
        <f ca="1"/>
        <v>79.939561525243363</v>
      </c>
      <c r="J44" s="2" t="b">
        <v>1</v>
      </c>
      <c r="K44" s="2" t="b">
        <f ca="1"/>
        <v>1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82.871035852999242</v>
      </c>
      <c r="F45" s="29">
        <v>45</v>
      </c>
      <c r="G45" s="29">
        <v>1</v>
      </c>
      <c r="H45" s="29">
        <v>5</v>
      </c>
      <c r="I45" s="39">
        <f ca="1"/>
        <v>77.871035852999242</v>
      </c>
      <c r="J45" s="2" t="b">
        <v>1</v>
      </c>
      <c r="K45" s="2" t="b">
        <f ca="1"/>
        <v>1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82.031943515887889</v>
      </c>
      <c r="F46" s="29">
        <v>46</v>
      </c>
      <c r="G46" s="29">
        <v>1</v>
      </c>
      <c r="H46" s="29">
        <v>5</v>
      </c>
      <c r="I46" s="39">
        <f ca="1"/>
        <v>77.031943515887889</v>
      </c>
      <c r="J46" s="2" t="b">
        <v>1</v>
      </c>
      <c r="K46" s="2" t="b">
        <f ca="1"/>
        <v>1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76.417305723119043</v>
      </c>
      <c r="F47" s="29">
        <v>47</v>
      </c>
      <c r="G47" s="29">
        <v>1</v>
      </c>
      <c r="H47" s="29">
        <v>5</v>
      </c>
      <c r="I47" s="39">
        <f ca="1"/>
        <v>71.417305723119043</v>
      </c>
      <c r="J47" s="2" t="b">
        <v>1</v>
      </c>
      <c r="K47" s="2" t="b">
        <f ca="1"/>
        <v>0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76.050405855922619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83.343344638650507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78.343344638650507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74.905062917224512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76.807703105472498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71.807703105472498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74.983893469591848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80.652221197261085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75.652221197261085</v>
      </c>
      <c r="AE7" s="8">
        <f t="shared" ref="AE7:AE70" si="1">AF6+1</f>
        <v>37</v>
      </c>
      <c r="AF7" s="2">
        <f t="shared" ref="AF7:AF70" si="2">AE7+$AG$2</f>
        <v>47</v>
      </c>
      <c r="AG7" s="41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76.283566448035998</v>
      </c>
      <c r="AH7" s="63">
        <f t="shared" ca="1" si="0"/>
        <v>30</v>
      </c>
    </row>
    <row r="8" spans="2:35" x14ac:dyDescent="0.2">
      <c r="B8" s="75" t="s">
        <v>6</v>
      </c>
      <c r="C8" s="76"/>
      <c r="D8" s="77" t="s">
        <v>17</v>
      </c>
      <c r="E8" s="75" t="s">
        <v>15</v>
      </c>
      <c r="F8" s="76"/>
      <c r="G8" s="7" t="s">
        <v>18</v>
      </c>
      <c r="H8" s="77" t="s">
        <v>20</v>
      </c>
      <c r="I8" s="75"/>
      <c r="J8" s="76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76.897635597260916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71.897635597260916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8"/>
      <c r="E9" s="18" t="s">
        <v>14</v>
      </c>
      <c r="F9" s="19" t="s">
        <v>16</v>
      </c>
      <c r="G9" s="25" t="s">
        <v>19</v>
      </c>
      <c r="H9" s="78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84.400552248159812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79.400552248159812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82.142755155171955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77.142755155171955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84.939561525243363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79.939561525243363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82.871035852999242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77.871035852999242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82.031943515887889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77.031943515887889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76.417305723119043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71.417305723119043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2"/>
      <c r="C29" s="2"/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32"/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96</v>
      </c>
      <c r="B1" s="2" t="s">
        <v>95</v>
      </c>
    </row>
    <row r="2" spans="1:2" x14ac:dyDescent="0.2">
      <c r="A2" s="2" t="s">
        <v>97</v>
      </c>
      <c r="B2" s="2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8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73">
        <v>10</v>
      </c>
      <c r="D2" s="43"/>
      <c r="E2" s="43"/>
      <c r="F2" s="43"/>
      <c r="G2" s="43"/>
      <c r="H2" s="74">
        <v>11</v>
      </c>
    </row>
    <row r="3" spans="2:8" x14ac:dyDescent="0.2">
      <c r="B3" s="8" t="s">
        <v>90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92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25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26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0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1" t="s">
        <v>34</v>
      </c>
      <c r="C2" s="71" t="s">
        <v>36</v>
      </c>
      <c r="D2" s="71" t="s">
        <v>37</v>
      </c>
      <c r="E2" s="71" t="s">
        <v>38</v>
      </c>
      <c r="F2" s="71" t="s">
        <v>65</v>
      </c>
      <c r="G2" s="71" t="s">
        <v>66</v>
      </c>
      <c r="H2" s="71" t="s">
        <v>81</v>
      </c>
      <c r="I2" s="72" t="s">
        <v>83</v>
      </c>
      <c r="J2" s="72" t="s">
        <v>85</v>
      </c>
      <c r="K2" s="72" t="s">
        <v>86</v>
      </c>
      <c r="L2" s="72" t="s">
        <v>87</v>
      </c>
      <c r="M2" s="72" t="s">
        <v>88</v>
      </c>
    </row>
    <row r="3" spans="2:13" ht="409.6" x14ac:dyDescent="0.2">
      <c r="B3" s="68" t="s">
        <v>68</v>
      </c>
      <c r="C3" s="68" t="s">
        <v>69</v>
      </c>
      <c r="D3" s="68" t="s">
        <v>40</v>
      </c>
      <c r="E3" s="68" t="s">
        <v>39</v>
      </c>
      <c r="F3" s="68" t="s">
        <v>72</v>
      </c>
      <c r="G3" s="68" t="s">
        <v>67</v>
      </c>
      <c r="H3" s="68" t="s">
        <v>82</v>
      </c>
      <c r="I3" s="68" t="s">
        <v>84</v>
      </c>
      <c r="J3" s="68" t="s">
        <v>84</v>
      </c>
      <c r="K3" s="68" t="s">
        <v>93</v>
      </c>
      <c r="L3" s="68" t="s">
        <v>94</v>
      </c>
      <c r="M3" s="68" t="s">
        <v>89</v>
      </c>
    </row>
    <row r="4" spans="2:13" ht="17" x14ac:dyDescent="0.2">
      <c r="B4" s="68" t="s">
        <v>35</v>
      </c>
      <c r="C4" s="68" t="s">
        <v>70</v>
      </c>
      <c r="D4" s="68"/>
      <c r="E4" s="68"/>
      <c r="F4" s="68" t="s">
        <v>73</v>
      </c>
      <c r="G4" s="68"/>
      <c r="H4" s="68"/>
      <c r="I4" s="68"/>
      <c r="J4" s="68"/>
      <c r="K4" s="68"/>
      <c r="L4" s="68"/>
      <c r="M4" s="68"/>
    </row>
    <row r="5" spans="2:13" ht="17" x14ac:dyDescent="0.2">
      <c r="B5" s="68"/>
      <c r="C5" s="69" t="s">
        <v>71</v>
      </c>
      <c r="D5" s="68"/>
      <c r="E5" s="68"/>
      <c r="F5" s="68" t="s">
        <v>74</v>
      </c>
      <c r="G5" s="68"/>
      <c r="H5" s="68"/>
      <c r="I5" s="68"/>
      <c r="J5" s="68"/>
      <c r="K5" s="68"/>
      <c r="L5" s="68"/>
      <c r="M5" s="68"/>
    </row>
    <row r="6" spans="2:13" ht="17" x14ac:dyDescent="0.2">
      <c r="B6" s="68"/>
      <c r="C6" s="68"/>
      <c r="D6" s="68"/>
      <c r="E6" s="68"/>
      <c r="F6" s="68" t="s">
        <v>75</v>
      </c>
      <c r="G6" s="68"/>
      <c r="H6" s="68"/>
      <c r="I6" s="68"/>
      <c r="J6" s="68"/>
      <c r="K6" s="68"/>
      <c r="L6" s="68"/>
      <c r="M6" s="68"/>
    </row>
    <row r="7" spans="2:13" ht="17" x14ac:dyDescent="0.2">
      <c r="B7" s="68"/>
      <c r="C7" s="68"/>
      <c r="D7" s="68"/>
      <c r="E7" s="68"/>
      <c r="F7" s="68" t="s">
        <v>76</v>
      </c>
      <c r="G7" s="68"/>
      <c r="H7" s="68"/>
      <c r="I7" s="68"/>
      <c r="J7" s="68"/>
      <c r="K7" s="68"/>
      <c r="L7" s="68"/>
      <c r="M7" s="68"/>
    </row>
    <row r="8" spans="2:13" ht="34" x14ac:dyDescent="0.2">
      <c r="B8" s="68"/>
      <c r="C8" s="68"/>
      <c r="D8" s="68"/>
      <c r="E8" s="68"/>
      <c r="F8" s="68" t="s">
        <v>77</v>
      </c>
      <c r="G8" s="68"/>
      <c r="H8" s="68"/>
      <c r="I8" s="68"/>
      <c r="J8" s="68"/>
      <c r="K8" s="68"/>
      <c r="L8" s="68"/>
      <c r="M8" s="68"/>
    </row>
    <row r="9" spans="2:13" x14ac:dyDescent="0.2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2025-01-28T20:19:50Z</dcterms:modified>
</cp:coreProperties>
</file>