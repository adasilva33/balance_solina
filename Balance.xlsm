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 entrepreneur/SOLINA/Projet 3/"/>
    </mc:Choice>
  </mc:AlternateContent>
  <xr:revisionPtr revIDLastSave="0" documentId="13_ncr:1_{B0786CD8-AF93-014F-B794-88CBA9FCC8B0}" xr6:coauthVersionLast="47" xr6:coauthVersionMax="47" xr10:uidLastSave="{00000000-0000-0000-0000-000000000000}"/>
  <bookViews>
    <workbookView xWindow="-3740" yWindow="-21100" windowWidth="22080" windowHeight="21100" xr2:uid="{5FB1850A-4562-1941-A4C6-C6D993284B38}"/>
  </bookViews>
  <sheets>
    <sheet name="interface" sheetId="1" r:id="rId1"/>
    <sheet name="calculs_intermediaires" sheetId="3" r:id="rId2"/>
    <sheet name="test" sheetId="8" r:id="rId3"/>
    <sheet name="to_do" sheetId="7" r:id="rId4"/>
    <sheet name="draft" sheetId="6" r:id="rId5"/>
    <sheet name="pop_up" sheetId="5" r:id="rId6"/>
    <sheet name="bdd" sheetId="9" r:id="rId7"/>
  </sheets>
  <functionGroups builtInGroupCount="19"/>
  <definedNames>
    <definedName name="_xleta.FILTER" hidden="1" xlm="1">#NAME?</definedName>
    <definedName name="_xleta.NOMINAL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C26" i="3"/>
  <c r="C28" i="3"/>
  <c r="C23" i="3"/>
  <c r="C22" i="3"/>
  <c r="C21" i="3"/>
  <c r="F22" i="3"/>
  <c r="G13" i="1"/>
  <c r="G12" i="1"/>
  <c r="C18" i="1"/>
  <c r="C19" i="1"/>
  <c r="C20" i="1"/>
  <c r="C21" i="1"/>
  <c r="C22" i="1"/>
  <c r="C23" i="1"/>
  <c r="C24" i="1"/>
  <c r="C25" i="1"/>
  <c r="C16" i="1"/>
  <c r="F3" i="3"/>
  <c r="H28" i="3"/>
  <c r="G28" i="3"/>
  <c r="B16" i="1" a="1"/>
  <c r="B16" i="1" s="1"/>
  <c r="E16" i="1" a="1"/>
  <c r="E3" i="6" a="1"/>
  <c r="E3" i="6" s="1"/>
  <c r="F4" i="3" l="1"/>
  <c r="N4" i="3"/>
  <c r="P7" i="3" s="1"/>
  <c r="O8" i="3" s="1"/>
  <c r="AE5" i="3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F21" i="3" l="1"/>
  <c r="F23" i="3" s="1"/>
  <c r="AG9" i="3" a="1"/>
  <c r="AG9" i="3" s="1"/>
  <c r="AH9" i="3" s="1"/>
  <c r="AF10" i="3"/>
  <c r="AE11" i="3" s="1"/>
  <c r="C19" i="3" a="1"/>
  <c r="C19" i="3" s="1"/>
  <c r="F4" i="1" s="1"/>
  <c r="F26" i="3" l="1"/>
  <c r="F25" i="3"/>
  <c r="AG10" i="3" a="1"/>
  <c r="AG10" i="3" s="1"/>
  <c r="AH10" i="3" s="1"/>
  <c r="AF11" i="3"/>
  <c r="AE12" i="3" s="1"/>
  <c r="F3" i="1"/>
  <c r="C29" i="3" l="1"/>
  <c r="AG7" i="3" a="1"/>
  <c r="AG7" i="3" s="1"/>
  <c r="AH7" i="3" s="1"/>
  <c r="AG11" i="3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P8" i="3" s="1"/>
  <c r="Q8" i="3" s="1"/>
  <c r="G16" i="1" a="1"/>
  <c r="G16" i="1" s="1"/>
  <c r="H16" i="1" s="1" a="1"/>
  <c r="H16" i="1" l="1"/>
  <c r="I16" i="1" s="1" a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<sst xmlns="http://schemas.openxmlformats.org/spreadsheetml/2006/main" count="103" uniqueCount="86">
  <si>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</si>
  <si>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</si>
  <si>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</si>
  <si>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</si>
  <si>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</si>
  <si>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</si>
  <si>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</si>
  <si>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</si>
  <si>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</si>
  <si>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</si>
  <si>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</si>
  <si>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</si>
  <si>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</si>
  <si>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</si>
  <si>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</si>
  <si>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</si>
  <si>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</si>
  <si>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</si>
  <si>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</si>
  <si>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</si>
  <si>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</si>
  <si>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</si>
  <si>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</si>
  <si>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</si>
  <si>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</si>
  <si>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</si>
  <si>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</si>
  <si>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ecart type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</si>
  <si>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</si>
  <si>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</si>
  <si>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</si>
  <si>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</si>
  <si>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</si>
  <si>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</si>
  <si>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</si>
  <si>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</si>
  <si>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</si>
  <si>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</si>
  <si>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</si>
  <si>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</si>
  <si>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</si>
  <si>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</si>
  <si>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</si>
  <si>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</si>
  <si>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</si>
  <si>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</si>
  <si>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</si>
  <si>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</si>
  <si>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</si>
  <si>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</si>
  <si>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</si>
  <si>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</si>
  <si>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ajouter debut équipe</t>
  </si>
  <si>
    <t>ajouter fin équipe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</si>
  <si>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</si>
  <si>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</si>
  <si>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</si>
  <si>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</si>
  <si>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</si>
  <si>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</si>
  <si>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</si>
  <si>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</si>
  <si>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</si>
  <si>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</si>
  <si>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</si>
  <si>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</si>
  <si>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</si>
  <si>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</si>
  <si>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</si>
  <si>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</si>
  <si>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</si>
  <si>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Nb TU1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</si>
  <si>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</si>
  <si>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</si>
  <si>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</si>
  <si>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</si>
  <si>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</si>
  <si>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</si>
  <si>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</si>
  <si>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</si>
  <si>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</si>
  <si>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</si>
  <si>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</si>
  <si>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</si>
  <si>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</si>
  <si>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pas suivi ecart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</si>
</sst>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2"/>
                <c:pt idx="0">
                  <c:v>10</c:v>
                </c:pt>
                <c:pt idx="1">
                  <c:v>10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79.274235013446258</c:v>
                </c:pt>
                <c:pt idx="1">
                  <c:v>73.564696047040499</c:v>
                </c:pt>
                <c:pt idx="2">
                  <c:v>77.151891926192874</c:v>
                </c:pt>
                <c:pt idx="3">
                  <c:v>75.850163306205445</c:v>
                </c:pt>
                <c:pt idx="4">
                  <c:v>79.195101247869019</c:v>
                </c:pt>
                <c:pt idx="5">
                  <c:v>73.927133031550085</c:v>
                </c:pt>
                <c:pt idx="6">
                  <c:v>72.865764667355833</c:v>
                </c:pt>
                <c:pt idx="7">
                  <c:v>70.52919986700293</c:v>
                </c:pt>
                <c:pt idx="8">
                  <c:v>72.527067330289739</c:v>
                </c:pt>
                <c:pt idx="9">
                  <c:v>79.913689443560159</c:v>
                </c:pt>
                <c:pt idx="10">
                  <c:v>70.842790626234304</c:v>
                </c:pt>
                <c:pt idx="11">
                  <c:v>72.315598566339759</c:v>
                </c:pt>
                <c:pt idx="12">
                  <c:v>78.801568948192838</c:v>
                </c:pt>
                <c:pt idx="13">
                  <c:v>71.191996624376358</c:v>
                </c:pt>
                <c:pt idx="14">
                  <c:v>79.23505375237572</c:v>
                </c:pt>
                <c:pt idx="15">
                  <c:v>79.830277630785119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2"/>
                <c:pt idx="0">
                  <c:v>10</c:v>
                </c:pt>
                <c:pt idx="1">
                  <c:v>10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75.47989418805129</c:v>
                </c:pt>
                <c:pt idx="1">
                  <c:v>75.369547691384028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16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988060</xdr:colOff>
          <xdr:row>7</xdr:row>
          <xdr:rowOff>43180</xdr:rowOff>
        </xdr:from>
        <xdr:to>
          <xdr:col>4</xdr:col>
          <xdr:colOff>223520</xdr:colOff>
          <xdr:row>9</xdr:row>
          <xdr:rowOff>81280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EA0D7ECF-8DA7-D249-2085-CC65B7288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31"/>
  <sheetViews>
    <sheetView showGridLines="0" tabSelected="1" zoomScale="110" workbookViewId="0">
      <pane ySplit="15" topLeftCell="A16" activePane="bottomLeft" state="frozen"/>
      <selection pane="bottomLeft" activeCell="N13" sqref="N13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45681.353207523149</v>
      </c>
      <c r="D2"/>
      <c r="E2" s="2"/>
      <c r="F2" s="2" t="s">
        <v>31</v>
      </c>
      <c r="G2" s="2" t="s">
        <v>29</v>
      </c>
      <c r="H2"/>
      <c r="I2" s="29"/>
      <c r="N2" s="14" t="s">
        <v>56</v>
      </c>
      <c r="O2" s="37">
        <f ca="1">AVERAGE(_xlfn.ANCHORARRAY(I16))</f>
        <v>75.438514251801067</v>
      </c>
    </row>
    <row r="3" spans="1:15" x14ac:dyDescent="0.2">
      <c r="B3" s="2" t="s">
        <v>1</v>
      </c>
      <c r="C3" s="22" t="s">
        <v>32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8</v>
      </c>
      <c r="H3"/>
      <c r="I3"/>
      <c r="N3" s="14" t="s">
        <v>57</v>
      </c>
      <c r="O3" s="41">
        <f ca="1">calculs_intermediaires!AB2</f>
        <v>74.805300745651266</v>
      </c>
    </row>
    <row r="4" spans="1:15" x14ac:dyDescent="0.2">
      <c r="B4" s="2" t="s">
        <v>2</v>
      </c>
      <c r="C4" s="23" t="s">
        <v>33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14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43</v>
      </c>
      <c r="G10" s="21">
        <v>16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50</v>
      </c>
      <c r="G12" s="20">
        <f>INDEX(calculs_intermediaires!$M$7:$M$100,MATCH(TRUE,calculs_intermediaires!$R$7:$R$100,0))</f>
        <v>2</v>
      </c>
      <c r="I12" s="29"/>
    </row>
    <row r="13" spans="1:15" x14ac:dyDescent="0.2">
      <c r="B13" s="2"/>
      <c r="C13"/>
      <c r="D13"/>
      <c r="E13"/>
      <c r="F13" s="35" t="s">
        <v>54</v>
      </c>
      <c r="G13" s="29">
        <f>INDEX(calculs_intermediaires!$N$7:$N$100,MATCH(TRUE,calculs_intermediaires!$R$7:$R$100,0))</f>
        <v>8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66</v>
      </c>
      <c r="G15" s="4" t="s">
        <v>42</v>
      </c>
      <c r="H15" s="4" t="s">
        <v>34</v>
      </c>
      <c r="I15" s="4" t="s">
        <v>28</v>
      </c>
      <c r="J15" s="5" t="s">
        <v>9</v>
      </c>
      <c r="K15" s="5" t="s">
        <v>83</v>
      </c>
      <c r="L15" s="5" t="s">
        <v>84</v>
      </c>
      <c r="M15" s="5" t="s">
        <v>82</v>
      </c>
    </row>
    <row r="16" spans="1:15" x14ac:dyDescent="0.2">
      <c r="B16" s="29" cm="1">
        <f t="array" ref="B16:B31">_xlfn.SEQUENCE(G10)</f>
        <v>1</v>
      </c>
      <c r="C16" s="33">
        <f ca="1">TODAY()</f>
        <v>45681</v>
      </c>
      <c r="D16" s="34">
        <v>0.4289351851851852</v>
      </c>
      <c r="E16" s="39" cm="1">
        <f t="array" aca="1" ref="E16:E31" ca="1">_xlfn.RANDARRAY(G10,1,75,85,FALSE)</f>
        <v>84.274235013446258</v>
      </c>
      <c r="F16" s="29" cm="1">
        <f t="array" ref="F16:F31">IF(_xlfn.ANCHORARRAY(B16)&lt;&gt;0,ROW(_xlfn.ANCHORARRAY(B16)))</f>
        <v>16</v>
      </c>
      <c r="G16" s="29" cm="1">
        <f t="array" ref="G16:G31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31">INDEX(calculs_intermediaires!$N$7:$N$100,MATCH(_xlfn.ANCHORARRAY(G16),calculs_intermediaires!$M$7:$M$100,0))</f>
        <v>5</v>
      </c>
      <c r="I16" s="39" cm="1">
        <f t="array" aca="1" ref="I16:I31" ca="1">_xlfn.ANCHORARRAY(E16)-_xlfn.ANCHORARRAY(H16)</f>
        <v>79.274235013446258</v>
      </c>
      <c r="J16" s="2" t="b" cm="1">
        <f t="array" ref="J16:J31">IF(_xlfn.ANCHORARRAY(B16)&lt;&gt;"",TRUE,FALSE)</f>
        <v>1</v>
      </c>
      <c r="K16" s="2" t="b" cm="1">
        <f t="array" aca="1" ref="K16:K31" ca="1">IF(_xlfn.ANCHORARRAY(I16)&gt;$F$3,TRUE,FALSE)</f>
        <v>1</v>
      </c>
      <c r="L16" s="2" t="b" cm="1">
        <f t="array" aca="1" ref="L16:L31" ca="1">IF(_xlfn.ANCHORARRAY(I16)&gt;$F$4,TRUE,FALSE)</f>
        <v>1</v>
      </c>
      <c r="M16" s="2" cm="1">
        <f t="array" ref="M16:M31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78.564696047040499</v>
      </c>
      <c r="F17" s="29">
        <v>17</v>
      </c>
      <c r="G17" s="29">
        <v>1</v>
      </c>
      <c r="H17" s="29">
        <v>5</v>
      </c>
      <c r="I17" s="39">
        <f ca="1"/>
        <v>73.564696047040499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45681</v>
      </c>
      <c r="D18" s="34">
        <v>0.4289351851851852</v>
      </c>
      <c r="E18" s="39">
        <f ca="1"/>
        <v>82.151891926192874</v>
      </c>
      <c r="F18" s="29">
        <v>18</v>
      </c>
      <c r="G18" s="29">
        <v>1</v>
      </c>
      <c r="H18" s="29">
        <v>5</v>
      </c>
      <c r="I18" s="39">
        <f ca="1"/>
        <v>77.151891926192874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45681</v>
      </c>
      <c r="D19" s="34">
        <v>0.4289351851851852</v>
      </c>
      <c r="E19" s="39">
        <f ca="1"/>
        <v>80.850163306205445</v>
      </c>
      <c r="F19" s="29">
        <v>19</v>
      </c>
      <c r="G19" s="29">
        <v>1</v>
      </c>
      <c r="H19" s="29">
        <v>5</v>
      </c>
      <c r="I19" s="39">
        <f ca="1"/>
        <v>75.850163306205445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45681</v>
      </c>
      <c r="D20" s="34">
        <v>0.4289351851851852</v>
      </c>
      <c r="E20" s="39">
        <f ca="1"/>
        <v>84.195101247869019</v>
      </c>
      <c r="F20" s="29">
        <v>20</v>
      </c>
      <c r="G20" s="29">
        <v>1</v>
      </c>
      <c r="H20" s="29">
        <v>5</v>
      </c>
      <c r="I20" s="39">
        <f ca="1"/>
        <v>79.195101247869019</v>
      </c>
      <c r="J20" s="2" t="b">
        <v>1</v>
      </c>
      <c r="K20" s="2" t="b">
        <f ca="1"/>
        <v>1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45681</v>
      </c>
      <c r="D21" s="34">
        <v>0.4289351851851852</v>
      </c>
      <c r="E21" s="39">
        <f ca="1"/>
        <v>78.927133031550085</v>
      </c>
      <c r="F21" s="29">
        <v>21</v>
      </c>
      <c r="G21" s="29">
        <v>1</v>
      </c>
      <c r="H21" s="29">
        <v>5</v>
      </c>
      <c r="I21" s="39">
        <f ca="1"/>
        <v>73.927133031550085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45681</v>
      </c>
      <c r="D22" s="34">
        <v>0.4289351851851852</v>
      </c>
      <c r="E22" s="39">
        <f ca="1"/>
        <v>77.865764667355833</v>
      </c>
      <c r="F22" s="29">
        <v>22</v>
      </c>
      <c r="G22" s="29">
        <v>1</v>
      </c>
      <c r="H22" s="29">
        <v>5</v>
      </c>
      <c r="I22" s="39">
        <f ca="1"/>
        <v>72.865764667355833</v>
      </c>
      <c r="J22" s="2" t="b">
        <v>1</v>
      </c>
      <c r="K22" s="2" t="b">
        <f ca="1"/>
        <v>0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45681</v>
      </c>
      <c r="D23" s="34">
        <v>0.4289351851851852</v>
      </c>
      <c r="E23" s="39">
        <f ca="1"/>
        <v>75.52919986700293</v>
      </c>
      <c r="F23" s="29">
        <v>23</v>
      </c>
      <c r="G23" s="29">
        <v>1</v>
      </c>
      <c r="H23" s="29">
        <v>5</v>
      </c>
      <c r="I23" s="39">
        <f ca="1"/>
        <v>70.52919986700293</v>
      </c>
      <c r="J23" s="2" t="b">
        <v>1</v>
      </c>
      <c r="K23" s="2" t="b">
        <f ca="1"/>
        <v>0</v>
      </c>
      <c r="L23" s="2" t="b">
        <f ca="1"/>
        <v>0</v>
      </c>
      <c r="M23" s="2">
        <v>80</v>
      </c>
    </row>
    <row r="24" spans="2:13" x14ac:dyDescent="0.2">
      <c r="B24" s="29">
        <v>9</v>
      </c>
      <c r="C24" s="33">
        <f t="shared" ca="1" si="0"/>
        <v>45681</v>
      </c>
      <c r="D24" s="34">
        <v>0.4289351851851852</v>
      </c>
      <c r="E24" s="39">
        <f ca="1"/>
        <v>77.527067330289739</v>
      </c>
      <c r="F24" s="29">
        <v>24</v>
      </c>
      <c r="G24" s="29">
        <v>1</v>
      </c>
      <c r="H24" s="29">
        <v>5</v>
      </c>
      <c r="I24" s="39">
        <f ca="1"/>
        <v>72.527067330289739</v>
      </c>
      <c r="J24" s="2" t="b">
        <v>1</v>
      </c>
      <c r="K24" s="2" t="b">
        <f ca="1"/>
        <v>0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45681</v>
      </c>
      <c r="D25" s="34">
        <v>0.4289351851851852</v>
      </c>
      <c r="E25" s="39">
        <f ca="1"/>
        <v>84.913689443560159</v>
      </c>
      <c r="F25" s="29">
        <v>25</v>
      </c>
      <c r="G25" s="29">
        <v>1</v>
      </c>
      <c r="H25" s="29">
        <v>5</v>
      </c>
      <c r="I25" s="39">
        <f ca="1"/>
        <v>79.913689443560159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75.842790626234304</v>
      </c>
      <c r="F26" s="29">
        <v>26</v>
      </c>
      <c r="G26" s="29">
        <v>1</v>
      </c>
      <c r="H26" s="29">
        <v>5</v>
      </c>
      <c r="I26" s="39">
        <f ca="1"/>
        <v>70.842790626234304</v>
      </c>
      <c r="J26" s="2" t="b">
        <v>1</v>
      </c>
      <c r="K26" s="2" t="b">
        <f ca="1"/>
        <v>0</v>
      </c>
      <c r="L26" s="2" t="b">
        <f ca="1"/>
        <v>0</v>
      </c>
      <c r="M26" s="2">
        <v>80</v>
      </c>
    </row>
    <row r="27" spans="2:13" x14ac:dyDescent="0.2">
      <c r="B27" s="29">
        <v>12</v>
      </c>
      <c r="E27" s="39">
        <f ca="1"/>
        <v>77.315598566339759</v>
      </c>
      <c r="F27" s="29">
        <v>27</v>
      </c>
      <c r="G27" s="29">
        <v>1</v>
      </c>
      <c r="H27" s="29">
        <v>5</v>
      </c>
      <c r="I27" s="39">
        <f ca="1"/>
        <v>72.315598566339759</v>
      </c>
      <c r="J27" s="2" t="b">
        <v>1</v>
      </c>
      <c r="K27" s="2" t="b">
        <f ca="1"/>
        <v>0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83.801568948192838</v>
      </c>
      <c r="F28" s="29">
        <v>28</v>
      </c>
      <c r="G28" s="29">
        <v>1</v>
      </c>
      <c r="H28" s="29">
        <v>5</v>
      </c>
      <c r="I28" s="39">
        <f ca="1"/>
        <v>78.801568948192838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76.191996624376358</v>
      </c>
      <c r="F29" s="29">
        <v>29</v>
      </c>
      <c r="G29" s="29">
        <v>1</v>
      </c>
      <c r="H29" s="29">
        <v>5</v>
      </c>
      <c r="I29" s="39">
        <f ca="1"/>
        <v>71.191996624376358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84.23505375237572</v>
      </c>
      <c r="F30" s="29">
        <v>30</v>
      </c>
      <c r="G30" s="29">
        <v>1</v>
      </c>
      <c r="H30" s="29">
        <v>5</v>
      </c>
      <c r="I30" s="39">
        <f ca="1"/>
        <v>79.23505375237572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84.830277630785119</v>
      </c>
      <c r="F31" s="29">
        <v>31</v>
      </c>
      <c r="G31" s="29">
        <v>1</v>
      </c>
      <c r="H31" s="29">
        <v>5</v>
      </c>
      <c r="I31" s="39">
        <f ca="1"/>
        <v>79.830277630785119</v>
      </c>
      <c r="J31" s="2" t="b">
        <v>1</v>
      </c>
      <c r="K31" s="2" t="b">
        <f ca="1"/>
        <v>1</v>
      </c>
      <c r="L31" s="2" t="b">
        <f ca="1"/>
        <v>1</v>
      </c>
      <c r="M31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topLeftCell="D1" zoomScale="125" workbookViewId="0">
      <selection activeCell="N8" sqref="N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34</v>
      </c>
      <c r="U2" s="6" t="s">
        <v>58</v>
      </c>
      <c r="V2"/>
      <c r="W2" s="3">
        <v>10</v>
      </c>
      <c r="X2"/>
      <c r="Y2"/>
      <c r="Z2"/>
      <c r="AA2" t="s">
        <v>55</v>
      </c>
      <c r="AB2" s="42">
        <f ca="1">AVERAGE($AB$5:$AB$15)</f>
        <v>74.805300745651266</v>
      </c>
      <c r="AE2" s="6" t="s">
        <v>62</v>
      </c>
      <c r="AG2" s="53">
        <v>10</v>
      </c>
    </row>
    <row r="3" spans="2:35" x14ac:dyDescent="0.2">
      <c r="E3" s="14" t="s">
        <v>61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63</v>
      </c>
      <c r="F4" s="52">
        <f>COUNTA(interface!B16:B1048576)</f>
        <v>16</v>
      </c>
      <c r="M4" s="14" t="s">
        <v>30</v>
      </c>
      <c r="N4" s="38">
        <f>COUNT(_xlfn.ANCHORARRAY(interface!B16))</f>
        <v>16</v>
      </c>
      <c r="O4" s="14"/>
      <c r="P4" s="14" t="s">
        <v>67</v>
      </c>
      <c r="Q4" s="2">
        <f>N4-SUMIFS(Q7:Q100,R7:R100,FALSE)</f>
        <v>0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60</v>
      </c>
      <c r="AF4" s="4" t="s">
        <v>49</v>
      </c>
      <c r="AG4" s="47" t="s">
        <v>59</v>
      </c>
      <c r="AH4" s="4" t="s">
        <v>65</v>
      </c>
      <c r="AI4" s="2"/>
    </row>
    <row r="5" spans="2:35" x14ac:dyDescent="0.2">
      <c r="E5" s="14" t="s">
        <v>64</v>
      </c>
      <c r="F5" s="2">
        <f>F3+F4-1</f>
        <v>31</v>
      </c>
      <c r="U5" s="15">
        <f ca="1"/>
        <v>7</v>
      </c>
      <c r="V5" s="54">
        <f ca="1"/>
        <v>45681</v>
      </c>
      <c r="W5" s="57">
        <f ca="1"/>
        <v>0.4289351851851852</v>
      </c>
      <c r="X5" s="48">
        <f ca="1"/>
        <v>77.865764667355833</v>
      </c>
      <c r="Y5" s="43">
        <f ca="1"/>
        <v>22</v>
      </c>
      <c r="Z5" s="43">
        <f ca="1"/>
        <v>1</v>
      </c>
      <c r="AA5" s="43">
        <f ca="1"/>
        <v>5</v>
      </c>
      <c r="AB5" s="17">
        <f ca="1"/>
        <v>72.865764667355833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75.47989418805129</v>
      </c>
      <c r="AH5" s="62">
        <f ca="1">IFERROR(IF(AG5&lt;&gt;"",$AG$2,NA()),"")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42</v>
      </c>
      <c r="N6" s="4" t="s">
        <v>34</v>
      </c>
      <c r="O6" s="4" t="s">
        <v>48</v>
      </c>
      <c r="P6" s="4" t="s">
        <v>49</v>
      </c>
      <c r="Q6" s="4" t="s">
        <v>51</v>
      </c>
      <c r="R6" s="4" t="s">
        <v>17</v>
      </c>
      <c r="U6" s="8">
        <f ca="1"/>
        <v>8</v>
      </c>
      <c r="V6" s="55">
        <f ca="1"/>
        <v>45681</v>
      </c>
      <c r="W6" s="58">
        <f ca="1"/>
        <v>0.4289351851851852</v>
      </c>
      <c r="X6" s="49">
        <f ca="1"/>
        <v>75.52919986700293</v>
      </c>
      <c r="Y6" s="2">
        <f ca="1"/>
        <v>23</v>
      </c>
      <c r="Z6" s="2">
        <f ca="1"/>
        <v>1</v>
      </c>
      <c r="AA6" s="2">
        <f ca="1"/>
        <v>5</v>
      </c>
      <c r="AB6" s="44">
        <f ca="1"/>
        <v>70.52919986700293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75.369547691384028</v>
      </c>
      <c r="AH6" s="63">
        <f t="shared" ref="AH6:AH69" ca="1" si="0">IFERROR(IF(AG6&lt;&gt;"",$AG$2,NA()),"")</f>
        <v>10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31</v>
      </c>
      <c r="Q7" s="2">
        <f>P7-O7+1</f>
        <v>16</v>
      </c>
      <c r="R7" s="2" t="b">
        <v>0</v>
      </c>
      <c r="U7" s="8">
        <f ca="1"/>
        <v>9</v>
      </c>
      <c r="V7" s="55">
        <f ca="1"/>
        <v>45681</v>
      </c>
      <c r="W7" s="58">
        <f ca="1"/>
        <v>0.4289351851851852</v>
      </c>
      <c r="X7" s="49">
        <f ca="1"/>
        <v>77.527067330289739</v>
      </c>
      <c r="Y7" s="2">
        <f ca="1"/>
        <v>24</v>
      </c>
      <c r="Z7" s="2">
        <f ca="1"/>
        <v>1</v>
      </c>
      <c r="AA7" s="2">
        <f ca="1"/>
        <v>5</v>
      </c>
      <c r="AB7" s="44">
        <f ca="1"/>
        <v>72.527067330289739</v>
      </c>
      <c r="AE7" s="8">
        <f t="shared" ref="AE7:AE70" si="1">AF6+1</f>
        <v>37</v>
      </c>
      <c r="AF7" s="2">
        <f t="shared" ref="AF7:AF70" si="2">AE7+$AG$2</f>
        <v>47</v>
      </c>
      <c r="AG7" s="41" t="str" cm="1">
        <f t="array" ref="AG7">IFERROR(AVERAGE(_xlfn._xlws.FILTER(interface!I18:I10002,_xlfn.BYROW(interface!F18:F10002,_xlfn.LAMBDA(_xlpm.row, (_xlpm.row&gt;=calculs_intermediaires!AE7)*(_xlpm.row&lt;=calculs_intermediaires!AF7)))&gt;0)),"")</f>
        <v/>
      </c>
      <c r="AH7" s="63" t="str">
        <f t="shared" si="0"/>
        <v/>
      </c>
    </row>
    <row r="8" spans="2:35" x14ac:dyDescent="0.2">
      <c r="B8" s="67" t="s">
        <v>6</v>
      </c>
      <c r="C8" s="68"/>
      <c r="D8" s="69" t="s">
        <v>17</v>
      </c>
      <c r="E8" s="67" t="s">
        <v>15</v>
      </c>
      <c r="F8" s="68"/>
      <c r="G8" s="7" t="s">
        <v>18</v>
      </c>
      <c r="H8" s="69" t="s">
        <v>20</v>
      </c>
      <c r="I8" s="67"/>
      <c r="J8" s="68"/>
      <c r="M8" s="2">
        <f>M7+1</f>
        <v>2</v>
      </c>
      <c r="N8" s="2">
        <v>8</v>
      </c>
      <c r="O8" s="2">
        <f>P7+1</f>
        <v>32</v>
      </c>
      <c r="P8" s="2">
        <f>O8+$Q$4</f>
        <v>32</v>
      </c>
      <c r="Q8" s="2">
        <f>P8-O8+1</f>
        <v>1</v>
      </c>
      <c r="R8" s="2" t="b">
        <v>1</v>
      </c>
      <c r="U8" s="8">
        <f ca="1"/>
        <v>10</v>
      </c>
      <c r="V8" s="55">
        <f ca="1"/>
        <v>45681</v>
      </c>
      <c r="W8" s="58">
        <f ca="1"/>
        <v>0.4289351851851852</v>
      </c>
      <c r="X8" s="49">
        <f ca="1"/>
        <v>84.913689443560159</v>
      </c>
      <c r="Y8" s="2">
        <f ca="1"/>
        <v>25</v>
      </c>
      <c r="Z8" s="2">
        <f ca="1"/>
        <v>1</v>
      </c>
      <c r="AA8" s="2">
        <f ca="1"/>
        <v>5</v>
      </c>
      <c r="AB8" s="44">
        <f ca="1"/>
        <v>79.913689443560159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0"/>
      <c r="E9" s="18" t="s">
        <v>14</v>
      </c>
      <c r="F9" s="19" t="s">
        <v>16</v>
      </c>
      <c r="G9" s="25" t="s">
        <v>19</v>
      </c>
      <c r="H9" s="70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11</v>
      </c>
      <c r="V9" s="55">
        <f ca="1"/>
        <v>0</v>
      </c>
      <c r="W9" s="58">
        <f ca="1"/>
        <v>0</v>
      </c>
      <c r="X9" s="49">
        <f ca="1"/>
        <v>75.842790626234304</v>
      </c>
      <c r="Y9" s="2">
        <f ca="1"/>
        <v>26</v>
      </c>
      <c r="Z9" s="2">
        <f ca="1"/>
        <v>1</v>
      </c>
      <c r="AA9" s="2">
        <f ca="1"/>
        <v>5</v>
      </c>
      <c r="AB9" s="44">
        <f ca="1"/>
        <v>70.842790626234304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12</v>
      </c>
      <c r="V10" s="55">
        <f ca="1"/>
        <v>0</v>
      </c>
      <c r="W10" s="58">
        <f ca="1"/>
        <v>0</v>
      </c>
      <c r="X10" s="49">
        <f ca="1"/>
        <v>77.315598566339759</v>
      </c>
      <c r="Y10" s="2">
        <f ca="1"/>
        <v>27</v>
      </c>
      <c r="Z10" s="2">
        <f ca="1"/>
        <v>1</v>
      </c>
      <c r="AA10" s="2">
        <f ca="1"/>
        <v>5</v>
      </c>
      <c r="AB10" s="44">
        <f ca="1"/>
        <v>72.315598566339759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13</v>
      </c>
      <c r="V11" s="55">
        <f ca="1"/>
        <v>0</v>
      </c>
      <c r="W11" s="58">
        <f ca="1"/>
        <v>0</v>
      </c>
      <c r="X11" s="49">
        <f ca="1"/>
        <v>83.801568948192838</v>
      </c>
      <c r="Y11" s="2">
        <f ca="1"/>
        <v>28</v>
      </c>
      <c r="Z11" s="2">
        <f ca="1"/>
        <v>1</v>
      </c>
      <c r="AA11" s="2">
        <f ca="1"/>
        <v>5</v>
      </c>
      <c r="AB11" s="44">
        <f ca="1"/>
        <v>78.801568948192838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14</v>
      </c>
      <c r="V12" s="55">
        <f ca="1"/>
        <v>0</v>
      </c>
      <c r="W12" s="58">
        <f ca="1"/>
        <v>0</v>
      </c>
      <c r="X12" s="49">
        <f ca="1"/>
        <v>76.191996624376358</v>
      </c>
      <c r="Y12" s="2">
        <f ca="1"/>
        <v>29</v>
      </c>
      <c r="Z12" s="2">
        <f ca="1"/>
        <v>1</v>
      </c>
      <c r="AA12" s="2">
        <f ca="1"/>
        <v>5</v>
      </c>
      <c r="AB12" s="44">
        <f ca="1"/>
        <v>71.191996624376358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15</v>
      </c>
      <c r="V13" s="55">
        <f ca="1"/>
        <v>0</v>
      </c>
      <c r="W13" s="58">
        <f ca="1"/>
        <v>0</v>
      </c>
      <c r="X13" s="49">
        <f ca="1"/>
        <v>84.23505375237572</v>
      </c>
      <c r="Y13" s="2">
        <f ca="1"/>
        <v>30</v>
      </c>
      <c r="Z13" s="2">
        <f ca="1"/>
        <v>1</v>
      </c>
      <c r="AA13" s="2">
        <f ca="1"/>
        <v>5</v>
      </c>
      <c r="AB13" s="44">
        <f ca="1"/>
        <v>79.23505375237572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16</v>
      </c>
      <c r="V14" s="56">
        <f ca="1"/>
        <v>0</v>
      </c>
      <c r="W14" s="59">
        <f ca="1"/>
        <v>0</v>
      </c>
      <c r="X14" s="50">
        <f ca="1"/>
        <v>84.830277630785119</v>
      </c>
      <c r="Y14" s="45">
        <f ca="1"/>
        <v>31</v>
      </c>
      <c r="Z14" s="45">
        <f ca="1"/>
        <v>1</v>
      </c>
      <c r="AA14" s="45">
        <f ca="1"/>
        <v>5</v>
      </c>
      <c r="AB14" s="46">
        <f ca="1"/>
        <v>79.830277630785119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E21" s="15" t="s">
        <v>22</v>
      </c>
      <c r="F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72">
        <f>1/6</f>
        <v>0.16666666666666666</v>
      </c>
      <c r="E22" s="8" t="s">
        <v>24</v>
      </c>
      <c r="F22" s="72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E23" s="10" t="s">
        <v>23</v>
      </c>
      <c r="F23" s="46">
        <f>F21*F22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24</v>
      </c>
      <c r="C25" s="16">
        <v>0.2</v>
      </c>
      <c r="E25" s="73" t="s">
        <v>25</v>
      </c>
      <c r="F25" s="17">
        <f>C4-F23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27</v>
      </c>
      <c r="C26" s="11">
        <f>C21*C25</f>
        <v>0.9</v>
      </c>
      <c r="E26" s="74" t="s">
        <v>26</v>
      </c>
      <c r="F26" s="46">
        <f>C4+F23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15" t="s">
        <v>25</v>
      </c>
      <c r="C28" s="16">
        <f>C4-C26</f>
        <v>79.099999999999994</v>
      </c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10" t="s">
        <v>26</v>
      </c>
      <c r="C29" s="11">
        <f>C4+C26</f>
        <v>80.900000000000006</v>
      </c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75" t="s">
        <v>85</v>
      </c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2:C2"/>
  <sheetViews>
    <sheetView zoomScale="188" workbookViewId="0">
      <selection activeCell="C3" sqref="C3"/>
    </sheetView>
  </sheetViews>
  <sheetFormatPr baseColWidth="10" defaultRowHeight="16" x14ac:dyDescent="0.2"/>
  <sheetData>
    <row r="2" spans="2:3" x14ac:dyDescent="0.2">
      <c r="B2" s="2" t="s">
        <v>71</v>
      </c>
      <c r="C2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D9B4-471D-D34B-84A5-3681E403DEB3}">
  <sheetPr codeName="Sheet5"/>
  <dimension ref="B2:C3"/>
  <sheetViews>
    <sheetView showGridLines="0" zoomScale="192" workbookViewId="0">
      <selection activeCell="B14" sqref="B6:B14"/>
    </sheetView>
  </sheetViews>
  <sheetFormatPr baseColWidth="10" defaultRowHeight="16" x14ac:dyDescent="0.2"/>
  <cols>
    <col min="1" max="1" width="6.33203125" customWidth="1"/>
    <col min="2" max="2" width="17.83203125" bestFit="1" customWidth="1"/>
  </cols>
  <sheetData>
    <row r="2" spans="2:3" x14ac:dyDescent="0.2">
      <c r="B2" s="2" t="s">
        <v>52</v>
      </c>
      <c r="C2" s="2"/>
    </row>
    <row r="3" spans="2:3" x14ac:dyDescent="0.2">
      <c r="B3" s="2" t="s">
        <v>53</v>
      </c>
      <c r="C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C3" sqref="C3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44</v>
      </c>
      <c r="C2" s="26" t="s">
        <v>47</v>
      </c>
      <c r="E2" s="4" t="s">
        <v>46</v>
      </c>
    </row>
    <row r="3" spans="2:5" x14ac:dyDescent="0.2">
      <c r="B3" s="2" t="s">
        <v>45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G8"/>
  <sheetViews>
    <sheetView showGridLines="0" zoomScale="117" workbookViewId="0">
      <selection activeCell="D15" sqref="D1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47.6640625" style="2" bestFit="1" customWidth="1"/>
    <col min="7" max="7" width="15" style="2" bestFit="1" customWidth="1"/>
    <col min="8" max="16384" width="10.83203125" style="2"/>
  </cols>
  <sheetData>
    <row r="2" spans="2:7" x14ac:dyDescent="0.2">
      <c r="B2" s="4" t="s">
        <v>35</v>
      </c>
      <c r="C2" s="4" t="s">
        <v>37</v>
      </c>
      <c r="D2" s="4" t="s">
        <v>38</v>
      </c>
      <c r="E2" s="4" t="s">
        <v>39</v>
      </c>
      <c r="F2" s="4" t="s">
        <v>68</v>
      </c>
      <c r="G2" s="4" t="s">
        <v>69</v>
      </c>
    </row>
    <row r="3" spans="2:7" x14ac:dyDescent="0.2">
      <c r="B3" s="2" t="s">
        <v>72</v>
      </c>
      <c r="C3" s="2" t="s">
        <v>73</v>
      </c>
      <c r="D3" s="2" t="s">
        <v>41</v>
      </c>
      <c r="E3" s="2" t="s">
        <v>40</v>
      </c>
      <c r="F3" s="2" t="s">
        <v>76</v>
      </c>
      <c r="G3" s="2" t="s">
        <v>70</v>
      </c>
    </row>
    <row r="4" spans="2:7" x14ac:dyDescent="0.2">
      <c r="B4" s="2" t="s">
        <v>36</v>
      </c>
      <c r="C4" s="2" t="s">
        <v>74</v>
      </c>
      <c r="F4" s="2" t="s">
        <v>77</v>
      </c>
    </row>
    <row r="5" spans="2:7" x14ac:dyDescent="0.2">
      <c r="C5" s="71" t="s">
        <v>75</v>
      </c>
      <c r="F5" s="2" t="s">
        <v>78</v>
      </c>
    </row>
    <row r="6" spans="2:7" x14ac:dyDescent="0.2">
      <c r="F6" s="2" t="s">
        <v>79</v>
      </c>
    </row>
    <row r="7" spans="2:7" x14ac:dyDescent="0.2">
      <c r="F7" s="2" t="s">
        <v>80</v>
      </c>
    </row>
    <row r="8" spans="2:7" x14ac:dyDescent="0.2">
      <c r="F8" s="2" t="s">
        <v>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C7477-808C-1E46-B8E6-A6AF2B132C77}">
  <dimension ref="A1"/>
  <sheetViews>
    <sheetView workbookViewId="0">
      <selection activeCell="B1" sqref="B1:B1048576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interface</vt:lpstr>
      <vt:lpstr>calculs_intermediaires</vt:lpstr>
      <vt:lpstr>test</vt:lpstr>
      <vt:lpstr>to_do</vt:lpstr>
      <vt:lpstr>draft</vt:lpstr>
      <vt:lpstr>pop_up</vt:lpstr>
      <vt:lpstr>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2025-01-24T08:28:37Z</dcterms:modified>
</cp:coreProperties>
</file>