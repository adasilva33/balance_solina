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3D98780-4FAA-8749-A34C-229741E18DF5}" xr6:coauthVersionLast="47" xr6:coauthVersionMax="47" xr10:uidLastSave="{00000000-0000-0000-0000-000000000000}"/>
  <bookViews>
    <workbookView xWindow="0" yWindow="760" windowWidth="28740" windowHeight="17180" activeTab="2" xr2:uid="{5FB1850A-4562-1941-A4C6-C6D993284B38}"/>
  </bookViews>
  <sheets>
    <sheet name="interface" sheetId="1" r:id="rId1"/>
    <sheet name="calculs_intermediaires" sheetId="3" r:id="rId2"/>
    <sheet name="test" sheetId="8" r:id="rId3"/>
    <sheet name="draft" sheetId="6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E3" i="6" a="1"/>
  <c r="E3" i="6" s="1"/>
  <c r="G9" i="8"/>
  <c r="E9" i="8"/>
  <c r="D9" i="8"/>
  <c r="C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<sst xmlns="http://schemas.openxmlformats.org/spreadsheetml/2006/main" count="113" uniqueCount="96">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</sst>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70.518102853591913</c:v>
                </c:pt>
                <c:pt idx="1">
                  <c:v>79.113411862680024</c:v>
                </c:pt>
                <c:pt idx="2">
                  <c:v>76.377825123879035</c:v>
                </c:pt>
                <c:pt idx="3">
                  <c:v>75.445096595414697</c:v>
                </c:pt>
                <c:pt idx="4">
                  <c:v>73.720918572574803</c:v>
                </c:pt>
                <c:pt idx="5">
                  <c:v>76.907544323489546</c:v>
                </c:pt>
                <c:pt idx="6">
                  <c:v>75.79824813900747</c:v>
                </c:pt>
                <c:pt idx="7">
                  <c:v>79.260901936958732</c:v>
                </c:pt>
                <c:pt idx="8">
                  <c:v>79.243117183359686</c:v>
                </c:pt>
                <c:pt idx="9">
                  <c:v>77.572021324226156</c:v>
                </c:pt>
                <c:pt idx="10">
                  <c:v>73.794999206047919</c:v>
                </c:pt>
                <c:pt idx="11">
                  <c:v>70.712636117428644</c:v>
                </c:pt>
                <c:pt idx="12">
                  <c:v>78.709863795377558</c:v>
                </c:pt>
                <c:pt idx="13">
                  <c:v>72.038883075636789</c:v>
                </c:pt>
                <c:pt idx="14">
                  <c:v>70.730214417840656</c:v>
                </c:pt>
                <c:pt idx="15">
                  <c:v>73.94614078867879</c:v>
                </c:pt>
                <c:pt idx="16">
                  <c:v>71.284510975244771</c:v>
                </c:pt>
                <c:pt idx="17">
                  <c:v>76.10894427290323</c:v>
                </c:pt>
                <c:pt idx="18">
                  <c:v>72.546198422828894</c:v>
                </c:pt>
                <c:pt idx="19">
                  <c:v>72.02198055869016</c:v>
                </c:pt>
                <c:pt idx="20">
                  <c:v>76.288018162275435</c:v>
                </c:pt>
                <c:pt idx="21">
                  <c:v>70.227907241134616</c:v>
                </c:pt>
                <c:pt idx="22">
                  <c:v>78.966344571444438</c:v>
                </c:pt>
                <c:pt idx="23">
                  <c:v>76.554537174331955</c:v>
                </c:pt>
                <c:pt idx="24">
                  <c:v>72.502382599519407</c:v>
                </c:pt>
                <c:pt idx="25">
                  <c:v>70.875854903999809</c:v>
                </c:pt>
                <c:pt idx="26">
                  <c:v>78.85832771128517</c:v>
                </c:pt>
                <c:pt idx="27">
                  <c:v>73.356057243707909</c:v>
                </c:pt>
                <c:pt idx="28">
                  <c:v>78.176894831698291</c:v>
                </c:pt>
                <c:pt idx="29">
                  <c:v>78.721299745206238</c:v>
                </c:pt>
                <c:pt idx="30">
                  <c:v>77.320906576205545</c:v>
                </c:pt>
                <c:pt idx="31">
                  <c:v>79.604602359281103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76.395718791518206</c:v>
                </c:pt>
                <c:pt idx="1">
                  <c:v>73.471126344813896</c:v>
                </c:pt>
                <c:pt idx="2">
                  <c:v>75.924101359801313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zoomScale="110" workbookViewId="0">
      <pane ySplit="15" topLeftCell="A16" activePane="bottomLeft" state="frozen"/>
      <selection pane="bottomLeft" activeCell="O23" sqref="O23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45684.881898495369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75.228271645810921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17</v>
      </c>
      <c r="H3"/>
      <c r="I3"/>
      <c r="N3" s="14" t="s">
        <v>54</v>
      </c>
      <c r="O3" s="41">
        <f ca="1">calculs_intermediaires!AB2</f>
        <v>76.493720771667981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27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75.518102853591913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70.518102853591913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0</v>
      </c>
      <c r="L16" s="2" t="b" cm="1">
        <f t="array" aca="1" ref="L16:L47" ca="1">IF(_xlfn.ANCHORARRAY(I16)&gt;$F$4,TRUE,FALSE)</f>
        <v>0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84.113411862680024</v>
      </c>
      <c r="F17" s="29">
        <v>17</v>
      </c>
      <c r="G17" s="29">
        <v>1</v>
      </c>
      <c r="H17" s="29">
        <v>5</v>
      </c>
      <c r="I17" s="39">
        <f ca="1"/>
        <v>79.113411862680024</v>
      </c>
      <c r="J17" s="2" t="b">
        <v>1</v>
      </c>
      <c r="K17" s="2" t="b">
        <f ca="1"/>
        <v>1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81.377825123879035</v>
      </c>
      <c r="F18" s="29">
        <v>18</v>
      </c>
      <c r="G18" s="29">
        <v>1</v>
      </c>
      <c r="H18" s="29">
        <v>5</v>
      </c>
      <c r="I18" s="39">
        <f ca="1"/>
        <v>76.377825123879035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80.445096595414697</v>
      </c>
      <c r="F19" s="29">
        <v>19</v>
      </c>
      <c r="G19" s="29">
        <v>1</v>
      </c>
      <c r="H19" s="29">
        <v>5</v>
      </c>
      <c r="I19" s="39">
        <f ca="1"/>
        <v>75.445096595414697</v>
      </c>
      <c r="J19" s="2" t="b">
        <v>1</v>
      </c>
      <c r="K19" s="2" t="b">
        <f ca="1"/>
        <v>0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78.720918572574803</v>
      </c>
      <c r="F20" s="29">
        <v>20</v>
      </c>
      <c r="G20" s="29">
        <v>1</v>
      </c>
      <c r="H20" s="29">
        <v>5</v>
      </c>
      <c r="I20" s="39">
        <f ca="1"/>
        <v>73.720918572574803</v>
      </c>
      <c r="J20" s="2" t="b">
        <v>1</v>
      </c>
      <c r="K20" s="2" t="b">
        <f ca="1"/>
        <v>0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81.907544323489546</v>
      </c>
      <c r="F21" s="29">
        <v>21</v>
      </c>
      <c r="G21" s="29">
        <v>1</v>
      </c>
      <c r="H21" s="29">
        <v>5</v>
      </c>
      <c r="I21" s="39">
        <f ca="1"/>
        <v>76.907544323489546</v>
      </c>
      <c r="J21" s="2" t="b">
        <v>1</v>
      </c>
      <c r="K21" s="2" t="b">
        <f ca="1"/>
        <v>1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80.79824813900747</v>
      </c>
      <c r="F22" s="29">
        <v>22</v>
      </c>
      <c r="G22" s="29">
        <v>1</v>
      </c>
      <c r="H22" s="29">
        <v>5</v>
      </c>
      <c r="I22" s="39">
        <f ca="1"/>
        <v>75.79824813900747</v>
      </c>
      <c r="J22" s="2" t="b">
        <v>1</v>
      </c>
      <c r="K22" s="2" t="b">
        <f ca="1"/>
        <v>1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84.260901936958732</v>
      </c>
      <c r="F23" s="29">
        <v>23</v>
      </c>
      <c r="G23" s="29">
        <v>1</v>
      </c>
      <c r="H23" s="29">
        <v>5</v>
      </c>
      <c r="I23" s="39">
        <f ca="1"/>
        <v>79.260901936958732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84.243117183359686</v>
      </c>
      <c r="F24" s="29">
        <v>24</v>
      </c>
      <c r="G24" s="29">
        <v>1</v>
      </c>
      <c r="H24" s="29">
        <v>5</v>
      </c>
      <c r="I24" s="39">
        <f ca="1"/>
        <v>79.243117183359686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82.572021324226156</v>
      </c>
      <c r="F25" s="29">
        <v>25</v>
      </c>
      <c r="G25" s="29">
        <v>1</v>
      </c>
      <c r="H25" s="29">
        <v>5</v>
      </c>
      <c r="I25" s="39">
        <f ca="1"/>
        <v>77.572021324226156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78.794999206047919</v>
      </c>
      <c r="F26" s="29">
        <v>26</v>
      </c>
      <c r="G26" s="29">
        <v>1</v>
      </c>
      <c r="H26" s="29">
        <v>5</v>
      </c>
      <c r="I26" s="39">
        <f ca="1"/>
        <v>73.794999206047919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75.712636117428644</v>
      </c>
      <c r="F27" s="29">
        <v>27</v>
      </c>
      <c r="G27" s="29">
        <v>1</v>
      </c>
      <c r="H27" s="29">
        <v>5</v>
      </c>
      <c r="I27" s="39">
        <f ca="1"/>
        <v>70.712636117428644</v>
      </c>
      <c r="J27" s="2" t="b">
        <v>1</v>
      </c>
      <c r="K27" s="2" t="b">
        <f ca="1"/>
        <v>0</v>
      </c>
      <c r="L27" s="2" t="b">
        <f ca="1"/>
        <v>0</v>
      </c>
      <c r="M27" s="2">
        <v>80</v>
      </c>
    </row>
    <row r="28" spans="2:13" x14ac:dyDescent="0.2">
      <c r="B28" s="29">
        <v>13</v>
      </c>
      <c r="E28" s="39">
        <f ca="1"/>
        <v>83.709863795377558</v>
      </c>
      <c r="F28" s="29">
        <v>28</v>
      </c>
      <c r="G28" s="29">
        <v>1</v>
      </c>
      <c r="H28" s="29">
        <v>5</v>
      </c>
      <c r="I28" s="39">
        <f ca="1"/>
        <v>78.709863795377558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77.038883075636789</v>
      </c>
      <c r="F29" s="29">
        <v>29</v>
      </c>
      <c r="G29" s="29">
        <v>1</v>
      </c>
      <c r="H29" s="29">
        <v>5</v>
      </c>
      <c r="I29" s="39">
        <f ca="1"/>
        <v>72.038883075636789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75.730214417840656</v>
      </c>
      <c r="F30" s="29">
        <v>30</v>
      </c>
      <c r="G30" s="29">
        <v>1</v>
      </c>
      <c r="H30" s="29">
        <v>5</v>
      </c>
      <c r="I30" s="39">
        <f ca="1"/>
        <v>70.730214417840656</v>
      </c>
      <c r="J30" s="2" t="b">
        <v>1</v>
      </c>
      <c r="K30" s="2" t="b">
        <f ca="1"/>
        <v>0</v>
      </c>
      <c r="L30" s="2" t="b">
        <f ca="1"/>
        <v>0</v>
      </c>
      <c r="M30" s="2">
        <v>80</v>
      </c>
    </row>
    <row r="31" spans="2:13" x14ac:dyDescent="0.2">
      <c r="B31" s="29">
        <v>16</v>
      </c>
      <c r="E31" s="39">
        <f ca="1"/>
        <v>78.94614078867879</v>
      </c>
      <c r="F31" s="29">
        <v>31</v>
      </c>
      <c r="G31" s="29">
        <v>1</v>
      </c>
      <c r="H31" s="29">
        <v>5</v>
      </c>
      <c r="I31" s="39">
        <f ca="1"/>
        <v>73.94614078867879</v>
      </c>
      <c r="J31" s="2" t="b">
        <v>1</v>
      </c>
      <c r="K31" s="2" t="b">
        <f ca="1"/>
        <v>0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76.284510975244771</v>
      </c>
      <c r="F32" s="29">
        <v>32</v>
      </c>
      <c r="G32" s="29">
        <v>1</v>
      </c>
      <c r="H32" s="29">
        <v>5</v>
      </c>
      <c r="I32" s="39">
        <f ca="1"/>
        <v>71.284510975244771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81.10894427290323</v>
      </c>
      <c r="F33" s="29">
        <v>33</v>
      </c>
      <c r="G33" s="29">
        <v>1</v>
      </c>
      <c r="H33" s="29">
        <v>5</v>
      </c>
      <c r="I33" s="39">
        <f ca="1"/>
        <v>76.10894427290323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77.546198422828894</v>
      </c>
      <c r="F34" s="29">
        <v>34</v>
      </c>
      <c r="G34" s="29">
        <v>1</v>
      </c>
      <c r="H34" s="29">
        <v>5</v>
      </c>
      <c r="I34" s="39">
        <f ca="1"/>
        <v>72.546198422828894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77.02198055869016</v>
      </c>
      <c r="F35" s="29">
        <v>35</v>
      </c>
      <c r="G35" s="29">
        <v>1</v>
      </c>
      <c r="H35" s="29">
        <v>5</v>
      </c>
      <c r="I35" s="39">
        <f ca="1"/>
        <v>72.02198055869016</v>
      </c>
      <c r="J35" s="2" t="b">
        <v>1</v>
      </c>
      <c r="K35" s="2" t="b">
        <f ca="1"/>
        <v>0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81.288018162275435</v>
      </c>
      <c r="F36" s="29">
        <v>36</v>
      </c>
      <c r="G36" s="29">
        <v>1</v>
      </c>
      <c r="H36" s="29">
        <v>5</v>
      </c>
      <c r="I36" s="39">
        <f ca="1"/>
        <v>76.288018162275435</v>
      </c>
      <c r="J36" s="2" t="b">
        <v>1</v>
      </c>
      <c r="K36" s="2" t="b">
        <f ca="1"/>
        <v>1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75.227907241134616</v>
      </c>
      <c r="F37" s="29">
        <v>37</v>
      </c>
      <c r="G37" s="29">
        <v>1</v>
      </c>
      <c r="H37" s="29">
        <v>5</v>
      </c>
      <c r="I37" s="39">
        <f ca="1"/>
        <v>70.227907241134616</v>
      </c>
      <c r="J37" s="2" t="b">
        <v>1</v>
      </c>
      <c r="K37" s="2" t="b">
        <f ca="1"/>
        <v>0</v>
      </c>
      <c r="L37" s="2" t="b">
        <f ca="1"/>
        <v>0</v>
      </c>
      <c r="M37" s="2">
        <v>80</v>
      </c>
    </row>
    <row r="38" spans="2:13" x14ac:dyDescent="0.2">
      <c r="B38" s="29">
        <v>23</v>
      </c>
      <c r="E38" s="39">
        <f ca="1"/>
        <v>83.966344571444438</v>
      </c>
      <c r="F38" s="29">
        <v>38</v>
      </c>
      <c r="G38" s="29">
        <v>1</v>
      </c>
      <c r="H38" s="29">
        <v>5</v>
      </c>
      <c r="I38" s="39">
        <f ca="1"/>
        <v>78.966344571444438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81.554537174331955</v>
      </c>
      <c r="F39" s="29">
        <v>39</v>
      </c>
      <c r="G39" s="29">
        <v>1</v>
      </c>
      <c r="H39" s="29">
        <v>5</v>
      </c>
      <c r="I39" s="39">
        <f ca="1"/>
        <v>76.554537174331955</v>
      </c>
      <c r="J39" s="2" t="b">
        <v>1</v>
      </c>
      <c r="K39" s="2" t="b">
        <f ca="1"/>
        <v>1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77.502382599519407</v>
      </c>
      <c r="F40" s="29">
        <v>40</v>
      </c>
      <c r="G40" s="29">
        <v>1</v>
      </c>
      <c r="H40" s="29">
        <v>5</v>
      </c>
      <c r="I40" s="39">
        <f ca="1"/>
        <v>72.502382599519407</v>
      </c>
      <c r="J40" s="2" t="b">
        <v>1</v>
      </c>
      <c r="K40" s="2" t="b">
        <f ca="1"/>
        <v>0</v>
      </c>
      <c r="L40" s="2" t="b">
        <f ca="1"/>
        <v>1</v>
      </c>
      <c r="M40" s="2">
        <v>80</v>
      </c>
    </row>
    <row r="41" spans="2:13" x14ac:dyDescent="0.2">
      <c r="B41" s="29">
        <v>26</v>
      </c>
      <c r="E41" s="39">
        <f ca="1"/>
        <v>75.875854903999809</v>
      </c>
      <c r="F41" s="29">
        <v>41</v>
      </c>
      <c r="G41" s="29">
        <v>1</v>
      </c>
      <c r="H41" s="29">
        <v>5</v>
      </c>
      <c r="I41" s="39">
        <f ca="1"/>
        <v>70.875854903999809</v>
      </c>
      <c r="J41" s="2" t="b">
        <v>1</v>
      </c>
      <c r="K41" s="2" t="b">
        <f ca="1"/>
        <v>0</v>
      </c>
      <c r="L41" s="2" t="b">
        <f ca="1"/>
        <v>0</v>
      </c>
      <c r="M41" s="2">
        <v>80</v>
      </c>
    </row>
    <row r="42" spans="2:13" x14ac:dyDescent="0.2">
      <c r="B42" s="29">
        <v>27</v>
      </c>
      <c r="E42" s="39">
        <f ca="1"/>
        <v>83.85832771128517</v>
      </c>
      <c r="F42" s="29">
        <v>42</v>
      </c>
      <c r="G42" s="29">
        <v>1</v>
      </c>
      <c r="H42" s="29">
        <v>5</v>
      </c>
      <c r="I42" s="39">
        <f ca="1"/>
        <v>78.85832771128517</v>
      </c>
      <c r="J42" s="2" t="b">
        <v>1</v>
      </c>
      <c r="K42" s="2" t="b">
        <f ca="1"/>
        <v>1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78.356057243707909</v>
      </c>
      <c r="F43" s="29">
        <v>43</v>
      </c>
      <c r="G43" s="29">
        <v>1</v>
      </c>
      <c r="H43" s="29">
        <v>5</v>
      </c>
      <c r="I43" s="39">
        <f ca="1"/>
        <v>73.356057243707909</v>
      </c>
      <c r="J43" s="2" t="b">
        <v>1</v>
      </c>
      <c r="K43" s="2" t="b">
        <f ca="1"/>
        <v>0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83.176894831698291</v>
      </c>
      <c r="F44" s="29">
        <v>44</v>
      </c>
      <c r="G44" s="29">
        <v>1</v>
      </c>
      <c r="H44" s="29">
        <v>5</v>
      </c>
      <c r="I44" s="39">
        <f ca="1"/>
        <v>78.176894831698291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83.721299745206238</v>
      </c>
      <c r="F45" s="29">
        <v>45</v>
      </c>
      <c r="G45" s="29">
        <v>1</v>
      </c>
      <c r="H45" s="29">
        <v>5</v>
      </c>
      <c r="I45" s="39">
        <f ca="1"/>
        <v>78.721299745206238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82.320906576205545</v>
      </c>
      <c r="F46" s="29">
        <v>46</v>
      </c>
      <c r="G46" s="29">
        <v>1</v>
      </c>
      <c r="H46" s="29">
        <v>5</v>
      </c>
      <c r="I46" s="39">
        <f ca="1"/>
        <v>77.320906576205545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84.604602359281103</v>
      </c>
      <c r="F47" s="29">
        <v>47</v>
      </c>
      <c r="G47" s="29">
        <v>1</v>
      </c>
      <c r="H47" s="29">
        <v>5</v>
      </c>
      <c r="I47" s="39">
        <f ca="1"/>
        <v>79.604602359281103</v>
      </c>
      <c r="J47" s="2" t="b">
        <v>1</v>
      </c>
      <c r="K47" s="2" t="b">
        <f ca="1"/>
        <v>1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topLeftCell="A6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76.493720771667981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83.966344571444438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78.966344571444438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76.395718791518206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81.554537174331955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76.554537174331955</v>
      </c>
      <c r="AE6" s="8">
        <f>AF5+1</f>
        <v>26</v>
      </c>
      <c r="AF6" s="72">
        <f>AE6+$AG$2</f>
        <v>36</v>
      </c>
      <c r="AG6" s="73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73.471126344813896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77.502382599519407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72.502382599519407</v>
      </c>
      <c r="AE7" s="8">
        <f t="shared" ref="AE7:AE70" si="1">AF6+1</f>
        <v>37</v>
      </c>
      <c r="AF7" s="72">
        <f t="shared" ref="AF7:AF70" si="2">AE7+$AG$2</f>
        <v>47</v>
      </c>
      <c r="AG7" s="73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75.924101359801313</v>
      </c>
      <c r="AH7" s="63">
        <f t="shared" ca="1" si="0"/>
        <v>30</v>
      </c>
    </row>
    <row r="8" spans="2:35" x14ac:dyDescent="0.2">
      <c r="B8" s="68" t="s">
        <v>6</v>
      </c>
      <c r="C8" s="69"/>
      <c r="D8" s="70" t="s">
        <v>17</v>
      </c>
      <c r="E8" s="68" t="s">
        <v>15</v>
      </c>
      <c r="F8" s="69"/>
      <c r="G8" s="7" t="s">
        <v>18</v>
      </c>
      <c r="H8" s="70" t="s">
        <v>20</v>
      </c>
      <c r="I8" s="68"/>
      <c r="J8" s="69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75.875854903999809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70.875854903999809</v>
      </c>
      <c r="AE8" s="8">
        <f t="shared" si="1"/>
        <v>48</v>
      </c>
      <c r="AF8" s="72">
        <f t="shared" si="2"/>
        <v>58</v>
      </c>
      <c r="AG8" s="73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1"/>
      <c r="E9" s="18" t="s">
        <v>14</v>
      </c>
      <c r="F9" s="19" t="s">
        <v>16</v>
      </c>
      <c r="G9" s="25" t="s">
        <v>19</v>
      </c>
      <c r="H9" s="71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83.85832771128517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78.85832771128517</v>
      </c>
      <c r="AE9" s="8">
        <f t="shared" si="1"/>
        <v>59</v>
      </c>
      <c r="AF9" s="72">
        <f t="shared" si="2"/>
        <v>69</v>
      </c>
      <c r="AG9" s="73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78.356057243707909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73.356057243707909</v>
      </c>
      <c r="AE10" s="8">
        <f t="shared" si="1"/>
        <v>70</v>
      </c>
      <c r="AF10" s="72">
        <f t="shared" si="2"/>
        <v>80</v>
      </c>
      <c r="AG10" s="73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83.176894831698291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78.176894831698291</v>
      </c>
      <c r="AE11" s="8">
        <f>AF10+1</f>
        <v>81</v>
      </c>
      <c r="AF11" s="72">
        <f t="shared" si="2"/>
        <v>91</v>
      </c>
      <c r="AG11" s="73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83.721299745206238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78.721299745206238</v>
      </c>
      <c r="AE12" s="8">
        <f t="shared" si="1"/>
        <v>92</v>
      </c>
      <c r="AF12" s="72">
        <f t="shared" si="2"/>
        <v>102</v>
      </c>
      <c r="AG12" s="73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82.320906576205545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77.320906576205545</v>
      </c>
      <c r="AE13" s="8">
        <f t="shared" si="1"/>
        <v>103</v>
      </c>
      <c r="AF13" s="72">
        <f t="shared" si="2"/>
        <v>113</v>
      </c>
      <c r="AG13" s="73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84.604602359281103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79.604602359281103</v>
      </c>
      <c r="AE14" s="8">
        <f t="shared" si="1"/>
        <v>114</v>
      </c>
      <c r="AF14" s="72">
        <f t="shared" si="2"/>
        <v>124</v>
      </c>
      <c r="AG14" s="73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72">
        <f t="shared" si="2"/>
        <v>135</v>
      </c>
      <c r="AG15" s="73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72">
        <f t="shared" si="2"/>
        <v>146</v>
      </c>
      <c r="AG16" s="73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72">
        <f t="shared" si="2"/>
        <v>157</v>
      </c>
      <c r="AG17" s="73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72">
        <f t="shared" si="2"/>
        <v>168</v>
      </c>
      <c r="AG18" s="73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72">
        <f t="shared" si="2"/>
        <v>179</v>
      </c>
      <c r="AG19" s="73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72">
        <f t="shared" si="2"/>
        <v>190</v>
      </c>
      <c r="AG20" s="73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72">
        <f t="shared" si="2"/>
        <v>201</v>
      </c>
      <c r="AG21" s="73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72">
        <f t="shared" si="2"/>
        <v>212</v>
      </c>
      <c r="AG22" s="73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72">
        <f t="shared" si="2"/>
        <v>223</v>
      </c>
      <c r="AG23" s="73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72">
        <f t="shared" si="2"/>
        <v>234</v>
      </c>
      <c r="AG24" s="73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72">
        <f t="shared" si="2"/>
        <v>245</v>
      </c>
      <c r="AG25" s="73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72">
        <f t="shared" si="2"/>
        <v>256</v>
      </c>
      <c r="AG26" s="73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B27" s="74"/>
      <c r="C27" s="74"/>
      <c r="AE27" s="8">
        <f t="shared" si="1"/>
        <v>257</v>
      </c>
      <c r="AF27" s="72">
        <f t="shared" si="2"/>
        <v>267</v>
      </c>
      <c r="AG27" s="73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72"/>
      <c r="C28" s="72"/>
      <c r="G28">
        <f>G27+1</f>
        <v>1</v>
      </c>
      <c r="H28">
        <f>$C$17</f>
        <v>0</v>
      </c>
      <c r="AE28" s="8">
        <f t="shared" si="1"/>
        <v>268</v>
      </c>
      <c r="AF28" s="72">
        <f t="shared" si="2"/>
        <v>278</v>
      </c>
      <c r="AG28" s="73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72"/>
      <c r="C29" s="72"/>
      <c r="AE29" s="8">
        <f t="shared" si="1"/>
        <v>279</v>
      </c>
      <c r="AF29" s="72">
        <f t="shared" si="2"/>
        <v>289</v>
      </c>
      <c r="AG29" s="73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B30" s="74"/>
      <c r="C30" s="74"/>
      <c r="AE30" s="8">
        <f t="shared" si="1"/>
        <v>290</v>
      </c>
      <c r="AF30" s="72">
        <f t="shared" si="2"/>
        <v>300</v>
      </c>
      <c r="AG30" s="73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75"/>
      <c r="C31" s="74"/>
      <c r="AE31" s="8">
        <f t="shared" si="1"/>
        <v>301</v>
      </c>
      <c r="AF31" s="72">
        <f t="shared" si="2"/>
        <v>311</v>
      </c>
      <c r="AG31" s="73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B32" s="74"/>
      <c r="C32" s="74"/>
      <c r="AE32" s="8">
        <f t="shared" si="1"/>
        <v>312</v>
      </c>
      <c r="AF32" s="72">
        <f t="shared" si="2"/>
        <v>322</v>
      </c>
      <c r="AG32" s="73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72">
        <f t="shared" si="2"/>
        <v>333</v>
      </c>
      <c r="AG33" s="73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72">
        <f t="shared" si="2"/>
        <v>344</v>
      </c>
      <c r="AG34" s="73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72">
        <f t="shared" si="2"/>
        <v>355</v>
      </c>
      <c r="AG35" s="73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72">
        <f t="shared" si="2"/>
        <v>366</v>
      </c>
      <c r="AG36" s="73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72">
        <f t="shared" si="2"/>
        <v>377</v>
      </c>
      <c r="AG37" s="73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72">
        <f t="shared" si="2"/>
        <v>388</v>
      </c>
      <c r="AG38" s="73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72">
        <f t="shared" si="2"/>
        <v>399</v>
      </c>
      <c r="AG39" s="73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72">
        <f t="shared" si="2"/>
        <v>410</v>
      </c>
      <c r="AG40" s="73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72">
        <f t="shared" si="2"/>
        <v>421</v>
      </c>
      <c r="AG41" s="73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72">
        <f t="shared" si="2"/>
        <v>432</v>
      </c>
      <c r="AG42" s="73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72">
        <f t="shared" si="2"/>
        <v>443</v>
      </c>
      <c r="AG43" s="73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72">
        <f t="shared" si="2"/>
        <v>454</v>
      </c>
      <c r="AG44" s="73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72">
        <f t="shared" si="2"/>
        <v>465</v>
      </c>
      <c r="AG45" s="73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72">
        <f t="shared" si="2"/>
        <v>476</v>
      </c>
      <c r="AG46" s="73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72">
        <f t="shared" si="2"/>
        <v>487</v>
      </c>
      <c r="AG47" s="73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72">
        <f t="shared" si="2"/>
        <v>498</v>
      </c>
      <c r="AG48" s="73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72">
        <f t="shared" si="2"/>
        <v>509</v>
      </c>
      <c r="AG49" s="73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72">
        <f t="shared" si="2"/>
        <v>520</v>
      </c>
      <c r="AG50" s="73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72">
        <f t="shared" si="2"/>
        <v>531</v>
      </c>
      <c r="AG51" s="73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72">
        <f t="shared" si="2"/>
        <v>542</v>
      </c>
      <c r="AG52" s="73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72">
        <f t="shared" si="2"/>
        <v>553</v>
      </c>
      <c r="AG53" s="73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72">
        <f t="shared" si="2"/>
        <v>564</v>
      </c>
      <c r="AG54" s="73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72">
        <f t="shared" si="2"/>
        <v>575</v>
      </c>
      <c r="AG55" s="73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72">
        <f t="shared" si="2"/>
        <v>586</v>
      </c>
      <c r="AG56" s="73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72">
        <f t="shared" si="2"/>
        <v>597</v>
      </c>
      <c r="AG57" s="73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72">
        <f t="shared" si="2"/>
        <v>608</v>
      </c>
      <c r="AG58" s="73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72">
        <f t="shared" si="2"/>
        <v>619</v>
      </c>
      <c r="AG59" s="73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72">
        <f t="shared" si="2"/>
        <v>630</v>
      </c>
      <c r="AG60" s="73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72">
        <f t="shared" si="2"/>
        <v>641</v>
      </c>
      <c r="AG61" s="73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72">
        <f t="shared" si="2"/>
        <v>652</v>
      </c>
      <c r="AG62" s="73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72">
        <f t="shared" si="2"/>
        <v>663</v>
      </c>
      <c r="AG63" s="73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72">
        <f t="shared" si="2"/>
        <v>674</v>
      </c>
      <c r="AG64" s="73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72">
        <f t="shared" si="2"/>
        <v>685</v>
      </c>
      <c r="AG65" s="73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72">
        <f t="shared" si="2"/>
        <v>696</v>
      </c>
      <c r="AG66" s="73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72">
        <f t="shared" si="2"/>
        <v>707</v>
      </c>
      <c r="AG67" s="73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72">
        <f t="shared" si="2"/>
        <v>718</v>
      </c>
      <c r="AG68" s="73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72">
        <f t="shared" si="2"/>
        <v>729</v>
      </c>
      <c r="AG69" s="73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2:H11"/>
  <sheetViews>
    <sheetView showGridLines="0" tabSelected="1" zoomScale="188" workbookViewId="0">
      <selection activeCell="B12" sqref="B12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2" spans="2:8" x14ac:dyDescent="0.2">
      <c r="B2" s="15" t="s">
        <v>6</v>
      </c>
      <c r="C2" s="43">
        <v>10</v>
      </c>
      <c r="D2" s="43"/>
      <c r="E2" s="43"/>
      <c r="F2" s="43"/>
      <c r="G2" s="43"/>
      <c r="H2" s="16">
        <v>11</v>
      </c>
    </row>
    <row r="3" spans="2:8" x14ac:dyDescent="0.2">
      <c r="B3" s="8" t="s">
        <v>90</v>
      </c>
      <c r="C3" s="72">
        <v>9</v>
      </c>
      <c r="D3" s="72">
        <v>9</v>
      </c>
      <c r="E3" s="72">
        <v>11</v>
      </c>
      <c r="F3" s="72"/>
      <c r="G3" s="72"/>
      <c r="H3" s="9"/>
    </row>
    <row r="4" spans="2:8" x14ac:dyDescent="0.2">
      <c r="B4" s="8" t="s">
        <v>92</v>
      </c>
      <c r="C4" s="72"/>
      <c r="D4" s="72"/>
      <c r="E4" s="72"/>
      <c r="F4" s="72"/>
      <c r="G4" s="72"/>
      <c r="H4" s="9">
        <v>11</v>
      </c>
    </row>
    <row r="5" spans="2:8" x14ac:dyDescent="0.2">
      <c r="B5" s="8" t="s">
        <v>25</v>
      </c>
      <c r="C5" s="72"/>
      <c r="D5" s="72">
        <v>10</v>
      </c>
      <c r="E5" s="72"/>
      <c r="F5" s="72"/>
      <c r="G5" s="72"/>
      <c r="H5" s="9"/>
    </row>
    <row r="6" spans="2:8" x14ac:dyDescent="0.2">
      <c r="B6" s="8" t="s">
        <v>26</v>
      </c>
      <c r="C6" s="72"/>
      <c r="D6" s="72"/>
      <c r="E6" s="72">
        <v>8</v>
      </c>
      <c r="F6" s="72"/>
      <c r="G6" s="72"/>
      <c r="H6" s="9"/>
    </row>
    <row r="7" spans="2:8" x14ac:dyDescent="0.2">
      <c r="B7" s="8" t="s">
        <v>5</v>
      </c>
      <c r="C7" s="72"/>
      <c r="D7" s="72"/>
      <c r="E7" s="72"/>
      <c r="F7" s="72" t="b">
        <v>0</v>
      </c>
      <c r="G7" s="7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1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1</v>
      </c>
      <c r="E9" s="2" t="b">
        <f>E3&gt;E6</f>
        <v>1</v>
      </c>
      <c r="F9" s="2" t="b">
        <f>F7</f>
        <v>0</v>
      </c>
      <c r="G9" s="2" t="b">
        <f>G8</f>
        <v>1</v>
      </c>
      <c r="H9" s="2" t="b">
        <v>1</v>
      </c>
    </row>
    <row r="11" spans="2:8" x14ac:dyDescent="0.2">
      <c r="B11" s="81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E4" sqref="E4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9" t="s">
        <v>34</v>
      </c>
      <c r="C2" s="79" t="s">
        <v>36</v>
      </c>
      <c r="D2" s="79" t="s">
        <v>37</v>
      </c>
      <c r="E2" s="79" t="s">
        <v>38</v>
      </c>
      <c r="F2" s="79" t="s">
        <v>65</v>
      </c>
      <c r="G2" s="79" t="s">
        <v>66</v>
      </c>
      <c r="H2" s="79" t="s">
        <v>81</v>
      </c>
      <c r="I2" s="80" t="s">
        <v>83</v>
      </c>
      <c r="J2" s="80" t="s">
        <v>85</v>
      </c>
      <c r="K2" s="80" t="s">
        <v>86</v>
      </c>
      <c r="L2" s="80" t="s">
        <v>87</v>
      </c>
      <c r="M2" s="80" t="s">
        <v>88</v>
      </c>
    </row>
    <row r="3" spans="2:13" ht="409.6" x14ac:dyDescent="0.2">
      <c r="B3" s="76" t="s">
        <v>68</v>
      </c>
      <c r="C3" s="76" t="s">
        <v>69</v>
      </c>
      <c r="D3" s="76" t="s">
        <v>40</v>
      </c>
      <c r="E3" s="76" t="s">
        <v>39</v>
      </c>
      <c r="F3" s="76" t="s">
        <v>72</v>
      </c>
      <c r="G3" s="76" t="s">
        <v>67</v>
      </c>
      <c r="H3" s="76" t="s">
        <v>82</v>
      </c>
      <c r="I3" s="76" t="s">
        <v>84</v>
      </c>
      <c r="J3" s="76" t="s">
        <v>84</v>
      </c>
      <c r="K3" s="76" t="s">
        <v>93</v>
      </c>
      <c r="L3" s="76" t="s">
        <v>94</v>
      </c>
      <c r="M3" s="76" t="s">
        <v>89</v>
      </c>
    </row>
    <row r="4" spans="2:13" ht="17" x14ac:dyDescent="0.2">
      <c r="B4" s="76" t="s">
        <v>35</v>
      </c>
      <c r="C4" s="76" t="s">
        <v>70</v>
      </c>
      <c r="D4" s="76"/>
      <c r="E4" s="76"/>
      <c r="F4" s="76" t="s">
        <v>73</v>
      </c>
      <c r="G4" s="76"/>
      <c r="H4" s="76"/>
      <c r="I4" s="76"/>
      <c r="J4" s="76"/>
      <c r="K4" s="76"/>
      <c r="L4" s="76"/>
      <c r="M4" s="76"/>
    </row>
    <row r="5" spans="2:13" ht="17" x14ac:dyDescent="0.2">
      <c r="B5" s="76"/>
      <c r="C5" s="77" t="s">
        <v>71</v>
      </c>
      <c r="D5" s="76"/>
      <c r="E5" s="76"/>
      <c r="F5" s="76" t="s">
        <v>74</v>
      </c>
      <c r="G5" s="76"/>
      <c r="H5" s="76"/>
      <c r="I5" s="76"/>
      <c r="J5" s="76"/>
      <c r="K5" s="76"/>
      <c r="L5" s="76"/>
      <c r="M5" s="76"/>
    </row>
    <row r="6" spans="2:13" ht="17" x14ac:dyDescent="0.2">
      <c r="B6" s="76"/>
      <c r="C6" s="76"/>
      <c r="D6" s="76"/>
      <c r="E6" s="76"/>
      <c r="F6" s="76" t="s">
        <v>75</v>
      </c>
      <c r="G6" s="76"/>
      <c r="H6" s="76"/>
      <c r="I6" s="76"/>
      <c r="J6" s="76"/>
      <c r="K6" s="76"/>
      <c r="L6" s="76"/>
      <c r="M6" s="76"/>
    </row>
    <row r="7" spans="2:13" ht="17" x14ac:dyDescent="0.2">
      <c r="B7" s="76"/>
      <c r="C7" s="76"/>
      <c r="D7" s="76"/>
      <c r="E7" s="76"/>
      <c r="F7" s="76" t="s">
        <v>76</v>
      </c>
      <c r="G7" s="76"/>
      <c r="H7" s="76"/>
      <c r="I7" s="76"/>
      <c r="J7" s="76"/>
      <c r="K7" s="76"/>
      <c r="L7" s="76"/>
      <c r="M7" s="76"/>
    </row>
    <row r="8" spans="2:13" ht="34" x14ac:dyDescent="0.2">
      <c r="B8" s="76"/>
      <c r="C8" s="76"/>
      <c r="D8" s="76"/>
      <c r="E8" s="76"/>
      <c r="F8" s="76" t="s">
        <v>77</v>
      </c>
      <c r="G8" s="76"/>
      <c r="H8" s="76"/>
      <c r="I8" s="76"/>
      <c r="J8" s="76"/>
      <c r="K8" s="76"/>
      <c r="L8" s="76"/>
      <c r="M8" s="76"/>
    </row>
    <row r="9" spans="2:13" x14ac:dyDescent="0.2"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calculs_intermediaires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2025-01-27T21:09:56Z</dcterms:modified>
</cp:coreProperties>
</file>