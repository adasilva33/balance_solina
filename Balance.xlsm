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1EBF6FCD-32B0-CB4B-B6AE-08109509823A}" xr6:coauthVersionLast="47" xr6:coauthVersionMax="47" xr10:uidLastSave="{00000000-0000-0000-0000-000000000000}"/>
  <bookViews>
    <workbookView xWindow="-3740" yWindow="-21100" windowWidth="38400" windowHeight="2110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  <sheet name="test" sheetId="8" r:id="rId5"/>
    <sheet name="backup" sheetId="11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3" l="1"/>
  <c r="D9" i="1"/>
  <c r="F4" i="3"/>
  <c r="A2" i="10" s="1" a="1"/>
  <c r="A2" i="10" s="1"/>
  <c r="J2" i="10" s="1" a="1"/>
  <c r="J2" i="10" s="1"/>
  <c r="I2" i="10" a="1"/>
  <c r="I2" i="10" s="1"/>
  <c r="C9" i="8" l="1"/>
  <c r="V6" i="3"/>
  <c r="W6" i="3"/>
  <c r="X6" i="3"/>
  <c r="Y6" i="3"/>
  <c r="Z6" i="3"/>
  <c r="AA6" i="3"/>
  <c r="AB6" i="3"/>
  <c r="U6" i="3"/>
  <c r="F3" i="3"/>
  <c r="D8" i="1"/>
  <c r="H9" i="8"/>
  <c r="F9" i="8"/>
  <c r="G9" i="8"/>
  <c r="E9" i="8"/>
  <c r="D9" i="8"/>
  <c r="C22" i="3"/>
  <c r="N2" i="10" l="1" a="1"/>
  <c r="N2" i="10" s="1"/>
  <c r="AE7" i="3"/>
  <c r="AF7" i="3" s="1"/>
  <c r="AE8" i="3" s="1"/>
  <c r="AF8" i="3" s="1"/>
  <c r="AE9" i="3" s="1"/>
  <c r="AF9" i="3" s="1"/>
  <c r="AE10" i="3" s="1"/>
  <c r="AF10" i="3" s="1"/>
  <c r="AE11" i="3" s="1"/>
  <c r="C4" i="3"/>
  <c r="F5" i="3" l="1"/>
  <c r="N4" i="3"/>
  <c r="AF11" i="3"/>
  <c r="AE1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3" i="3" l="1"/>
  <c r="Y2" i="3"/>
  <c r="U7" i="3" s="1" a="1"/>
  <c r="U7" i="3" s="1"/>
  <c r="AF12" i="3"/>
  <c r="AE13" i="3" s="1"/>
  <c r="AG11" i="3"/>
  <c r="AH11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12" i="3" l="1"/>
  <c r="AH12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C18" i="3" l="1" a="1"/>
  <c r="C18" i="3" s="1"/>
  <c r="C21" i="3" s="1"/>
  <c r="C23" i="3" s="1"/>
  <c r="AF14" i="3"/>
  <c r="AE15" i="3" s="1"/>
  <c r="AG13" i="3"/>
  <c r="AH13" i="3" s="1"/>
  <c r="C19" i="3" a="1"/>
  <c r="C19" i="3" s="1"/>
  <c r="C25" i="3" l="1"/>
  <c r="C26" i="3"/>
  <c r="AF15" i="3"/>
  <c r="AE16" i="3" s="1"/>
  <c r="AG14" i="3"/>
  <c r="AH14" i="3" s="1"/>
  <c r="P2" i="10" a="1"/>
  <c r="P2" i="10" s="1"/>
  <c r="O2" i="10" a="1"/>
  <c r="O2" i="10" s="1"/>
  <c r="AF16" i="3" l="1"/>
  <c r="AE17" i="3" s="1"/>
  <c r="AG15" i="3"/>
  <c r="AH15" i="3" s="1"/>
  <c r="C2" i="1"/>
  <c r="AF17" i="3" l="1"/>
  <c r="AE18" i="3" s="1"/>
  <c r="AG16" i="3"/>
  <c r="AH16" i="3" s="1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K2" i="10" l="1" a="1"/>
  <c r="K2" i="10" s="1"/>
  <c r="AG9" i="3"/>
  <c r="AH9" i="3" s="1"/>
  <c r="AG10" i="3"/>
  <c r="AH10" i="3" s="1"/>
  <c r="L2" i="10" l="1" a="1"/>
  <c r="L2" i="10" l="1"/>
  <c r="M2" i="10" s="1" a="1"/>
  <c r="AG8" i="3" l="1"/>
  <c r="AH8" i="3" s="1"/>
  <c r="M2" i="10"/>
  <c r="X7" i="3" s="1" a="1"/>
  <c r="X7" i="3" s="1"/>
  <c r="AB2" i="3" l="1"/>
  <c r="AB3" i="3"/>
  <c r="Q2" i="10" s="1" a="1"/>
  <c r="Q2" i="10" s="1"/>
  <c r="AG7" i="3"/>
  <c r="AH7" i="3" s="1"/>
  <c r="R2" i="10" s="1" a="1"/>
  <c r="R2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<sst xmlns="http://schemas.openxmlformats.org/spreadsheetml/2006/main" count="180" uniqueCount="97">
  <si>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</si>
  <si>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</si>
  <si>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</si>
  <si>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</si>
  <si>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</si>
  <si>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</si>
  <si>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</si>
  <si>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</si>
  <si>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</si>
  <si>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</si>
  <si>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</si>
  <si>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</si>
  <si>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</si>
  <si>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</si>
  <si>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</si>
  <si>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</si>
  <si>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</si>
  <si>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</si>
  <si>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</si>
  <si>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</si>
  <si>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</si>
  <si>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</si>
  <si>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</si>
  <si>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</si>
  <si>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</si>
  <si>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</si>
  <si>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</si>
  <si>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</si>
  <si>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produit_a</t>
  </si>
  <si>
    <t>Tare</t>
  </si>
  <si>
    <t>AJUSTER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</si>
  <si>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</si>
  <si>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</si>
  <si>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</si>
  <si>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</si>
  <si>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</si>
  <si>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</si>
  <si>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</si>
  <si>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</si>
  <si>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</si>
  <si>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</si>
  <si>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</si>
  <si>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</si>
  <si>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</si>
  <si>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</si>
  <si>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</si>
  <si>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</si>
  <si>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</si>
  <si>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</si>
  <si>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</si>
  <si>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</si>
  <si>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</si>
  <si>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</si>
  <si>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</si>
  <si>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</si>
  <si>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</si>
  <si>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</si>
  <si>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</si>
  <si>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</si>
  <si>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</si>
  <si>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</si>
  <si>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</si>
  <si>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</si>
  <si>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</si>
  <si>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</si>
  <si>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</si>
  <si>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</si>
  <si>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</si>
  <si>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</si>
  <si>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</si>
  <si>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</si>
  <si>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</si>
  <si>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</si>
  <si>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</si>
  <si>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</si>
  <si>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</si>
  <si>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</si>
  <si>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</si>
  <si>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</si>
  <si>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</si>
  <si>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</si>
  <si>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</si>
  <si>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</si>
  <si>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</si>
  <si>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</si>
  <si>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</si>
  <si>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</si>
  <si>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</si>
  <si>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</si>
  <si>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</si>
  <si>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</si>
  <si>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</si>
  <si>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</si>
  <si>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</si>
  <si>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</si>
  <si>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</si>
  <si>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lot_b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</si>
</sst>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4" fontId="0" fillId="6" borderId="0" xfId="0" applyNumberFormat="1" applyFill="1" applyAlignment="1">
      <alignment horizontal="center"/>
    </xf>
    <xf numFmtId="21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4" fontId="8" fillId="6" borderId="0" xfId="0" applyNumberFormat="1" applyFont="1" applyFill="1" applyAlignment="1">
      <alignment horizontal="center"/>
    </xf>
    <xf numFmtId="21" fontId="8" fillId="6" borderId="0" xfId="0" applyNumberFormat="1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3" borderId="10" xfId="0" applyFill="1" applyBorder="1" applyAlignment="1">
      <alignment horizontal="center"/>
    </xf>
    <xf numFmtId="14" fontId="9" fillId="0" borderId="0" xfId="0" applyNumberFormat="1" applyFont="1"/>
    <xf numFmtId="21" fontId="9" fillId="0" borderId="0" xfId="0" applyNumberFormat="1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data_brute!$M$1</c:f>
              <c:strCache>
                <c:ptCount val="1"/>
                <c:pt idx="0">
                  <c:v>Poids net</c:v>
                </c:pt>
              </c:strCache>
            </c:strRef>
          </c:tx>
          <c:spPr>
            <a:ln w="28575" cap="rnd">
              <a:solidFill>
                <a:srgbClr val="99401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94010"/>
              </a:solidFill>
              <a:ln w="9525">
                <a:solidFill>
                  <a:srgbClr val="99401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[0]!y_poids_net</c:f>
              <c:numCache>
                <c:formatCode>0.00</c:formatCode>
                <c:ptCount val="14"/>
                <c:pt idx="0">
                  <c:v>24.7</c:v>
                </c:pt>
                <c:pt idx="1">
                  <c:v>24.7</c:v>
                </c:pt>
                <c:pt idx="2">
                  <c:v>24.7</c:v>
                </c:pt>
                <c:pt idx="3">
                  <c:v>24.7</c:v>
                </c:pt>
                <c:pt idx="4">
                  <c:v>24.7</c:v>
                </c:pt>
                <c:pt idx="5">
                  <c:v>24.7</c:v>
                </c:pt>
                <c:pt idx="6">
                  <c:v>24.7</c:v>
                </c:pt>
                <c:pt idx="7">
                  <c:v>24.7</c:v>
                </c:pt>
                <c:pt idx="8">
                  <c:v>24.7</c:v>
                </c:pt>
                <c:pt idx="9">
                  <c:v>24.7</c:v>
                </c:pt>
                <c:pt idx="10">
                  <c:v>24.7</c:v>
                </c:pt>
                <c:pt idx="11">
                  <c:v>24.7</c:v>
                </c:pt>
                <c:pt idx="12">
                  <c:v>24.7</c:v>
                </c:pt>
                <c:pt idx="13">
                  <c:v>24.8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AE-9C42-8C9E-EDE9719B37D0}"/>
            </c:ext>
          </c:extLst>
        </c:ser>
        <c:ser>
          <c:idx val="8"/>
          <c:order val="1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14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2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14"/>
                <c:pt idx="0">
                  <c:v>24.625</c:v>
                </c:pt>
                <c:pt idx="1">
                  <c:v>24.625</c:v>
                </c:pt>
                <c:pt idx="2">
                  <c:v>24.625</c:v>
                </c:pt>
                <c:pt idx="3">
                  <c:v>24.625</c:v>
                </c:pt>
                <c:pt idx="4">
                  <c:v>24.625</c:v>
                </c:pt>
                <c:pt idx="5">
                  <c:v>24.625</c:v>
                </c:pt>
                <c:pt idx="6">
                  <c:v>24.625</c:v>
                </c:pt>
                <c:pt idx="7">
                  <c:v>24.625</c:v>
                </c:pt>
                <c:pt idx="8">
                  <c:v>24.625</c:v>
                </c:pt>
                <c:pt idx="9">
                  <c:v>24.625</c:v>
                </c:pt>
                <c:pt idx="10">
                  <c:v>24.625</c:v>
                </c:pt>
                <c:pt idx="11">
                  <c:v>24.625</c:v>
                </c:pt>
                <c:pt idx="12">
                  <c:v>24.625</c:v>
                </c:pt>
                <c:pt idx="13">
                  <c:v>24.625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3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14"/>
                <c:pt idx="0">
                  <c:v>25.375</c:v>
                </c:pt>
                <c:pt idx="1">
                  <c:v>25.375</c:v>
                </c:pt>
                <c:pt idx="2">
                  <c:v>25.375</c:v>
                </c:pt>
                <c:pt idx="3">
                  <c:v>25.375</c:v>
                </c:pt>
                <c:pt idx="4">
                  <c:v>25.375</c:v>
                </c:pt>
                <c:pt idx="5">
                  <c:v>25.375</c:v>
                </c:pt>
                <c:pt idx="6">
                  <c:v>25.375</c:v>
                </c:pt>
                <c:pt idx="7">
                  <c:v>25.375</c:v>
                </c:pt>
                <c:pt idx="8">
                  <c:v>25.375</c:v>
                </c:pt>
                <c:pt idx="9">
                  <c:v>25.375</c:v>
                </c:pt>
                <c:pt idx="10">
                  <c:v>25.375</c:v>
                </c:pt>
                <c:pt idx="11">
                  <c:v>25.375</c:v>
                </c:pt>
                <c:pt idx="12">
                  <c:v>25.375</c:v>
                </c:pt>
                <c:pt idx="13">
                  <c:v>25.375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ser>
          <c:idx val="2"/>
          <c:order val="4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[0]!y_moyenne_longue</c:f>
              <c:numCache>
                <c:formatCode>0.00</c:formatCode>
                <c:ptCount val="14"/>
                <c:pt idx="0">
                  <c:v>24.707142857142852</c:v>
                </c:pt>
                <c:pt idx="1">
                  <c:v>24.707142857142852</c:v>
                </c:pt>
                <c:pt idx="2">
                  <c:v>24.707142857142852</c:v>
                </c:pt>
                <c:pt idx="3">
                  <c:v>24.707142857142852</c:v>
                </c:pt>
                <c:pt idx="4">
                  <c:v>24.707142857142852</c:v>
                </c:pt>
                <c:pt idx="5">
                  <c:v>24.707142857142852</c:v>
                </c:pt>
                <c:pt idx="6">
                  <c:v>24.707142857142852</c:v>
                </c:pt>
                <c:pt idx="7">
                  <c:v>24.707142857142852</c:v>
                </c:pt>
                <c:pt idx="8">
                  <c:v>24.707142857142852</c:v>
                </c:pt>
                <c:pt idx="9">
                  <c:v>24.707142857142852</c:v>
                </c:pt>
                <c:pt idx="10">
                  <c:v>24.707142857142852</c:v>
                </c:pt>
                <c:pt idx="11">
                  <c:v>24.707142857142852</c:v>
                </c:pt>
                <c:pt idx="12">
                  <c:v>24.707142857142852</c:v>
                </c:pt>
                <c:pt idx="13">
                  <c:v>24.707142857142852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1-BE4F-8975-5B1C84CB597E}"/>
            </c:ext>
          </c:extLst>
        </c:ser>
        <c:ser>
          <c:idx val="3"/>
          <c:order val="5"/>
          <c:tx>
            <c:strRef>
              <c:f>data_brute!$R$1</c:f>
              <c:strCache>
                <c:ptCount val="1"/>
                <c:pt idx="0">
                  <c:v>Moyenne courte</c:v>
                </c:pt>
              </c:strCache>
            </c:strRef>
          </c:tx>
          <c:spPr>
            <a:ln w="57150" cap="rnd">
              <a:solidFill>
                <a:schemeClr val="accent4"/>
              </a:solidFill>
              <a:round/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plus"/>
            <c:size val="16"/>
            <c:spPr>
              <a:noFill/>
              <a:ln w="31750">
                <a:solidFill>
                  <a:schemeClr val="accent4"/>
                </a:solidFill>
              </a:ln>
              <a:effectLst>
                <a:outerShdw dist="50800" dir="5400000" sx="1000" sy="1000" algn="ctr" rotWithShape="0">
                  <a:srgbClr val="000000"/>
                </a:outerShdw>
              </a:effectLst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[0]!y_moyenne_courte</c:f>
              <c:numCache>
                <c:formatCode>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24.699999999999996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81-BE4F-8975-5B1C84CB5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noMultiLvlLbl val="0"/>
      </c:catAx>
      <c:valAx>
        <c:axId val="8902952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</xdr:row>
          <xdr:rowOff>127000</xdr:rowOff>
        </xdr:from>
        <xdr:to>
          <xdr:col>21</xdr:col>
          <xdr:colOff>101600</xdr:colOff>
          <xdr:row>3</xdr:row>
          <xdr:rowOff>101600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493994</xdr:colOff>
      <xdr:row>9</xdr:row>
      <xdr:rowOff>153430</xdr:rowOff>
    </xdr:from>
    <xdr:to>
      <xdr:col>14</xdr:col>
      <xdr:colOff>441240</xdr:colOff>
      <xdr:row>44</xdr:row>
      <xdr:rowOff>32780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32"/>
  <sheetViews>
    <sheetView showGridLines="0" zoomScale="125" zoomScaleNormal="100" workbookViewId="0">
      <selection activeCell="H16" sqref="H16"/>
    </sheetView>
  </sheetViews>
  <sheetFormatPr baseColWidth="10" defaultRowHeight="16" x14ac:dyDescent="0.2"/>
  <cols>
    <col min="1" max="1" width="10.83203125" style="2"/>
    <col min="2" max="8" width="10.83203125" style="65"/>
    <col min="9" max="9" width="10.83203125" style="38"/>
    <col min="10" max="12" width="10.83203125" style="2"/>
    <col min="13" max="13" width="10.83203125" style="38"/>
    <col min="14" max="14" width="3.83203125" style="2" customWidth="1"/>
    <col min="15" max="15" width="7.5" style="2" customWidth="1"/>
    <col min="16" max="16" width="7.1640625" style="2" customWidth="1"/>
    <col min="17" max="18" width="14.83203125" style="38" customWidth="1"/>
    <col min="19" max="16384" width="10.83203125" style="2"/>
  </cols>
  <sheetData>
    <row r="1" spans="1:26" x14ac:dyDescent="0.2">
      <c r="A1" s="50" t="s">
        <v>3</v>
      </c>
      <c r="B1" s="62" t="s">
        <v>0</v>
      </c>
      <c r="C1" s="62" t="s">
        <v>8</v>
      </c>
      <c r="D1" s="62"/>
      <c r="E1" s="62"/>
      <c r="F1" s="62"/>
      <c r="G1" s="62"/>
      <c r="H1" s="62"/>
      <c r="I1" s="60" t="s">
        <v>4</v>
      </c>
      <c r="J1" s="50" t="s">
        <v>49</v>
      </c>
      <c r="K1" s="50" t="s">
        <v>36</v>
      </c>
      <c r="L1" s="50" t="s">
        <v>29</v>
      </c>
      <c r="M1" s="60" t="s">
        <v>26</v>
      </c>
      <c r="N1" s="50" t="s">
        <v>6</v>
      </c>
      <c r="O1" s="50" t="s">
        <v>24</v>
      </c>
      <c r="P1" s="50" t="s">
        <v>25</v>
      </c>
      <c r="Q1" s="60" t="s">
        <v>74</v>
      </c>
      <c r="R1" s="60" t="s">
        <v>66</v>
      </c>
    </row>
    <row r="2" spans="1:26" x14ac:dyDescent="0.2">
      <c r="A2" s="28" cm="1">
        <f t="array" ref="A2:A15">_xlfn.SEQUENCE(calculs_intermediaires!F4)</f>
        <v>1</v>
      </c>
      <c r="B2" s="63">
        <v>45691</v>
      </c>
      <c r="C2" s="64">
        <v>0.42537037037037034</v>
      </c>
      <c r="D2" s="65" t="s">
        <v>80</v>
      </c>
      <c r="E2" s="65" t="s">
        <v>81</v>
      </c>
      <c r="G2" s="65" t="s">
        <v>82</v>
      </c>
      <c r="H2" s="65" t="s">
        <v>83</v>
      </c>
      <c r="I2" s="2" t="str" cm="1">
        <f t="array" aca="1" ref="I2:I15" ca="1">LEFT(poids_brute_balance,4)</f>
        <v>29,7</v>
      </c>
      <c r="J2" s="28" cm="1">
        <f t="array" ref="J2:J15">IF(_xlfn.ANCHORARRAY(A2)&lt;&gt;0,ROW(_xlfn.ANCHORARRAY(A2)))</f>
        <v>2</v>
      </c>
      <c r="K2" s="28" cm="1">
        <f t="array" ref="K2:K15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8" cm="1">
        <f t="array" ref="L2:L15">INDEX(calculs_intermediaires!$N$7:$N$100,MATCH(_xlfn.ANCHORARRAY(K2),calculs_intermediaires!$M$7:$M$100,0))</f>
        <v>5</v>
      </c>
      <c r="M2" s="36" cm="1">
        <f t="array" aca="1" ref="M2:M15" ca="1">IFERROR(_xlfn.ANCHORARRAY(I2)-_xlfn.ANCHORARRAY(L2),"")</f>
        <v>24.7</v>
      </c>
      <c r="N2" s="28" cm="1">
        <f t="array" ref="N2:N15">IF(_xlfn.SEQUENCE(calculs_intermediaires!F4,1,1), interface!C5, "")</f>
        <v>25</v>
      </c>
      <c r="O2" s="28" cm="1">
        <f t="array" ref="O2:O15">IF(_xlfn.SEQUENCE(calculs_intermediaires!F4,1,1), calculs_intermediaires!C25, "")</f>
        <v>24.625</v>
      </c>
      <c r="P2" s="28" cm="1">
        <f t="array" ref="P2:P15">IF(_xlfn.SEQUENCE(calculs_intermediaires!F4,1,1), calculs_intermediaires!C26, "")</f>
        <v>25.375</v>
      </c>
      <c r="Q2" s="36" cm="1">
        <f t="array" aca="1" ref="Q2:Q15" ca="1">IF(_xlfn.SEQUENCE(calculs_intermediaires!F4,1,1), calculs_intermediaires!AB3, "")</f>
        <v>24.707142857142852</v>
      </c>
      <c r="R2" s="36" t="e" cm="1">
        <f t="array" aca="1" ref="R2:R15" ca="1">INDEX(calculs_intermediaires!AG:AG,MATCH(_xlfn.ANCHORARRAY(A2),calculs_intermediaires!AH:AH,0))</f>
        <v>#N/A</v>
      </c>
      <c r="T2" s="14"/>
      <c r="Z2"/>
    </row>
    <row r="3" spans="1:26" x14ac:dyDescent="0.2">
      <c r="A3" s="28">
        <v>2</v>
      </c>
      <c r="B3" s="63">
        <v>45691</v>
      </c>
      <c r="C3" s="64">
        <v>0.4254398148148148</v>
      </c>
      <c r="D3" s="65" t="s">
        <v>80</v>
      </c>
      <c r="E3" s="65" t="s">
        <v>81</v>
      </c>
      <c r="G3" s="65" t="s">
        <v>82</v>
      </c>
      <c r="H3" s="65" t="s">
        <v>83</v>
      </c>
      <c r="I3" s="36" t="str">
        <f ca="1"/>
        <v>29,7</v>
      </c>
      <c r="J3" s="28">
        <v>3</v>
      </c>
      <c r="K3" s="28">
        <v>1</v>
      </c>
      <c r="L3" s="28">
        <v>5</v>
      </c>
      <c r="M3" s="36">
        <f ca="1"/>
        <v>24.7</v>
      </c>
      <c r="N3" s="28">
        <v>25</v>
      </c>
      <c r="O3" s="28">
        <v>24.625</v>
      </c>
      <c r="P3" s="28">
        <v>25.375</v>
      </c>
      <c r="Q3" s="36">
        <f ca="1"/>
        <v>24.707142857142852</v>
      </c>
      <c r="R3" s="36" t="e">
        <f ca="1"/>
        <v>#N/A</v>
      </c>
      <c r="Z3"/>
    </row>
    <row r="4" spans="1:26" x14ac:dyDescent="0.2">
      <c r="A4" s="28">
        <v>3</v>
      </c>
      <c r="B4" s="63">
        <v>45691</v>
      </c>
      <c r="C4" s="64">
        <v>0.42549768518518516</v>
      </c>
      <c r="D4" s="65" t="s">
        <v>80</v>
      </c>
      <c r="E4" s="65" t="s">
        <v>81</v>
      </c>
      <c r="G4" s="65" t="s">
        <v>82</v>
      </c>
      <c r="H4" s="65" t="s">
        <v>83</v>
      </c>
      <c r="I4" s="36" t="str">
        <f ca="1"/>
        <v>29,7</v>
      </c>
      <c r="J4" s="28">
        <v>4</v>
      </c>
      <c r="K4" s="28">
        <v>1</v>
      </c>
      <c r="L4" s="28">
        <v>5</v>
      </c>
      <c r="M4" s="36">
        <f ca="1"/>
        <v>24.7</v>
      </c>
      <c r="N4" s="28">
        <v>25</v>
      </c>
      <c r="O4" s="28">
        <v>24.625</v>
      </c>
      <c r="P4" s="28">
        <v>25.375</v>
      </c>
      <c r="Q4" s="36">
        <f ca="1"/>
        <v>24.707142857142852</v>
      </c>
      <c r="R4" s="36" t="e">
        <f ca="1"/>
        <v>#N/A</v>
      </c>
      <c r="Z4"/>
    </row>
    <row r="5" spans="1:26" x14ac:dyDescent="0.2">
      <c r="A5" s="28">
        <v>4</v>
      </c>
      <c r="B5" s="63">
        <v>45691</v>
      </c>
      <c r="C5" s="64">
        <v>0.42537037037037034</v>
      </c>
      <c r="D5" s="65" t="s">
        <v>80</v>
      </c>
      <c r="E5" s="65" t="s">
        <v>81</v>
      </c>
      <c r="G5" s="65" t="s">
        <v>82</v>
      </c>
      <c r="H5" s="65" t="s">
        <v>83</v>
      </c>
      <c r="I5" s="36" t="str">
        <f ca="1"/>
        <v>29,7</v>
      </c>
      <c r="J5" s="28">
        <v>5</v>
      </c>
      <c r="K5" s="28">
        <v>1</v>
      </c>
      <c r="L5" s="28">
        <v>5</v>
      </c>
      <c r="M5" s="36">
        <f ca="1"/>
        <v>24.7</v>
      </c>
      <c r="N5" s="28">
        <v>25</v>
      </c>
      <c r="O5" s="28">
        <v>24.625</v>
      </c>
      <c r="P5" s="28">
        <v>25.375</v>
      </c>
      <c r="Q5" s="36">
        <f ca="1"/>
        <v>24.707142857142852</v>
      </c>
      <c r="R5" s="36" t="e">
        <f ca="1"/>
        <v>#N/A</v>
      </c>
    </row>
    <row r="6" spans="1:26" x14ac:dyDescent="0.2">
      <c r="A6" s="28">
        <v>5</v>
      </c>
      <c r="B6" s="63">
        <v>45691</v>
      </c>
      <c r="C6" s="64">
        <v>0.4254398148148148</v>
      </c>
      <c r="D6" s="65" t="s">
        <v>80</v>
      </c>
      <c r="E6" s="65" t="s">
        <v>81</v>
      </c>
      <c r="G6" s="65" t="s">
        <v>82</v>
      </c>
      <c r="H6" s="65" t="s">
        <v>83</v>
      </c>
      <c r="I6" s="36" t="str">
        <f ca="1"/>
        <v>29,7</v>
      </c>
      <c r="J6" s="28">
        <v>6</v>
      </c>
      <c r="K6" s="28">
        <v>1</v>
      </c>
      <c r="L6" s="28">
        <v>5</v>
      </c>
      <c r="M6" s="36">
        <f ca="1"/>
        <v>24.7</v>
      </c>
      <c r="N6" s="28">
        <v>25</v>
      </c>
      <c r="O6" s="28">
        <v>24.625</v>
      </c>
      <c r="P6" s="28">
        <v>25.375</v>
      </c>
      <c r="Q6" s="36">
        <f ca="1"/>
        <v>24.707142857142852</v>
      </c>
      <c r="R6" s="36" t="e">
        <f ca="1"/>
        <v>#N/A</v>
      </c>
    </row>
    <row r="7" spans="1:26" x14ac:dyDescent="0.2">
      <c r="A7" s="28">
        <v>6</v>
      </c>
      <c r="B7" s="63">
        <v>45691</v>
      </c>
      <c r="C7" s="64">
        <v>0.42549768518518516</v>
      </c>
      <c r="D7" s="65" t="s">
        <v>80</v>
      </c>
      <c r="E7" s="65" t="s">
        <v>81</v>
      </c>
      <c r="G7" s="65" t="s">
        <v>82</v>
      </c>
      <c r="H7" s="65" t="s">
        <v>83</v>
      </c>
      <c r="I7" s="36" t="str">
        <f ca="1"/>
        <v>29,7</v>
      </c>
      <c r="J7" s="28">
        <v>7</v>
      </c>
      <c r="K7" s="28">
        <v>1</v>
      </c>
      <c r="L7" s="28">
        <v>5</v>
      </c>
      <c r="M7" s="36">
        <f ca="1"/>
        <v>24.7</v>
      </c>
      <c r="N7" s="28">
        <v>25</v>
      </c>
      <c r="O7" s="28">
        <v>24.625</v>
      </c>
      <c r="P7" s="28">
        <v>25.375</v>
      </c>
      <c r="Q7" s="36">
        <f ca="1"/>
        <v>24.707142857142852</v>
      </c>
      <c r="R7" s="36" t="e">
        <f ca="1"/>
        <v>#N/A</v>
      </c>
    </row>
    <row r="8" spans="1:26" x14ac:dyDescent="0.2">
      <c r="A8" s="28">
        <v>7</v>
      </c>
      <c r="B8" s="63">
        <v>45691</v>
      </c>
      <c r="C8" s="64">
        <v>0.42537037037037034</v>
      </c>
      <c r="D8" s="65" t="s">
        <v>80</v>
      </c>
      <c r="E8" s="65" t="s">
        <v>81</v>
      </c>
      <c r="G8" s="65" t="s">
        <v>82</v>
      </c>
      <c r="H8" s="65" t="s">
        <v>83</v>
      </c>
      <c r="I8" s="36" t="str">
        <f ca="1"/>
        <v>29,7</v>
      </c>
      <c r="J8" s="28">
        <v>8</v>
      </c>
      <c r="K8" s="28">
        <v>1</v>
      </c>
      <c r="L8" s="28">
        <v>5</v>
      </c>
      <c r="M8" s="36">
        <f ca="1"/>
        <v>24.7</v>
      </c>
      <c r="N8" s="28">
        <v>25</v>
      </c>
      <c r="O8" s="28">
        <v>24.625</v>
      </c>
      <c r="P8" s="28">
        <v>25.375</v>
      </c>
      <c r="Q8" s="36">
        <f ca="1"/>
        <v>24.707142857142852</v>
      </c>
      <c r="R8" s="36" t="e">
        <f ca="1"/>
        <v>#N/A</v>
      </c>
    </row>
    <row r="9" spans="1:26" x14ac:dyDescent="0.2">
      <c r="A9" s="28">
        <v>8</v>
      </c>
      <c r="B9" s="63">
        <v>45691</v>
      </c>
      <c r="C9" s="64">
        <v>0.4254398148148148</v>
      </c>
      <c r="D9" s="65" t="s">
        <v>80</v>
      </c>
      <c r="E9" s="65" t="s">
        <v>81</v>
      </c>
      <c r="G9" s="65" t="s">
        <v>82</v>
      </c>
      <c r="H9" s="65" t="s">
        <v>83</v>
      </c>
      <c r="I9" s="36" t="str">
        <f ca="1"/>
        <v>29,7</v>
      </c>
      <c r="J9" s="28">
        <v>9</v>
      </c>
      <c r="K9" s="28">
        <v>1</v>
      </c>
      <c r="L9" s="28">
        <v>5</v>
      </c>
      <c r="M9" s="36">
        <f ca="1"/>
        <v>24.7</v>
      </c>
      <c r="N9" s="28">
        <v>25</v>
      </c>
      <c r="O9" s="28">
        <v>24.625</v>
      </c>
      <c r="P9" s="28">
        <v>25.375</v>
      </c>
      <c r="Q9" s="36">
        <f ca="1"/>
        <v>24.707142857142852</v>
      </c>
      <c r="R9" s="36" t="e">
        <f ca="1"/>
        <v>#N/A</v>
      </c>
    </row>
    <row r="10" spans="1:26" x14ac:dyDescent="0.2">
      <c r="A10" s="28">
        <v>9</v>
      </c>
      <c r="B10" s="63">
        <v>45691</v>
      </c>
      <c r="C10" s="64">
        <v>0.42549768518518516</v>
      </c>
      <c r="D10" s="65" t="s">
        <v>80</v>
      </c>
      <c r="E10" s="65" t="s">
        <v>81</v>
      </c>
      <c r="G10" s="65" t="s">
        <v>82</v>
      </c>
      <c r="H10" s="65" t="s">
        <v>83</v>
      </c>
      <c r="I10" s="36" t="str">
        <f ca="1"/>
        <v>29,7</v>
      </c>
      <c r="J10" s="28">
        <v>10</v>
      </c>
      <c r="K10" s="28">
        <v>1</v>
      </c>
      <c r="L10" s="28">
        <v>5</v>
      </c>
      <c r="M10" s="36">
        <f ca="1"/>
        <v>24.7</v>
      </c>
      <c r="N10" s="28">
        <v>25</v>
      </c>
      <c r="O10" s="28">
        <v>24.625</v>
      </c>
      <c r="P10" s="28">
        <v>25.375</v>
      </c>
      <c r="Q10" s="36">
        <f ca="1"/>
        <v>24.707142857142852</v>
      </c>
      <c r="R10" s="36" t="e">
        <f ca="1"/>
        <v>#N/A</v>
      </c>
    </row>
    <row r="11" spans="1:26" x14ac:dyDescent="0.2">
      <c r="A11" s="28">
        <v>10</v>
      </c>
      <c r="B11" s="63">
        <v>45691</v>
      </c>
      <c r="C11" s="64">
        <v>0.42537037037037034</v>
      </c>
      <c r="D11" s="65" t="s">
        <v>80</v>
      </c>
      <c r="E11" s="65" t="s">
        <v>81</v>
      </c>
      <c r="G11" s="65" t="s">
        <v>82</v>
      </c>
      <c r="H11" s="65" t="s">
        <v>83</v>
      </c>
      <c r="I11" s="36" t="str">
        <f ca="1"/>
        <v>29,7</v>
      </c>
      <c r="J11" s="28">
        <v>11</v>
      </c>
      <c r="K11" s="28">
        <v>1</v>
      </c>
      <c r="L11" s="28">
        <v>5</v>
      </c>
      <c r="M11" s="36">
        <f ca="1"/>
        <v>24.7</v>
      </c>
      <c r="N11" s="28">
        <v>25</v>
      </c>
      <c r="O11" s="28">
        <v>24.625</v>
      </c>
      <c r="P11" s="28">
        <v>25.375</v>
      </c>
      <c r="Q11" s="36">
        <f ca="1"/>
        <v>24.707142857142852</v>
      </c>
      <c r="R11" s="36">
        <f ca="1"/>
        <v>24.699999999999996</v>
      </c>
    </row>
    <row r="12" spans="1:26" x14ac:dyDescent="0.2">
      <c r="A12" s="28">
        <v>11</v>
      </c>
      <c r="B12" s="63">
        <v>45691</v>
      </c>
      <c r="C12" s="64">
        <v>0.4254398148148148</v>
      </c>
      <c r="D12" s="65" t="s">
        <v>80</v>
      </c>
      <c r="E12" s="65" t="s">
        <v>81</v>
      </c>
      <c r="G12" s="65" t="s">
        <v>82</v>
      </c>
      <c r="H12" s="65" t="s">
        <v>83</v>
      </c>
      <c r="I12" s="36" t="str">
        <f ca="1"/>
        <v>29,7</v>
      </c>
      <c r="J12" s="28">
        <v>12</v>
      </c>
      <c r="K12" s="28">
        <v>1</v>
      </c>
      <c r="L12" s="28">
        <v>5</v>
      </c>
      <c r="M12" s="36">
        <f ca="1"/>
        <v>24.7</v>
      </c>
      <c r="N12" s="28">
        <v>25</v>
      </c>
      <c r="O12" s="28">
        <v>24.625</v>
      </c>
      <c r="P12" s="28">
        <v>25.375</v>
      </c>
      <c r="Q12" s="36">
        <f ca="1"/>
        <v>24.707142857142852</v>
      </c>
      <c r="R12" s="36" t="e">
        <f ca="1"/>
        <v>#N/A</v>
      </c>
    </row>
    <row r="13" spans="1:26" x14ac:dyDescent="0.2">
      <c r="A13" s="28">
        <v>12</v>
      </c>
      <c r="B13" s="63">
        <v>45691</v>
      </c>
      <c r="C13" s="64">
        <v>0.42549768518518516</v>
      </c>
      <c r="D13" s="65" t="s">
        <v>80</v>
      </c>
      <c r="E13" s="65" t="s">
        <v>81</v>
      </c>
      <c r="G13" s="65" t="s">
        <v>82</v>
      </c>
      <c r="H13" s="65" t="s">
        <v>83</v>
      </c>
      <c r="I13" s="36" t="str">
        <f ca="1"/>
        <v>29,7</v>
      </c>
      <c r="J13" s="28">
        <v>13</v>
      </c>
      <c r="K13" s="28">
        <v>1</v>
      </c>
      <c r="L13" s="28">
        <v>5</v>
      </c>
      <c r="M13" s="36">
        <f ca="1"/>
        <v>24.7</v>
      </c>
      <c r="N13" s="28">
        <v>25</v>
      </c>
      <c r="O13" s="28">
        <v>24.625</v>
      </c>
      <c r="P13" s="28">
        <v>25.375</v>
      </c>
      <c r="Q13" s="36">
        <f ca="1"/>
        <v>24.707142857142852</v>
      </c>
      <c r="R13" s="36" t="e">
        <f ca="1"/>
        <v>#N/A</v>
      </c>
    </row>
    <row r="14" spans="1:26" x14ac:dyDescent="0.2">
      <c r="A14" s="28">
        <v>13</v>
      </c>
      <c r="B14" s="63">
        <v>45691</v>
      </c>
      <c r="C14" s="64">
        <v>0.42549768518518516</v>
      </c>
      <c r="D14" s="65" t="s">
        <v>80</v>
      </c>
      <c r="E14" s="65" t="s">
        <v>81</v>
      </c>
      <c r="G14" s="65" t="s">
        <v>82</v>
      </c>
      <c r="H14" s="65" t="s">
        <v>83</v>
      </c>
      <c r="I14" s="36" t="str">
        <f ca="1"/>
        <v>29,7</v>
      </c>
      <c r="J14" s="28">
        <v>14</v>
      </c>
      <c r="K14" s="28">
        <v>1</v>
      </c>
      <c r="L14" s="28">
        <v>5</v>
      </c>
      <c r="M14" s="36">
        <f ca="1"/>
        <v>24.7</v>
      </c>
      <c r="N14" s="28">
        <v>25</v>
      </c>
      <c r="O14" s="28">
        <v>24.625</v>
      </c>
      <c r="P14" s="28">
        <v>25.375</v>
      </c>
      <c r="Q14" s="36">
        <f ca="1"/>
        <v>24.707142857142852</v>
      </c>
      <c r="R14" s="36" t="e">
        <f ca="1"/>
        <v>#N/A</v>
      </c>
    </row>
    <row r="15" spans="1:26" x14ac:dyDescent="0.2">
      <c r="A15" s="28">
        <v>14</v>
      </c>
      <c r="B15" s="63">
        <v>45691</v>
      </c>
      <c r="C15" s="64">
        <v>0.42549768518518516</v>
      </c>
      <c r="D15" s="65" t="s">
        <v>80</v>
      </c>
      <c r="E15" s="65" t="s">
        <v>81</v>
      </c>
      <c r="G15" s="65" t="s">
        <v>95</v>
      </c>
      <c r="H15" s="68" t="s">
        <v>83</v>
      </c>
      <c r="I15" s="36" t="str">
        <f ca="1"/>
        <v>29,8</v>
      </c>
      <c r="J15" s="28">
        <v>15</v>
      </c>
      <c r="K15" s="28">
        <v>1</v>
      </c>
      <c r="L15" s="28">
        <v>5</v>
      </c>
      <c r="M15" s="36">
        <f ca="1"/>
        <v>24.8</v>
      </c>
      <c r="N15" s="28">
        <v>25</v>
      </c>
      <c r="O15" s="28">
        <v>24.625</v>
      </c>
      <c r="P15" s="28">
        <v>25.375</v>
      </c>
      <c r="Q15" s="36">
        <f ca="1"/>
        <v>24.707142857142852</v>
      </c>
      <c r="R15" s="36" t="e">
        <f ca="1"/>
        <v>#N/A</v>
      </c>
    </row>
    <row r="16" spans="1:26" x14ac:dyDescent="0.2">
      <c r="A16" s="28"/>
      <c r="B16" s="66"/>
      <c r="C16" s="67"/>
      <c r="D16" s="68"/>
      <c r="E16" s="68"/>
      <c r="F16" s="68"/>
      <c r="G16" s="68"/>
      <c r="H16" s="68"/>
      <c r="I16" s="36"/>
      <c r="J16" s="28"/>
      <c r="K16" s="28"/>
      <c r="L16" s="28"/>
      <c r="M16" s="36"/>
      <c r="N16" s="28"/>
      <c r="O16" s="28"/>
      <c r="P16" s="28"/>
      <c r="Q16" s="36"/>
      <c r="R16" s="36"/>
    </row>
    <row r="17" spans="1:18" x14ac:dyDescent="0.2">
      <c r="A17" s="28"/>
      <c r="B17" s="69"/>
      <c r="C17" s="69"/>
      <c r="D17" s="69"/>
      <c r="E17" s="69"/>
      <c r="F17" s="69"/>
      <c r="G17" s="69"/>
      <c r="H17" s="69"/>
      <c r="I17" s="36"/>
      <c r="J17" s="28"/>
      <c r="K17" s="28"/>
      <c r="L17" s="28"/>
      <c r="M17" s="36"/>
      <c r="N17" s="28"/>
      <c r="O17" s="28"/>
      <c r="P17" s="28"/>
      <c r="Q17" s="36"/>
      <c r="R17" s="36"/>
    </row>
    <row r="18" spans="1:18" x14ac:dyDescent="0.2">
      <c r="A18" s="28"/>
      <c r="B18" s="69"/>
      <c r="C18" s="69"/>
      <c r="D18" s="69"/>
      <c r="E18" s="69"/>
      <c r="F18" s="69"/>
      <c r="G18" s="69"/>
      <c r="H18" s="69"/>
      <c r="I18" s="36"/>
      <c r="J18" s="28"/>
      <c r="K18" s="28"/>
      <c r="L18" s="28"/>
      <c r="M18" s="36"/>
      <c r="N18" s="28"/>
      <c r="O18" s="28"/>
      <c r="P18" s="28"/>
      <c r="Q18" s="36"/>
      <c r="R18" s="36"/>
    </row>
    <row r="19" spans="1:18" x14ac:dyDescent="0.2">
      <c r="A19" s="28"/>
      <c r="B19" s="69"/>
      <c r="C19" s="69"/>
      <c r="D19" s="69"/>
      <c r="E19" s="69"/>
      <c r="F19" s="69"/>
      <c r="G19" s="69"/>
      <c r="H19" s="69"/>
      <c r="I19" s="36"/>
      <c r="J19" s="28"/>
      <c r="K19" s="28"/>
      <c r="L19" s="28"/>
      <c r="M19" s="36"/>
      <c r="N19" s="28"/>
      <c r="O19" s="28"/>
      <c r="P19" s="28"/>
      <c r="Q19" s="36"/>
      <c r="R19" s="36"/>
    </row>
    <row r="20" spans="1:18" x14ac:dyDescent="0.2">
      <c r="A20" s="28"/>
      <c r="B20" s="69"/>
      <c r="C20" s="69"/>
      <c r="D20" s="69"/>
      <c r="E20" s="69"/>
      <c r="F20" s="69"/>
      <c r="G20" s="69"/>
      <c r="H20" s="69"/>
      <c r="I20" s="36"/>
      <c r="J20" s="28"/>
      <c r="K20" s="28"/>
      <c r="L20" s="28"/>
      <c r="M20" s="36"/>
      <c r="N20" s="28"/>
      <c r="O20" s="28"/>
      <c r="P20" s="28"/>
      <c r="Q20" s="36"/>
      <c r="R20" s="36"/>
    </row>
    <row r="21" spans="1:18" x14ac:dyDescent="0.2">
      <c r="A21" s="28"/>
      <c r="B21" s="69"/>
      <c r="C21" s="69"/>
      <c r="D21" s="69"/>
      <c r="E21" s="69"/>
      <c r="F21" s="69"/>
      <c r="G21" s="69"/>
      <c r="H21" s="69"/>
      <c r="I21" s="36"/>
      <c r="J21" s="28"/>
      <c r="K21" s="28"/>
      <c r="L21" s="28"/>
      <c r="M21" s="36"/>
      <c r="N21" s="28"/>
      <c r="O21" s="28"/>
      <c r="P21" s="28"/>
      <c r="Q21" s="36"/>
      <c r="R21" s="36"/>
    </row>
    <row r="22" spans="1:18" x14ac:dyDescent="0.2">
      <c r="A22" s="28"/>
      <c r="B22" s="69"/>
      <c r="C22" s="69"/>
      <c r="D22" s="69"/>
      <c r="E22" s="69"/>
      <c r="F22" s="69"/>
      <c r="G22" s="69"/>
      <c r="H22" s="69"/>
      <c r="I22" s="36"/>
      <c r="J22" s="28"/>
      <c r="K22" s="28"/>
      <c r="L22" s="28"/>
      <c r="M22" s="36"/>
      <c r="N22" s="28"/>
      <c r="O22" s="28"/>
      <c r="P22" s="28"/>
      <c r="Q22" s="36"/>
      <c r="R22" s="36"/>
    </row>
    <row r="23" spans="1:18" x14ac:dyDescent="0.2">
      <c r="A23" s="28"/>
      <c r="B23" s="69"/>
      <c r="C23" s="69"/>
      <c r="D23" s="69"/>
      <c r="E23" s="69"/>
      <c r="F23" s="69"/>
      <c r="G23" s="69"/>
      <c r="H23" s="69"/>
      <c r="I23" s="36"/>
      <c r="J23" s="28"/>
      <c r="K23" s="28"/>
      <c r="L23" s="28"/>
      <c r="M23" s="36"/>
      <c r="N23" s="28"/>
      <c r="O23" s="28"/>
      <c r="P23" s="28"/>
      <c r="Q23" s="36"/>
      <c r="R23" s="36"/>
    </row>
    <row r="24" spans="1:18" x14ac:dyDescent="0.2">
      <c r="A24" s="28"/>
      <c r="B24" s="69"/>
      <c r="C24" s="69"/>
      <c r="D24" s="69"/>
      <c r="E24" s="69"/>
      <c r="F24" s="69"/>
      <c r="G24" s="69"/>
      <c r="H24" s="69"/>
      <c r="I24" s="36"/>
      <c r="J24" s="28"/>
      <c r="K24" s="28"/>
      <c r="L24" s="28"/>
      <c r="M24" s="36"/>
      <c r="N24" s="28"/>
      <c r="O24" s="28"/>
      <c r="P24" s="28"/>
      <c r="Q24" s="36"/>
      <c r="R24" s="36"/>
    </row>
    <row r="25" spans="1:18" x14ac:dyDescent="0.2">
      <c r="A25" s="28"/>
      <c r="B25" s="69"/>
      <c r="C25" s="69"/>
      <c r="D25" s="69"/>
      <c r="E25" s="69"/>
      <c r="F25" s="69"/>
      <c r="G25" s="69"/>
      <c r="H25" s="69"/>
      <c r="I25" s="36"/>
      <c r="J25" s="28"/>
      <c r="K25" s="28"/>
      <c r="L25" s="28"/>
      <c r="M25" s="36"/>
      <c r="N25" s="28"/>
      <c r="O25" s="28"/>
      <c r="P25" s="28"/>
      <c r="Q25" s="36"/>
      <c r="R25" s="36"/>
    </row>
    <row r="26" spans="1:18" x14ac:dyDescent="0.2">
      <c r="A26" s="28"/>
      <c r="B26" s="69"/>
      <c r="C26" s="69"/>
      <c r="D26" s="69"/>
      <c r="E26" s="69"/>
      <c r="F26" s="69"/>
      <c r="G26" s="69"/>
      <c r="H26" s="69"/>
      <c r="I26" s="36"/>
      <c r="J26" s="28"/>
      <c r="K26" s="28"/>
      <c r="L26" s="28"/>
      <c r="M26" s="36"/>
      <c r="N26" s="28"/>
      <c r="O26" s="28"/>
      <c r="P26" s="28"/>
      <c r="Q26" s="36"/>
      <c r="R26" s="36"/>
    </row>
    <row r="27" spans="1:18" x14ac:dyDescent="0.2">
      <c r="A27" s="28"/>
      <c r="B27" s="69"/>
      <c r="C27" s="69"/>
      <c r="D27" s="69"/>
      <c r="E27" s="69"/>
      <c r="F27" s="69"/>
      <c r="G27" s="69"/>
      <c r="H27" s="69"/>
      <c r="I27" s="36"/>
      <c r="J27" s="28"/>
      <c r="K27" s="28"/>
      <c r="L27" s="28"/>
      <c r="M27" s="36"/>
      <c r="N27" s="28"/>
      <c r="O27" s="28"/>
      <c r="P27" s="28"/>
      <c r="Q27" s="36"/>
      <c r="R27" s="36"/>
    </row>
    <row r="28" spans="1:18" x14ac:dyDescent="0.2">
      <c r="A28" s="28"/>
      <c r="B28" s="69"/>
      <c r="C28" s="69"/>
      <c r="D28" s="69"/>
      <c r="E28" s="69"/>
      <c r="F28" s="69"/>
      <c r="G28" s="69"/>
      <c r="H28" s="69"/>
      <c r="I28" s="36"/>
      <c r="J28" s="28"/>
      <c r="K28" s="28"/>
      <c r="L28" s="28"/>
      <c r="M28" s="36"/>
      <c r="N28" s="28"/>
      <c r="O28" s="28"/>
      <c r="P28" s="28"/>
      <c r="Q28" s="36"/>
      <c r="R28" s="36"/>
    </row>
    <row r="29" spans="1:18" x14ac:dyDescent="0.2">
      <c r="A29" s="28"/>
      <c r="B29" s="69"/>
      <c r="C29" s="69"/>
      <c r="D29" s="69"/>
      <c r="E29" s="69"/>
      <c r="F29" s="69"/>
      <c r="G29" s="69"/>
      <c r="H29" s="69"/>
      <c r="I29" s="36"/>
      <c r="J29" s="28"/>
      <c r="K29" s="28"/>
      <c r="L29" s="28"/>
      <c r="M29" s="36"/>
      <c r="N29" s="28"/>
      <c r="O29" s="28"/>
      <c r="P29" s="28"/>
      <c r="Q29" s="36"/>
      <c r="R29" s="36"/>
    </row>
    <row r="30" spans="1:18" x14ac:dyDescent="0.2">
      <c r="A30" s="28"/>
      <c r="B30" s="69"/>
      <c r="C30" s="69"/>
      <c r="D30" s="69"/>
      <c r="E30" s="69"/>
      <c r="F30" s="69"/>
      <c r="G30" s="69"/>
      <c r="H30" s="69"/>
      <c r="I30" s="36"/>
      <c r="J30" s="28"/>
      <c r="K30" s="28"/>
      <c r="L30" s="28"/>
      <c r="M30" s="36"/>
      <c r="N30" s="28"/>
      <c r="O30" s="28"/>
      <c r="P30" s="28"/>
      <c r="Q30" s="36"/>
      <c r="R30" s="36"/>
    </row>
    <row r="31" spans="1:18" x14ac:dyDescent="0.2">
      <c r="A31" s="28"/>
      <c r="B31" s="69"/>
      <c r="C31" s="69"/>
      <c r="D31" s="69"/>
      <c r="E31" s="69"/>
      <c r="F31" s="69"/>
      <c r="G31" s="69"/>
      <c r="H31" s="69"/>
      <c r="I31" s="36"/>
      <c r="J31" s="28"/>
      <c r="K31" s="28"/>
      <c r="L31" s="28"/>
      <c r="M31" s="36"/>
      <c r="N31" s="28"/>
      <c r="O31" s="28"/>
      <c r="P31" s="28"/>
      <c r="Q31" s="36"/>
      <c r="R31" s="36"/>
    </row>
    <row r="32" spans="1:18" x14ac:dyDescent="0.2">
      <c r="A32" s="28"/>
      <c r="B32" s="69"/>
      <c r="C32" s="69"/>
      <c r="D32" s="69"/>
      <c r="E32" s="69"/>
      <c r="F32" s="69"/>
      <c r="G32" s="69"/>
      <c r="H32" s="69"/>
      <c r="I32" s="36"/>
      <c r="J32" s="28"/>
      <c r="K32" s="28"/>
      <c r="L32" s="28"/>
      <c r="M32" s="36"/>
      <c r="N32" s="28"/>
      <c r="O32" s="28"/>
      <c r="P32" s="28"/>
      <c r="Q32" s="36"/>
      <c r="R32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19</xdr:col>
                    <xdr:colOff>228600</xdr:colOff>
                    <xdr:row>1</xdr:row>
                    <xdr:rowOff>127000</xdr:rowOff>
                  </from>
                  <to>
                    <xdr:col>21</xdr:col>
                    <xdr:colOff>101600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workbookViewId="0">
      <selection activeCell="C3" sqref="C3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45691.7919744213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28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70" t="s">
        <v>96</v>
      </c>
      <c r="E4" s="28"/>
      <c r="F4" s="28"/>
      <c r="I4" s="2"/>
      <c r="J4" s="2"/>
      <c r="K4" s="2"/>
      <c r="L4" s="2"/>
      <c r="M4" s="2"/>
    </row>
    <row r="5" spans="1:13" x14ac:dyDescent="0.2">
      <c r="B5" s="2" t="s">
        <v>7</v>
      </c>
      <c r="C5" s="22">
        <v>25</v>
      </c>
      <c r="I5" s="2"/>
      <c r="J5" s="2"/>
      <c r="K5" s="2"/>
      <c r="L5" s="2"/>
      <c r="M5" s="2"/>
    </row>
    <row r="6" spans="1:13" x14ac:dyDescent="0.2"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39</v>
      </c>
      <c r="D8" s="20">
        <f>INDEX(calculs_intermediaires!$M$7:$M$100,MATCH(TRUE,calculs_intermediaires!$R$7:$R$100,0))</f>
        <v>1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41</v>
      </c>
      <c r="D9" s="28">
        <f>INDEX(calculs_intermediaires!$N$7:$N$100,MATCH(TRUE,calculs_intermediaires!$R$7:$R$100,0))</f>
        <v>5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W72"/>
  <sheetViews>
    <sheetView showGridLines="0" zoomScale="115" workbookViewId="0">
      <selection activeCell="P8" sqref="P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</cols>
  <sheetData>
    <row r="1" spans="2:49" x14ac:dyDescent="0.2">
      <c r="U1"/>
      <c r="V1"/>
      <c r="W1"/>
      <c r="X1"/>
      <c r="Y1"/>
      <c r="Z1"/>
      <c r="AA1"/>
      <c r="AB1" s="37"/>
    </row>
    <row r="2" spans="2:49" x14ac:dyDescent="0.2">
      <c r="B2" s="6" t="s">
        <v>10</v>
      </c>
      <c r="M2" s="5" t="s">
        <v>29</v>
      </c>
      <c r="U2" s="29" t="s">
        <v>69</v>
      </c>
      <c r="V2" s="3">
        <v>10</v>
      </c>
      <c r="X2" s="2" t="s">
        <v>70</v>
      </c>
      <c r="Y2" s="25">
        <f>F5-V2+1</f>
        <v>6</v>
      </c>
      <c r="Z2"/>
      <c r="AA2" s="2" t="s">
        <v>73</v>
      </c>
      <c r="AB2" s="39">
        <f ca="1">AVERAGE(OFFSET($AB$7, 0, 0, V2, 1))</f>
        <v>24.709999999999997</v>
      </c>
      <c r="AE2" s="6" t="s">
        <v>45</v>
      </c>
      <c r="AG2" s="45">
        <v>10</v>
      </c>
      <c r="AK2" s="61"/>
    </row>
    <row r="3" spans="2:49" x14ac:dyDescent="0.2">
      <c r="E3" s="14" t="s">
        <v>44</v>
      </c>
      <c r="F3" s="43">
        <f>ROW(data_brute!A2)</f>
        <v>2</v>
      </c>
      <c r="U3"/>
      <c r="V3"/>
      <c r="W3"/>
      <c r="X3" s="2" t="s">
        <v>71</v>
      </c>
      <c r="Y3" s="27">
        <f>F5</f>
        <v>15</v>
      </c>
      <c r="Z3"/>
      <c r="AA3" s="2" t="s">
        <v>72</v>
      </c>
      <c r="AB3" s="38">
        <f ca="1">AVERAGE(data_brute!M:M)</f>
        <v>24.707142857142852</v>
      </c>
    </row>
    <row r="4" spans="2:49" x14ac:dyDescent="0.2">
      <c r="B4" s="2" t="s">
        <v>6</v>
      </c>
      <c r="C4" s="23">
        <f>interface!C5</f>
        <v>25</v>
      </c>
      <c r="E4" s="14" t="s">
        <v>46</v>
      </c>
      <c r="F4" s="44">
        <f>COUNTA(data_brute!B:B)-1</f>
        <v>14</v>
      </c>
      <c r="M4" s="14" t="s">
        <v>27</v>
      </c>
      <c r="N4" s="35">
        <f>F4</f>
        <v>14</v>
      </c>
      <c r="O4" s="14"/>
      <c r="P4" s="14" t="s">
        <v>50</v>
      </c>
      <c r="Q4" s="2">
        <f>N4-SUMIFS(Q7:Q100,R7:R100,FALSE)</f>
        <v>14</v>
      </c>
      <c r="AK4" s="2"/>
      <c r="AL4" s="2"/>
    </row>
    <row r="5" spans="2:49" x14ac:dyDescent="0.2">
      <c r="E5" s="14" t="s">
        <v>47</v>
      </c>
      <c r="F5" s="2">
        <f>F3+F4-1</f>
        <v>15</v>
      </c>
      <c r="AK5" s="2"/>
      <c r="AL5" s="2"/>
    </row>
    <row r="6" spans="2:49" ht="17" thickBot="1" x14ac:dyDescent="0.25">
      <c r="B6" s="29" t="s">
        <v>20</v>
      </c>
      <c r="C6" s="30">
        <f>MATCH(TRUE,$D$10:$D$16,0)</f>
        <v>1</v>
      </c>
      <c r="M6" s="4" t="s">
        <v>36</v>
      </c>
      <c r="N6" s="4" t="s">
        <v>29</v>
      </c>
      <c r="O6" s="4" t="s">
        <v>37</v>
      </c>
      <c r="P6" s="4" t="s">
        <v>38</v>
      </c>
      <c r="Q6" s="4" t="s">
        <v>40</v>
      </c>
      <c r="R6" s="4" t="s">
        <v>16</v>
      </c>
      <c r="U6" s="57" t="str">
        <f>data_brute!A1</f>
        <v>Pesée</v>
      </c>
      <c r="V6" s="57" t="str">
        <f>data_brute!B1</f>
        <v>Date</v>
      </c>
      <c r="W6" s="57" t="str">
        <f>data_brute!C1</f>
        <v>Heure</v>
      </c>
      <c r="X6" s="57" t="str">
        <f>data_brute!I1</f>
        <v>Poids Brut</v>
      </c>
      <c r="Y6" s="57" t="str">
        <f>data_brute!J1</f>
        <v>Ligne</v>
      </c>
      <c r="Z6" s="57" t="str">
        <f>data_brute!K1</f>
        <v>Bobine</v>
      </c>
      <c r="AA6" s="57" t="str">
        <f>data_brute!L1</f>
        <v>Tare</v>
      </c>
      <c r="AB6" s="57" t="str">
        <f>data_brute!M1</f>
        <v>Poids net</v>
      </c>
      <c r="AE6" s="57" t="s">
        <v>43</v>
      </c>
      <c r="AF6" s="57" t="s">
        <v>38</v>
      </c>
      <c r="AG6" s="59" t="s">
        <v>42</v>
      </c>
      <c r="AH6" s="57" t="s">
        <v>48</v>
      </c>
      <c r="AK6" s="6"/>
    </row>
    <row r="7" spans="2:49" ht="17" thickTop="1" x14ac:dyDescent="0.2">
      <c r="M7" s="2">
        <v>1</v>
      </c>
      <c r="N7" s="2">
        <v>5</v>
      </c>
      <c r="O7" s="28">
        <v>2</v>
      </c>
      <c r="P7" s="2">
        <f>O7+N4-1</f>
        <v>15</v>
      </c>
      <c r="Q7" s="2">
        <f>P7-O7+1</f>
        <v>14</v>
      </c>
      <c r="R7" s="2" t="b">
        <v>1</v>
      </c>
      <c r="U7" s="56" cm="1">
        <f t="array" ref="U7:W16">_xlfn._xlws.FILTER(data_brute!A:C,(data_brute!J:J&gt;=Y2)*(data_brute!J:J&lt;=Y3),"")</f>
        <v>5</v>
      </c>
      <c r="V7" s="53">
        <v>45691</v>
      </c>
      <c r="W7" s="54">
        <v>0.4254398148148148</v>
      </c>
      <c r="X7" s="55" t="str" cm="1">
        <f t="array" aca="1" ref="X7:AB16" ca="1">_xlfn._xlws.FILTER(data_brute!I:M,(data_brute!J:J&gt;=Y2)*(data_brute!J:J&lt;=Y3),"")</f>
        <v>29,7</v>
      </c>
      <c r="Y7" s="2">
        <f ca="1"/>
        <v>6</v>
      </c>
      <c r="Z7" s="2">
        <f ca="1"/>
        <v>1</v>
      </c>
      <c r="AA7" s="2">
        <f ca="1"/>
        <v>5</v>
      </c>
      <c r="AB7" s="38">
        <f ca="1"/>
        <v>24.7</v>
      </c>
      <c r="AE7" s="2">
        <f>F3</f>
        <v>2</v>
      </c>
      <c r="AF7" s="58">
        <f>AE7+$AG$2-1</f>
        <v>11</v>
      </c>
      <c r="AG7" s="38">
        <f ca="1">IFERROR(AVERAGEIFS(data_brute!M:M,data_brute!J:J,"&gt;="&amp;AE7,data_brute!J:J,"&lt;="&amp;AF7),NA())</f>
        <v>24.699999999999996</v>
      </c>
      <c r="AH7" s="58">
        <f ca="1">IF(AG7&lt;&gt;"",$AG$2*(ROW()-ROW($AH$6)),NA())</f>
        <v>10</v>
      </c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2:49" x14ac:dyDescent="0.2">
      <c r="B8" s="74" t="s">
        <v>6</v>
      </c>
      <c r="C8" s="75"/>
      <c r="D8" s="76" t="s">
        <v>16</v>
      </c>
      <c r="E8" s="74" t="s">
        <v>14</v>
      </c>
      <c r="F8" s="75"/>
      <c r="G8" s="7" t="s">
        <v>17</v>
      </c>
      <c r="H8" s="76" t="s">
        <v>19</v>
      </c>
      <c r="I8" s="74"/>
      <c r="J8" s="75"/>
      <c r="M8" s="2"/>
      <c r="N8" s="2"/>
      <c r="O8" s="2"/>
      <c r="P8" s="2"/>
      <c r="Q8" s="2"/>
      <c r="R8" s="2"/>
      <c r="U8" s="2">
        <v>6</v>
      </c>
      <c r="V8" s="53">
        <v>45691</v>
      </c>
      <c r="W8" s="54">
        <v>0.42549768518518516</v>
      </c>
      <c r="X8" s="55" t="str">
        <f ca="1"/>
        <v>29,7</v>
      </c>
      <c r="Y8" s="2">
        <f ca="1"/>
        <v>7</v>
      </c>
      <c r="Z8" s="2">
        <f ca="1"/>
        <v>1</v>
      </c>
      <c r="AA8" s="2">
        <f ca="1"/>
        <v>5</v>
      </c>
      <c r="AB8" s="38">
        <f ca="1"/>
        <v>24.7</v>
      </c>
      <c r="AE8" s="58">
        <f>AF7+1</f>
        <v>12</v>
      </c>
      <c r="AF8" s="58">
        <f>AE8+$AG$2-1</f>
        <v>21</v>
      </c>
      <c r="AG8" s="38">
        <f ca="1">IFERROR(AVERAGEIFS(data_brute!M:M,data_brute!J:J,"&gt;="&amp;AE8,data_brute!J:J,"&lt;="&amp;AF8),NA())</f>
        <v>24.724999999999998</v>
      </c>
      <c r="AH8" s="58">
        <f ca="1">IF(AG8&lt;&gt;"",$AG$2*(ROW()-ROW($AH$6)),NA())</f>
        <v>20</v>
      </c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2:49" x14ac:dyDescent="0.2">
      <c r="B9" s="18" t="s">
        <v>11</v>
      </c>
      <c r="C9" s="19" t="s">
        <v>12</v>
      </c>
      <c r="D9" s="77"/>
      <c r="E9" s="18" t="s">
        <v>13</v>
      </c>
      <c r="F9" s="19" t="s">
        <v>15</v>
      </c>
      <c r="G9" s="24" t="s">
        <v>18</v>
      </c>
      <c r="H9" s="77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7</v>
      </c>
      <c r="V9" s="53">
        <v>45691</v>
      </c>
      <c r="W9" s="54">
        <v>0.42537037037037034</v>
      </c>
      <c r="X9" s="55" t="str">
        <f ca="1"/>
        <v>29,7</v>
      </c>
      <c r="Y9" s="2">
        <f ca="1"/>
        <v>8</v>
      </c>
      <c r="Z9" s="2">
        <f ca="1"/>
        <v>1</v>
      </c>
      <c r="AA9" s="2">
        <f ca="1"/>
        <v>5</v>
      </c>
      <c r="AB9" s="38">
        <f ca="1"/>
        <v>24.7</v>
      </c>
      <c r="AE9" s="58">
        <f t="shared" ref="AE9:AE42" si="0">AF8+1</f>
        <v>22</v>
      </c>
      <c r="AF9" s="58">
        <f t="shared" ref="AF9:AF42" si="1">AE9+$AG$2-1</f>
        <v>31</v>
      </c>
      <c r="AG9" s="38" t="e">
        <f>IFERROR(AVERAGEIFS(data_brute!M:M,data_brute!J:J,"&gt;="&amp;AE9,data_brute!J:J,"&lt;="&amp;AF9),NA())</f>
        <v>#N/A</v>
      </c>
      <c r="AH9" s="58" t="e">
        <f t="shared" ref="AH9:AH42" si="2">IF(AG9&lt;&gt;"",$AG$2*(ROW()-ROW($AH$6)),NA())</f>
        <v>#N/A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2:49" x14ac:dyDescent="0.2">
      <c r="B10" s="8">
        <v>5</v>
      </c>
      <c r="C10" s="9">
        <v>50</v>
      </c>
      <c r="D10" s="12" t="b">
        <f t="shared" ref="D10:D16" si="3">IF(AND($C$4&gt;=B10,$C$4&lt;C10),TRUE,FALSE)</f>
        <v>1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2">
        <v>8</v>
      </c>
      <c r="V10" s="53">
        <v>45691</v>
      </c>
      <c r="W10" s="54">
        <v>0.4254398148148148</v>
      </c>
      <c r="X10" s="55" t="str">
        <f ca="1"/>
        <v>29,7</v>
      </c>
      <c r="Y10" s="2">
        <f ca="1"/>
        <v>9</v>
      </c>
      <c r="Z10" s="2">
        <f ca="1"/>
        <v>1</v>
      </c>
      <c r="AA10" s="2">
        <f ca="1"/>
        <v>5</v>
      </c>
      <c r="AB10" s="38">
        <f ca="1"/>
        <v>24.7</v>
      </c>
      <c r="AE10" s="58">
        <f t="shared" si="0"/>
        <v>32</v>
      </c>
      <c r="AF10" s="58">
        <f t="shared" si="1"/>
        <v>41</v>
      </c>
      <c r="AG10" s="38" t="e">
        <f>IFERROR(AVERAGEIFS(data_brute!M:M,data_brute!J:J,"&gt;="&amp;AE10,data_brute!J:J,"&lt;="&amp;AF10),NA())</f>
        <v>#N/A</v>
      </c>
      <c r="AH10" s="58" t="e">
        <f t="shared" si="2"/>
        <v>#N/A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2:49" x14ac:dyDescent="0.2">
      <c r="B11" s="8">
        <v>50</v>
      </c>
      <c r="C11" s="9">
        <v>100</v>
      </c>
      <c r="D11" s="12" t="b">
        <f t="shared" si="3"/>
        <v>0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5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9</v>
      </c>
      <c r="V11" s="53">
        <v>45691</v>
      </c>
      <c r="W11" s="54">
        <v>0.42549768518518516</v>
      </c>
      <c r="X11" s="55" t="str">
        <f ca="1"/>
        <v>29,7</v>
      </c>
      <c r="Y11" s="2">
        <f ca="1"/>
        <v>10</v>
      </c>
      <c r="Z11" s="2">
        <f ca="1"/>
        <v>1</v>
      </c>
      <c r="AA11" s="2">
        <f ca="1"/>
        <v>5</v>
      </c>
      <c r="AB11" s="38">
        <f ca="1"/>
        <v>24.7</v>
      </c>
      <c r="AE11" s="58">
        <f t="shared" si="0"/>
        <v>42</v>
      </c>
      <c r="AF11" s="58">
        <f t="shared" si="1"/>
        <v>51</v>
      </c>
      <c r="AG11" s="38" t="e">
        <f>IFERROR(AVERAGEIFS(data_brute!M:M,data_brute!J:J,"&gt;="&amp;AE11,data_brute!J:J,"&lt;="&amp;AF11),NA())</f>
        <v>#N/A</v>
      </c>
      <c r="AH11" s="58" t="e">
        <f t="shared" si="2"/>
        <v>#N/A</v>
      </c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2:49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v>10</v>
      </c>
      <c r="V12" s="53">
        <v>45691</v>
      </c>
      <c r="W12" s="54">
        <v>0.42537037037037034</v>
      </c>
      <c r="X12" s="55" t="str">
        <f ca="1"/>
        <v>29,7</v>
      </c>
      <c r="Y12" s="2">
        <f ca="1"/>
        <v>11</v>
      </c>
      <c r="Z12" s="2">
        <f ca="1"/>
        <v>1</v>
      </c>
      <c r="AA12" s="2">
        <f ca="1"/>
        <v>5</v>
      </c>
      <c r="AB12" s="38">
        <f ca="1"/>
        <v>24.7</v>
      </c>
      <c r="AE12" s="58">
        <f t="shared" si="0"/>
        <v>52</v>
      </c>
      <c r="AF12" s="58">
        <f t="shared" si="1"/>
        <v>61</v>
      </c>
      <c r="AG12" s="38" t="e">
        <f>IFERROR(AVERAGEIFS(data_brute!M:M,data_brute!J:J,"&gt;="&amp;AE12,data_brute!J:J,"&lt;="&amp;AF12),NA())</f>
        <v>#N/A</v>
      </c>
      <c r="AH12" s="58" t="e">
        <f t="shared" si="2"/>
        <v>#N/A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2:49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v>11</v>
      </c>
      <c r="V13" s="53">
        <v>45691</v>
      </c>
      <c r="W13" s="54">
        <v>0.4254398148148148</v>
      </c>
      <c r="X13" s="55" t="str">
        <f ca="1"/>
        <v>29,7</v>
      </c>
      <c r="Y13" s="2">
        <f ca="1"/>
        <v>12</v>
      </c>
      <c r="Z13" s="2">
        <f ca="1"/>
        <v>1</v>
      </c>
      <c r="AA13" s="2">
        <f ca="1"/>
        <v>5</v>
      </c>
      <c r="AB13" s="38">
        <f ca="1"/>
        <v>24.7</v>
      </c>
      <c r="AE13" s="58">
        <f t="shared" si="0"/>
        <v>62</v>
      </c>
      <c r="AF13" s="58">
        <f t="shared" si="1"/>
        <v>71</v>
      </c>
      <c r="AG13" s="38" t="e">
        <f>IFERROR(AVERAGEIFS(data_brute!M:M,data_brute!J:J,"&gt;="&amp;AE13,data_brute!J:J,"&lt;="&amp;AF13),NA())</f>
        <v>#N/A</v>
      </c>
      <c r="AH13" s="58" t="e">
        <f t="shared" si="2"/>
        <v>#N/A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2:49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v>12</v>
      </c>
      <c r="V14" s="53">
        <v>45691</v>
      </c>
      <c r="W14" s="54">
        <v>0.42549768518518516</v>
      </c>
      <c r="X14" s="55" t="str">
        <f ca="1"/>
        <v>29,7</v>
      </c>
      <c r="Y14" s="2">
        <f ca="1"/>
        <v>13</v>
      </c>
      <c r="Z14" s="2">
        <f ca="1"/>
        <v>1</v>
      </c>
      <c r="AA14" s="2">
        <f ca="1"/>
        <v>5</v>
      </c>
      <c r="AB14" s="38">
        <f ca="1"/>
        <v>24.7</v>
      </c>
      <c r="AE14" s="58">
        <f t="shared" si="0"/>
        <v>72</v>
      </c>
      <c r="AF14" s="58">
        <f t="shared" si="1"/>
        <v>81</v>
      </c>
      <c r="AG14" s="38" t="e">
        <f>IFERROR(AVERAGEIFS(data_brute!M:M,data_brute!J:J,"&gt;="&amp;AE14,data_brute!J:J,"&lt;="&amp;AF14),NA())</f>
        <v>#N/A</v>
      </c>
      <c r="AH14" s="58" t="e">
        <f t="shared" si="2"/>
        <v>#N/A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2:49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v>13</v>
      </c>
      <c r="V15" s="53">
        <v>45691</v>
      </c>
      <c r="W15" s="54">
        <v>0.42549768518518516</v>
      </c>
      <c r="X15" s="55" t="str">
        <f ca="1"/>
        <v>29,7</v>
      </c>
      <c r="Y15" s="2">
        <f ca="1"/>
        <v>14</v>
      </c>
      <c r="Z15" s="2">
        <f ca="1"/>
        <v>1</v>
      </c>
      <c r="AA15" s="2">
        <f ca="1"/>
        <v>5</v>
      </c>
      <c r="AB15" s="38">
        <f ca="1"/>
        <v>24.7</v>
      </c>
      <c r="AE15" s="58">
        <f t="shared" si="0"/>
        <v>82</v>
      </c>
      <c r="AF15" s="58">
        <f t="shared" si="1"/>
        <v>91</v>
      </c>
      <c r="AG15" s="38" t="e">
        <f>IFERROR(AVERAGEIFS(data_brute!M:M,data_brute!J:J,"&gt;="&amp;AE15,data_brute!J:J,"&lt;="&amp;AF15),NA())</f>
        <v>#N/A</v>
      </c>
      <c r="AH15" s="58" t="e">
        <f t="shared" si="2"/>
        <v>#N/A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2:49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14</v>
      </c>
      <c r="V16" s="53">
        <v>45691</v>
      </c>
      <c r="W16" s="54">
        <v>0.42549768518518516</v>
      </c>
      <c r="X16" s="55" t="str">
        <f ca="1"/>
        <v>29,8</v>
      </c>
      <c r="Y16" s="2">
        <f ca="1"/>
        <v>15</v>
      </c>
      <c r="Z16" s="2">
        <f ca="1"/>
        <v>1</v>
      </c>
      <c r="AA16" s="2">
        <f ca="1"/>
        <v>5</v>
      </c>
      <c r="AB16" s="38">
        <f ca="1"/>
        <v>24.8</v>
      </c>
      <c r="AE16" s="58">
        <f t="shared" si="0"/>
        <v>92</v>
      </c>
      <c r="AF16" s="58">
        <f t="shared" si="1"/>
        <v>101</v>
      </c>
      <c r="AG16" s="38" t="e">
        <f>IFERROR(AVERAGEIFS(data_brute!M:M,data_brute!J:J,"&gt;="&amp;AE16,data_brute!J:J,"&lt;="&amp;AF16),NA())</f>
        <v>#N/A</v>
      </c>
      <c r="AH16" s="58" t="e">
        <f t="shared" si="2"/>
        <v>#N/A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2:49" x14ac:dyDescent="0.2">
      <c r="U17" s="5"/>
      <c r="AE17" s="58">
        <f t="shared" si="0"/>
        <v>102</v>
      </c>
      <c r="AF17" s="58">
        <f t="shared" si="1"/>
        <v>111</v>
      </c>
      <c r="AG17" s="38" t="e">
        <f>IFERROR(AVERAGEIFS(data_brute!M:M,data_brute!J:J,"&gt;="&amp;AE17,data_brute!J:J,"&lt;="&amp;AF17),NA())</f>
        <v>#N/A</v>
      </c>
      <c r="AH17" s="58" t="e">
        <f t="shared" si="2"/>
        <v>#N/A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2:49" x14ac:dyDescent="0.2">
      <c r="B18" s="15" t="s">
        <v>5</v>
      </c>
      <c r="C18" s="16" cm="1">
        <f t="array" ref="C18">C4-INDEX($I$10:$I$16,$C$6)</f>
        <v>22.75</v>
      </c>
      <c r="AE18" s="58">
        <f t="shared" si="0"/>
        <v>112</v>
      </c>
      <c r="AF18" s="58">
        <f t="shared" si="1"/>
        <v>121</v>
      </c>
      <c r="AG18" s="38" t="e">
        <f>IFERROR(AVERAGEIFS(data_brute!M:M,data_brute!J:J,"&gt;="&amp;AE18,data_brute!J:J,"&lt;="&amp;AF18),NA())</f>
        <v>#N/A</v>
      </c>
      <c r="AH18" s="58" t="e">
        <f t="shared" si="2"/>
        <v>#N/A</v>
      </c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2:49" x14ac:dyDescent="0.2">
      <c r="B19" s="10" t="s">
        <v>9</v>
      </c>
      <c r="C19" s="11" cm="1">
        <f t="array" ref="C19">C4-INDEX($J$10:$J$16,$C$6)</f>
        <v>20.5</v>
      </c>
      <c r="AE19" s="58">
        <f t="shared" si="0"/>
        <v>122</v>
      </c>
      <c r="AF19" s="58">
        <f t="shared" si="1"/>
        <v>131</v>
      </c>
      <c r="AG19" s="38" t="e">
        <f>IFERROR(AVERAGEIFS(data_brute!M:M,data_brute!J:J,"&gt;="&amp;AE19,data_brute!J:J,"&lt;="&amp;AF19),NA())</f>
        <v>#N/A</v>
      </c>
      <c r="AH19" s="58" t="e">
        <f t="shared" si="2"/>
        <v>#N/A</v>
      </c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2:49" x14ac:dyDescent="0.2">
      <c r="AE20" s="58">
        <f t="shared" si="0"/>
        <v>132</v>
      </c>
      <c r="AF20" s="58">
        <f t="shared" si="1"/>
        <v>141</v>
      </c>
      <c r="AG20" s="38" t="e">
        <f>IFERROR(AVERAGEIFS(data_brute!M:M,data_brute!J:J,"&gt;="&amp;AE20,data_brute!J:J,"&lt;="&amp;AF20),NA())</f>
        <v>#N/A</v>
      </c>
      <c r="AH20" s="58" t="e">
        <f t="shared" si="2"/>
        <v>#N/A</v>
      </c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2:49" x14ac:dyDescent="0.2">
      <c r="B21" s="15" t="s">
        <v>21</v>
      </c>
      <c r="C21" s="16">
        <f>C4-C18</f>
        <v>2.25</v>
      </c>
      <c r="AE21" s="58">
        <f t="shared" si="0"/>
        <v>142</v>
      </c>
      <c r="AF21" s="58">
        <f t="shared" si="1"/>
        <v>151</v>
      </c>
      <c r="AG21" s="38" t="e">
        <f>IFERROR(AVERAGEIFS(data_brute!M:M,data_brute!J:J,"&gt;="&amp;AE21,data_brute!J:J,"&lt;="&amp;AF21),NA())</f>
        <v>#N/A</v>
      </c>
      <c r="AH21" s="58" t="e">
        <f t="shared" si="2"/>
        <v>#N/A</v>
      </c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2:49" x14ac:dyDescent="0.2">
      <c r="B22" s="8" t="s">
        <v>23</v>
      </c>
      <c r="C22" s="46">
        <f>1/6</f>
        <v>0.16666666666666666</v>
      </c>
      <c r="AE22" s="58">
        <f t="shared" si="0"/>
        <v>152</v>
      </c>
      <c r="AF22" s="58">
        <f t="shared" si="1"/>
        <v>161</v>
      </c>
      <c r="AG22" s="38" t="e">
        <f>IFERROR(AVERAGEIFS(data_brute!M:M,data_brute!J:J,"&gt;="&amp;AE22,data_brute!J:J,"&lt;="&amp;AF22),NA())</f>
        <v>#N/A</v>
      </c>
      <c r="AH22" s="58" t="e">
        <f t="shared" si="2"/>
        <v>#N/A</v>
      </c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2:49" x14ac:dyDescent="0.2">
      <c r="B23" s="10" t="s">
        <v>22</v>
      </c>
      <c r="C23" s="42">
        <f>C21*C22</f>
        <v>0.375</v>
      </c>
      <c r="AE23" s="58">
        <f t="shared" si="0"/>
        <v>162</v>
      </c>
      <c r="AF23" s="58">
        <f t="shared" si="1"/>
        <v>171</v>
      </c>
      <c r="AG23" s="38" t="e">
        <f>IFERROR(AVERAGEIFS(data_brute!M:M,data_brute!J:J,"&gt;="&amp;AE23,data_brute!J:J,"&lt;="&amp;AF23),NA())</f>
        <v>#N/A</v>
      </c>
      <c r="AH23" s="58" t="e">
        <f t="shared" si="2"/>
        <v>#N/A</v>
      </c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2:49" x14ac:dyDescent="0.2">
      <c r="AE24" s="58">
        <f t="shared" si="0"/>
        <v>172</v>
      </c>
      <c r="AF24" s="58">
        <f t="shared" si="1"/>
        <v>181</v>
      </c>
      <c r="AG24" s="38" t="e">
        <f>IFERROR(AVERAGEIFS(data_brute!M:M,data_brute!J:J,"&gt;="&amp;AE24,data_brute!J:J,"&lt;="&amp;AF24),NA())</f>
        <v>#N/A</v>
      </c>
      <c r="AH24" s="58" t="e">
        <f t="shared" si="2"/>
        <v>#N/A</v>
      </c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2:49" x14ac:dyDescent="0.2">
      <c r="B25" s="15" t="s">
        <v>24</v>
      </c>
      <c r="C25" s="17">
        <f>C4-C23</f>
        <v>24.625</v>
      </c>
      <c r="AE25" s="58">
        <f t="shared" si="0"/>
        <v>182</v>
      </c>
      <c r="AF25" s="58">
        <f t="shared" si="1"/>
        <v>191</v>
      </c>
      <c r="AG25" s="38" t="e">
        <f>IFERROR(AVERAGEIFS(data_brute!M:M,data_brute!J:J,"&gt;="&amp;AE25,data_brute!J:J,"&lt;="&amp;AF25),NA())</f>
        <v>#N/A</v>
      </c>
      <c r="AH25" s="58" t="e">
        <f t="shared" si="2"/>
        <v>#N/A</v>
      </c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2:49" x14ac:dyDescent="0.2">
      <c r="B26" s="10" t="s">
        <v>25</v>
      </c>
      <c r="C26" s="42">
        <f>C4+C23</f>
        <v>25.375</v>
      </c>
      <c r="AE26" s="58">
        <f t="shared" si="0"/>
        <v>192</v>
      </c>
      <c r="AF26" s="58">
        <f t="shared" si="1"/>
        <v>201</v>
      </c>
      <c r="AG26" s="38" t="e">
        <f>IFERROR(AVERAGEIFS(data_brute!M:M,data_brute!J:J,"&gt;="&amp;AE26,data_brute!J:J,"&lt;="&amp;AF26),NA())</f>
        <v>#N/A</v>
      </c>
      <c r="AH26" s="58" t="e">
        <f t="shared" si="2"/>
        <v>#N/A</v>
      </c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2:49" x14ac:dyDescent="0.2">
      <c r="AE27" s="58">
        <f t="shared" si="0"/>
        <v>202</v>
      </c>
      <c r="AF27" s="58">
        <f t="shared" si="1"/>
        <v>211</v>
      </c>
      <c r="AG27" s="38" t="e">
        <f>IFERROR(AVERAGEIFS(data_brute!M:M,data_brute!J:J,"&gt;="&amp;AE27,data_brute!J:J,"&lt;="&amp;AF27),NA())</f>
        <v>#N/A</v>
      </c>
      <c r="AH27" s="58" t="e">
        <f t="shared" si="2"/>
        <v>#N/A</v>
      </c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2:49" x14ac:dyDescent="0.2">
      <c r="B28" s="2"/>
      <c r="C28" s="2"/>
      <c r="AE28" s="58">
        <f t="shared" si="0"/>
        <v>212</v>
      </c>
      <c r="AF28" s="58">
        <f t="shared" si="1"/>
        <v>221</v>
      </c>
      <c r="AG28" s="38" t="e">
        <f>IFERROR(AVERAGEIFS(data_brute!M:M,data_brute!J:J,"&gt;="&amp;AE28,data_brute!J:J,"&lt;="&amp;AF28),NA())</f>
        <v>#N/A</v>
      </c>
      <c r="AH28" s="58" t="e">
        <f t="shared" si="2"/>
        <v>#N/A</v>
      </c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2:49" x14ac:dyDescent="0.2">
      <c r="B29" s="2"/>
      <c r="C29" s="2"/>
      <c r="AE29" s="58">
        <f t="shared" si="0"/>
        <v>222</v>
      </c>
      <c r="AF29" s="58">
        <f t="shared" si="1"/>
        <v>231</v>
      </c>
      <c r="AG29" s="38" t="e">
        <f>IFERROR(AVERAGEIFS(data_brute!M:M,data_brute!J:J,"&gt;="&amp;AE29,data_brute!J:J,"&lt;="&amp;AF29),NA())</f>
        <v>#N/A</v>
      </c>
      <c r="AH29" s="58" t="e">
        <f t="shared" si="2"/>
        <v>#N/A</v>
      </c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2:49" x14ac:dyDescent="0.2">
      <c r="AE30" s="58">
        <f t="shared" si="0"/>
        <v>232</v>
      </c>
      <c r="AF30" s="58">
        <f t="shared" si="1"/>
        <v>241</v>
      </c>
      <c r="AG30" s="38" t="e">
        <f>IFERROR(AVERAGEIFS(data_brute!M:M,data_brute!J:J,"&gt;="&amp;AE30,data_brute!J:J,"&lt;="&amp;AF30),NA())</f>
        <v>#N/A</v>
      </c>
      <c r="AH30" s="58" t="e">
        <f t="shared" si="2"/>
        <v>#N/A</v>
      </c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2:49" x14ac:dyDescent="0.2">
      <c r="B31" s="31"/>
      <c r="AE31" s="58">
        <f t="shared" si="0"/>
        <v>242</v>
      </c>
      <c r="AF31" s="58">
        <f t="shared" si="1"/>
        <v>251</v>
      </c>
      <c r="AG31" s="38" t="e">
        <f>IFERROR(AVERAGEIFS(data_brute!M:M,data_brute!J:J,"&gt;="&amp;AE31,data_brute!J:J,"&lt;="&amp;AF31),NA())</f>
        <v>#N/A</v>
      </c>
      <c r="AH31" s="58" t="e">
        <f t="shared" si="2"/>
        <v>#N/A</v>
      </c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2:49" x14ac:dyDescent="0.2">
      <c r="AE32" s="58">
        <f t="shared" si="0"/>
        <v>252</v>
      </c>
      <c r="AF32" s="58">
        <f t="shared" si="1"/>
        <v>261</v>
      </c>
      <c r="AG32" s="38" t="e">
        <f>IFERROR(AVERAGEIFS(data_brute!M:M,data_brute!J:J,"&gt;="&amp;AE32,data_brute!J:J,"&lt;="&amp;AF32),NA())</f>
        <v>#N/A</v>
      </c>
      <c r="AH32" s="58" t="e">
        <f t="shared" si="2"/>
        <v>#N/A</v>
      </c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1:49" x14ac:dyDescent="0.2">
      <c r="AE33" s="58">
        <f t="shared" si="0"/>
        <v>262</v>
      </c>
      <c r="AF33" s="58">
        <f t="shared" si="1"/>
        <v>271</v>
      </c>
      <c r="AG33" s="38" t="e">
        <f>IFERROR(AVERAGEIFS(data_brute!M:M,data_brute!J:J,"&gt;="&amp;AE33,data_brute!J:J,"&lt;="&amp;AF33),NA())</f>
        <v>#N/A</v>
      </c>
      <c r="AH33" s="58" t="e">
        <f t="shared" si="2"/>
        <v>#N/A</v>
      </c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1:49" s="2" customFormat="1" x14ac:dyDescent="0.2">
      <c r="K34" s="9"/>
      <c r="S34" s="9"/>
      <c r="AB34" s="38"/>
      <c r="AC34" s="9"/>
      <c r="AE34" s="58">
        <f t="shared" si="0"/>
        <v>272</v>
      </c>
      <c r="AF34" s="58">
        <f t="shared" si="1"/>
        <v>281</v>
      </c>
      <c r="AG34" s="38" t="e">
        <f>IFERROR(AVERAGEIFS(data_brute!M:M,data_brute!J:J,"&gt;="&amp;AE34,data_brute!J:J,"&lt;="&amp;AF34),NA())</f>
        <v>#N/A</v>
      </c>
      <c r="AH34" s="58" t="e">
        <f t="shared" si="2"/>
        <v>#N/A</v>
      </c>
      <c r="AI34" s="9"/>
    </row>
    <row r="35" spans="11:49" x14ac:dyDescent="0.2">
      <c r="AE35" s="58">
        <f t="shared" si="0"/>
        <v>282</v>
      </c>
      <c r="AF35" s="58">
        <f t="shared" si="1"/>
        <v>291</v>
      </c>
      <c r="AG35" s="38" t="e">
        <f>IFERROR(AVERAGEIFS(data_brute!M:M,data_brute!J:J,"&gt;="&amp;AE35,data_brute!J:J,"&lt;="&amp;AF35),NA())</f>
        <v>#N/A</v>
      </c>
      <c r="AH35" s="58" t="e">
        <f t="shared" si="2"/>
        <v>#N/A</v>
      </c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1:49" x14ac:dyDescent="0.2">
      <c r="AE36" s="58">
        <f t="shared" si="0"/>
        <v>292</v>
      </c>
      <c r="AF36" s="58">
        <f t="shared" si="1"/>
        <v>301</v>
      </c>
      <c r="AG36" s="38" t="e">
        <f>IFERROR(AVERAGEIFS(data_brute!M:M,data_brute!J:J,"&gt;="&amp;AE36,data_brute!J:J,"&lt;="&amp;AF36),NA())</f>
        <v>#N/A</v>
      </c>
      <c r="AH36" s="58" t="e">
        <f t="shared" si="2"/>
        <v>#N/A</v>
      </c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1:49" x14ac:dyDescent="0.2">
      <c r="AE37" s="58">
        <f t="shared" si="0"/>
        <v>302</v>
      </c>
      <c r="AF37" s="58">
        <f t="shared" si="1"/>
        <v>311</v>
      </c>
      <c r="AG37" s="38" t="e">
        <f>IFERROR(AVERAGEIFS(data_brute!M:M,data_brute!J:J,"&gt;="&amp;AE37,data_brute!J:J,"&lt;="&amp;AF37),NA())</f>
        <v>#N/A</v>
      </c>
      <c r="AH37" s="58" t="e">
        <f t="shared" si="2"/>
        <v>#N/A</v>
      </c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1:49" x14ac:dyDescent="0.2">
      <c r="AE38" s="58">
        <f t="shared" si="0"/>
        <v>312</v>
      </c>
      <c r="AF38" s="58">
        <f t="shared" si="1"/>
        <v>321</v>
      </c>
      <c r="AG38" s="38" t="e">
        <f>IFERROR(AVERAGEIFS(data_brute!M:M,data_brute!J:J,"&gt;="&amp;AE38,data_brute!J:J,"&lt;="&amp;AF38),NA())</f>
        <v>#N/A</v>
      </c>
      <c r="AH38" s="58" t="e">
        <f t="shared" si="2"/>
        <v>#N/A</v>
      </c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1:49" x14ac:dyDescent="0.2">
      <c r="AE39" s="58">
        <f t="shared" si="0"/>
        <v>322</v>
      </c>
      <c r="AF39" s="58">
        <f t="shared" si="1"/>
        <v>331</v>
      </c>
      <c r="AG39" s="38" t="e">
        <f>IFERROR(AVERAGEIFS(data_brute!M:M,data_brute!J:J,"&gt;="&amp;AE39,data_brute!J:J,"&lt;="&amp;AF39),NA())</f>
        <v>#N/A</v>
      </c>
      <c r="AH39" s="58" t="e">
        <f t="shared" si="2"/>
        <v>#N/A</v>
      </c>
    </row>
    <row r="40" spans="11:49" x14ac:dyDescent="0.2">
      <c r="AE40" s="58">
        <f t="shared" si="0"/>
        <v>332</v>
      </c>
      <c r="AF40" s="58">
        <f t="shared" si="1"/>
        <v>341</v>
      </c>
      <c r="AG40" s="38" t="e">
        <f>IFERROR(AVERAGEIFS(data_brute!M:M,data_brute!J:J,"&gt;="&amp;AE40,data_brute!J:J,"&lt;="&amp;AF40),NA())</f>
        <v>#N/A</v>
      </c>
      <c r="AH40" s="58" t="e">
        <f t="shared" si="2"/>
        <v>#N/A</v>
      </c>
    </row>
    <row r="41" spans="11:49" x14ac:dyDescent="0.2">
      <c r="AE41" s="58">
        <f t="shared" si="0"/>
        <v>342</v>
      </c>
      <c r="AF41" s="58">
        <f t="shared" si="1"/>
        <v>351</v>
      </c>
      <c r="AG41" s="38" t="e">
        <f>IFERROR(AVERAGEIFS(data_brute!M:M,data_brute!J:J,"&gt;="&amp;AE41,data_brute!J:J,"&lt;="&amp;AF41),NA())</f>
        <v>#N/A</v>
      </c>
      <c r="AH41" s="58" t="e">
        <f t="shared" si="2"/>
        <v>#N/A</v>
      </c>
    </row>
    <row r="42" spans="11:49" x14ac:dyDescent="0.2">
      <c r="AE42" s="58">
        <f t="shared" si="0"/>
        <v>352</v>
      </c>
      <c r="AF42" s="58">
        <f t="shared" si="1"/>
        <v>361</v>
      </c>
      <c r="AG42" s="38" t="e">
        <f>IFERROR(AVERAGEIFS(data_brute!M:M,data_brute!J:J,"&gt;="&amp;AE42,data_brute!J:J,"&lt;="&amp;AF42),NA())</f>
        <v>#N/A</v>
      </c>
      <c r="AH42" s="58" t="e">
        <f t="shared" si="2"/>
        <v>#N/A</v>
      </c>
    </row>
    <row r="43" spans="11:49" x14ac:dyDescent="0.2">
      <c r="AE43" s="2"/>
      <c r="AF43" s="2"/>
      <c r="AG43" s="38"/>
      <c r="AH43" s="58"/>
    </row>
    <row r="44" spans="11:49" x14ac:dyDescent="0.2">
      <c r="AE44" s="2"/>
      <c r="AF44" s="2"/>
      <c r="AG44" s="38"/>
      <c r="AH44" s="58"/>
    </row>
    <row r="45" spans="11:49" x14ac:dyDescent="0.2">
      <c r="AE45" s="2"/>
      <c r="AF45" s="2"/>
      <c r="AG45" s="38"/>
      <c r="AH45" s="58"/>
    </row>
    <row r="46" spans="11:49" x14ac:dyDescent="0.2">
      <c r="AE46" s="2"/>
      <c r="AF46" s="2"/>
      <c r="AG46" s="38"/>
      <c r="AH46" s="58"/>
    </row>
    <row r="47" spans="11:49" x14ac:dyDescent="0.2">
      <c r="AE47" s="2"/>
      <c r="AF47" s="2"/>
      <c r="AG47" s="38"/>
      <c r="AH47" s="58"/>
    </row>
    <row r="48" spans="11:49" x14ac:dyDescent="0.2">
      <c r="AE48" s="2"/>
      <c r="AF48" s="2"/>
      <c r="AG48" s="38"/>
      <c r="AH48" s="58"/>
    </row>
    <row r="49" spans="31:34" x14ac:dyDescent="0.2">
      <c r="AE49" s="2"/>
      <c r="AF49" s="2"/>
      <c r="AG49" s="38"/>
      <c r="AH49" s="58"/>
    </row>
    <row r="50" spans="31:34" x14ac:dyDescent="0.2">
      <c r="AE50" s="2"/>
      <c r="AF50" s="2"/>
      <c r="AG50" s="38"/>
      <c r="AH50" s="58"/>
    </row>
    <row r="51" spans="31:34" x14ac:dyDescent="0.2">
      <c r="AE51" s="2"/>
      <c r="AF51" s="2"/>
      <c r="AG51" s="38"/>
      <c r="AH51" s="58"/>
    </row>
    <row r="52" spans="31:34" x14ac:dyDescent="0.2">
      <c r="AE52" s="2"/>
      <c r="AF52" s="2"/>
      <c r="AG52" s="38"/>
      <c r="AH52" s="58"/>
    </row>
    <row r="53" spans="31:34" x14ac:dyDescent="0.2">
      <c r="AE53" s="2"/>
      <c r="AF53" s="2"/>
      <c r="AG53" s="38"/>
      <c r="AH53" s="58"/>
    </row>
    <row r="54" spans="31:34" x14ac:dyDescent="0.2">
      <c r="AE54" s="2"/>
      <c r="AF54" s="2"/>
      <c r="AG54" s="38"/>
      <c r="AH54" s="58"/>
    </row>
    <row r="55" spans="31:34" x14ac:dyDescent="0.2">
      <c r="AE55" s="2"/>
      <c r="AF55" s="2"/>
      <c r="AG55" s="38"/>
      <c r="AH55" s="58"/>
    </row>
    <row r="56" spans="31:34" x14ac:dyDescent="0.2">
      <c r="AE56" s="2"/>
      <c r="AF56" s="2"/>
      <c r="AG56" s="38"/>
      <c r="AH56" s="58"/>
    </row>
    <row r="57" spans="31:34" x14ac:dyDescent="0.2">
      <c r="AE57" s="2"/>
      <c r="AF57" s="2"/>
      <c r="AG57" s="38"/>
      <c r="AH57" s="58"/>
    </row>
    <row r="58" spans="31:34" x14ac:dyDescent="0.2">
      <c r="AE58" s="2"/>
      <c r="AF58" s="2"/>
      <c r="AG58" s="38"/>
      <c r="AH58" s="58"/>
    </row>
    <row r="59" spans="31:34" x14ac:dyDescent="0.2">
      <c r="AE59" s="2"/>
      <c r="AF59" s="2"/>
      <c r="AG59" s="38"/>
      <c r="AH59" s="58"/>
    </row>
    <row r="60" spans="31:34" x14ac:dyDescent="0.2">
      <c r="AE60" s="2"/>
      <c r="AF60" s="2"/>
      <c r="AG60" s="38"/>
      <c r="AH60" s="58"/>
    </row>
    <row r="61" spans="31:34" x14ac:dyDescent="0.2">
      <c r="AE61" s="2"/>
      <c r="AF61" s="2"/>
      <c r="AG61" s="38"/>
      <c r="AH61" s="58"/>
    </row>
    <row r="62" spans="31:34" x14ac:dyDescent="0.2">
      <c r="AE62" s="2"/>
      <c r="AF62" s="2"/>
      <c r="AG62" s="38"/>
      <c r="AH62" s="58"/>
    </row>
    <row r="63" spans="31:34" x14ac:dyDescent="0.2">
      <c r="AE63" s="2"/>
      <c r="AF63" s="2"/>
      <c r="AG63" s="38"/>
      <c r="AH63" s="58"/>
    </row>
    <row r="64" spans="31:34" x14ac:dyDescent="0.2">
      <c r="AE64" s="2"/>
      <c r="AF64" s="2"/>
      <c r="AG64" s="38"/>
      <c r="AH64" s="58"/>
    </row>
    <row r="65" spans="31:34" x14ac:dyDescent="0.2">
      <c r="AE65" s="2"/>
      <c r="AF65" s="2"/>
      <c r="AG65" s="38"/>
      <c r="AH65" s="58"/>
    </row>
    <row r="66" spans="31:34" x14ac:dyDescent="0.2">
      <c r="AE66" s="2"/>
      <c r="AF66" s="2"/>
      <c r="AG66" s="38"/>
      <c r="AH66" s="58"/>
    </row>
    <row r="67" spans="31:34" x14ac:dyDescent="0.2">
      <c r="AE67" s="2"/>
      <c r="AF67" s="2"/>
      <c r="AG67" s="38"/>
      <c r="AH67" s="58"/>
    </row>
    <row r="68" spans="31:34" x14ac:dyDescent="0.2">
      <c r="AE68" s="2"/>
      <c r="AF68" s="2"/>
      <c r="AG68" s="38"/>
      <c r="AH68" s="58"/>
    </row>
    <row r="69" spans="31:34" x14ac:dyDescent="0.2">
      <c r="AE69" s="2"/>
      <c r="AF69" s="2"/>
      <c r="AG69" s="38"/>
      <c r="AH69" s="58"/>
    </row>
    <row r="70" spans="31:34" x14ac:dyDescent="0.2">
      <c r="AE70" s="2"/>
      <c r="AF70" s="2"/>
      <c r="AG70" s="38"/>
      <c r="AH70" s="58"/>
    </row>
    <row r="71" spans="31:34" x14ac:dyDescent="0.2">
      <c r="AE71" s="2"/>
      <c r="AF71" s="2"/>
      <c r="AG71" s="38"/>
      <c r="AH71" s="58"/>
    </row>
    <row r="72" spans="31:34" x14ac:dyDescent="0.2">
      <c r="AE72" s="2"/>
      <c r="AF72" s="2"/>
      <c r="AG72" s="38"/>
      <c r="AH72" s="58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B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9" t="s">
        <v>30</v>
      </c>
      <c r="C2" s="49" t="s">
        <v>31</v>
      </c>
      <c r="D2" s="49" t="s">
        <v>32</v>
      </c>
      <c r="E2" s="49" t="s">
        <v>33</v>
      </c>
      <c r="F2" s="49" t="s">
        <v>51</v>
      </c>
      <c r="G2" s="49" t="s">
        <v>52</v>
      </c>
      <c r="H2" s="49" t="s">
        <v>59</v>
      </c>
      <c r="I2" s="50" t="s">
        <v>60</v>
      </c>
      <c r="J2" s="50" t="s">
        <v>61</v>
      </c>
      <c r="K2" s="50" t="s">
        <v>62</v>
      </c>
      <c r="L2" s="50" t="s">
        <v>63</v>
      </c>
      <c r="M2" s="50" t="s">
        <v>64</v>
      </c>
    </row>
    <row r="3" spans="2:13" s="28" customFormat="1" ht="409.6" x14ac:dyDescent="0.2">
      <c r="B3" s="28" t="s">
        <v>84</v>
      </c>
      <c r="C3" s="28" t="s">
        <v>77</v>
      </c>
      <c r="D3" s="47" t="s">
        <v>35</v>
      </c>
      <c r="E3" s="47" t="s">
        <v>34</v>
      </c>
      <c r="F3" s="47" t="s">
        <v>57</v>
      </c>
      <c r="G3" s="47" t="s">
        <v>53</v>
      </c>
      <c r="H3" s="47" t="s">
        <v>89</v>
      </c>
      <c r="I3" s="47" t="s">
        <v>90</v>
      </c>
      <c r="J3" s="47" t="s">
        <v>90</v>
      </c>
      <c r="K3" s="47" t="s">
        <v>91</v>
      </c>
      <c r="L3" s="47" t="s">
        <v>92</v>
      </c>
      <c r="M3" s="47" t="s">
        <v>65</v>
      </c>
    </row>
    <row r="4" spans="2:13" s="28" customFormat="1" ht="17" x14ac:dyDescent="0.2">
      <c r="B4" s="28" t="s">
        <v>29</v>
      </c>
      <c r="C4" s="47" t="s">
        <v>55</v>
      </c>
      <c r="D4" s="47"/>
      <c r="E4" s="47"/>
      <c r="F4" s="47" t="s">
        <v>85</v>
      </c>
      <c r="G4" s="47"/>
      <c r="H4" s="47"/>
      <c r="I4" s="47"/>
      <c r="J4" s="47"/>
      <c r="K4" s="47"/>
      <c r="L4" s="47"/>
      <c r="M4" s="47"/>
    </row>
    <row r="5" spans="2:13" s="28" customFormat="1" ht="17" x14ac:dyDescent="0.2">
      <c r="B5" s="47" t="s">
        <v>54</v>
      </c>
      <c r="C5" s="28" t="s">
        <v>78</v>
      </c>
      <c r="D5" s="47"/>
      <c r="E5" s="47"/>
      <c r="F5" s="47" t="s">
        <v>86</v>
      </c>
      <c r="G5" s="47"/>
      <c r="H5" s="47"/>
      <c r="I5" s="47"/>
      <c r="J5" s="47"/>
      <c r="K5" s="47"/>
      <c r="L5" s="47"/>
      <c r="M5" s="47"/>
    </row>
    <row r="6" spans="2:13" s="28" customFormat="1" ht="17" x14ac:dyDescent="0.2">
      <c r="B6" s="47"/>
      <c r="C6" s="47" t="s">
        <v>79</v>
      </c>
      <c r="D6" s="47"/>
      <c r="E6" s="47"/>
      <c r="F6" s="47" t="s">
        <v>87</v>
      </c>
      <c r="G6" s="47"/>
      <c r="H6" s="47"/>
      <c r="I6" s="47"/>
      <c r="J6" s="47"/>
      <c r="K6" s="47"/>
      <c r="L6" s="47"/>
      <c r="M6" s="47"/>
    </row>
    <row r="7" spans="2:13" s="28" customFormat="1" ht="17" x14ac:dyDescent="0.2">
      <c r="B7" s="47"/>
      <c r="C7" s="28" t="s">
        <v>93</v>
      </c>
      <c r="D7" s="47"/>
      <c r="E7" s="47"/>
      <c r="F7" s="47" t="s">
        <v>75</v>
      </c>
      <c r="G7" s="47"/>
      <c r="H7" s="47"/>
      <c r="I7" s="47"/>
      <c r="J7" s="47"/>
      <c r="K7" s="47"/>
      <c r="L7" s="47"/>
      <c r="M7" s="47"/>
    </row>
    <row r="8" spans="2:13" s="28" customFormat="1" ht="18" customHeight="1" x14ac:dyDescent="0.2">
      <c r="B8" s="47"/>
      <c r="C8" s="47" t="s">
        <v>94</v>
      </c>
      <c r="D8" s="47"/>
      <c r="F8" s="47" t="s">
        <v>76</v>
      </c>
      <c r="G8" s="47"/>
      <c r="H8" s="47"/>
      <c r="I8" s="47"/>
      <c r="J8" s="47"/>
      <c r="K8" s="47"/>
      <c r="L8" s="47"/>
      <c r="M8" s="47"/>
    </row>
    <row r="9" spans="2:13" s="28" customFormat="1" ht="17" x14ac:dyDescent="0.2">
      <c r="B9" s="47"/>
      <c r="C9" s="48" t="s">
        <v>56</v>
      </c>
      <c r="D9" s="47"/>
      <c r="E9" s="47"/>
      <c r="F9" s="47" t="s">
        <v>58</v>
      </c>
      <c r="G9" s="47"/>
      <c r="H9" s="47"/>
      <c r="I9" s="47"/>
      <c r="J9" s="47"/>
      <c r="K9" s="47"/>
      <c r="L9" s="47"/>
      <c r="M9" s="47"/>
    </row>
    <row r="10" spans="2:13" s="28" customFormat="1" ht="34" x14ac:dyDescent="0.2">
      <c r="F10" s="47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zoomScale="21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1">
        <v>9</v>
      </c>
      <c r="D2" s="40"/>
      <c r="E2" s="40"/>
      <c r="F2" s="40"/>
      <c r="G2" s="40"/>
      <c r="H2" s="52">
        <v>11</v>
      </c>
    </row>
    <row r="3" spans="2:8" x14ac:dyDescent="0.2">
      <c r="B3" s="8" t="s">
        <v>66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68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67</v>
      </c>
      <c r="C9" s="2" t="b">
        <f>C3&lt;C2</f>
        <v>0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F9D77-C3B8-6E49-A35C-5E92C5080F81}">
  <sheetPr codeName="Sheet3"/>
  <dimension ref="A1:G3"/>
  <sheetViews>
    <sheetView workbookViewId="0">
      <selection activeCell="D13" sqref="D13"/>
    </sheetView>
  </sheetViews>
  <sheetFormatPr baseColWidth="10" defaultRowHeight="16" x14ac:dyDescent="0.2"/>
  <sheetData>
    <row r="1" spans="1:7" x14ac:dyDescent="0.2">
      <c r="A1" s="71">
        <v>45691</v>
      </c>
      <c r="B1" s="72">
        <v>0.42537037037037034</v>
      </c>
      <c r="C1" s="73" t="s">
        <v>80</v>
      </c>
      <c r="D1" s="73" t="s">
        <v>81</v>
      </c>
      <c r="E1" s="73"/>
      <c r="F1" s="73" t="s">
        <v>82</v>
      </c>
      <c r="G1" s="73" t="s">
        <v>83</v>
      </c>
    </row>
    <row r="2" spans="1:7" x14ac:dyDescent="0.2">
      <c r="A2" s="71">
        <v>45691</v>
      </c>
      <c r="B2" s="72">
        <v>0.4254398148148148</v>
      </c>
      <c r="C2" s="73" t="s">
        <v>80</v>
      </c>
      <c r="D2" s="73" t="s">
        <v>81</v>
      </c>
      <c r="E2" s="73"/>
      <c r="F2" s="73" t="s">
        <v>82</v>
      </c>
      <c r="G2" s="73" t="s">
        <v>83</v>
      </c>
    </row>
    <row r="3" spans="1:7" x14ac:dyDescent="0.2">
      <c r="A3" s="71">
        <v>45691</v>
      </c>
      <c r="B3" s="72">
        <v>0.42549768518518516</v>
      </c>
      <c r="C3" s="73" t="s">
        <v>80</v>
      </c>
      <c r="D3" s="73" t="s">
        <v>81</v>
      </c>
      <c r="E3" s="73"/>
      <c r="F3" s="73" t="s">
        <v>82</v>
      </c>
      <c r="G3" s="73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data_brute</vt:lpstr>
      <vt:lpstr>interface</vt:lpstr>
      <vt:lpstr>calculs_intermediaires</vt:lpstr>
      <vt:lpstr>pop_up</vt:lpstr>
      <vt:lpstr>test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2025-02-03T19:00:26Z</dcterms:modified>
</cp:coreProperties>
</file>