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C5C2E5E1-0E47-3B4D-8C6B-F2CD0C03AACC}" xr6:coauthVersionLast="47" xr6:coauthVersionMax="47" xr10:uidLastSave="{00000000-0000-0000-0000-000000000000}"/>
  <bookViews>
    <workbookView xWindow="0" yWindow="760" windowWidth="30240" windowHeight="1754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  <sheet name="test" sheetId="8" r:id="rId5"/>
    <sheet name="backup" sheetId="11" r:id="rId6"/>
  </sheets>
  <functionGroups builtInGroupCount="19"/>
  <definedNames>
    <definedName name="_xlchart.v1.10" hidden="1">data_brute!$R$1</definedName>
    <definedName name="_xlchart.v1.17" hidden="1">data_brute!$N$1</definedName>
    <definedName name="_xlchart.v1.18" hidden="1">data_brute!$O$1</definedName>
    <definedName name="_xlchart.v1.19" hidden="1">data_brute!$P$1</definedName>
    <definedName name="_xlchart.v1.20" hidden="1">data_brute!$Q$1</definedName>
    <definedName name="_xlchart.v1.21" hidden="1">data_brute!$R$1</definedName>
    <definedName name="_xlchart.v1.6" hidden="1">data_brute!$N$1</definedName>
    <definedName name="_xlchart.v1.7" hidden="1">data_brute!$O$1</definedName>
    <definedName name="_xlchart.v1.8" hidden="1">data_brute!$P$1</definedName>
    <definedName name="_xlchart.v1.9" hidden="1">data_brute!$Q$1</definedName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F4" i="3"/>
  <c r="A2" i="10" s="1" a="1"/>
  <c r="A2" i="10" s="1"/>
  <c r="J2" i="10" s="1" a="1"/>
  <c r="J2" i="10" s="1"/>
  <c r="I2" i="10" a="1"/>
  <c r="I2" i="10" s="1"/>
  <c r="C9" i="8" l="1"/>
  <c r="V6" i="3"/>
  <c r="W6" i="3"/>
  <c r="X6" i="3"/>
  <c r="Y6" i="3"/>
  <c r="Z6" i="3"/>
  <c r="AA6" i="3"/>
  <c r="AB6" i="3"/>
  <c r="U6" i="3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H9" i="8"/>
  <c r="F9" i="8"/>
  <c r="G9" i="8"/>
  <c r="E9" i="8"/>
  <c r="D9" i="8"/>
  <c r="C22" i="3"/>
  <c r="AK13" i="3" l="1"/>
  <c r="AL13" i="3" s="1"/>
  <c r="AE7" i="3"/>
  <c r="C4" i="3"/>
  <c r="AK14" i="3" l="1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P7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U7" i="3" s="1" a="1"/>
  <c r="U7" i="3" s="1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K16" i="3" l="1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C21" i="3" s="1"/>
  <c r="C23" i="3" s="1"/>
  <c r="AF14" i="3"/>
  <c r="AE15" i="3" s="1"/>
  <c r="C19" i="3" a="1"/>
  <c r="C19" i="3" s="1"/>
  <c r="AK18" i="3" l="1"/>
  <c r="AL18" i="3" s="1"/>
  <c r="C25" i="3"/>
  <c r="C26" i="3"/>
  <c r="AF15" i="3"/>
  <c r="AE16" i="3" s="1"/>
  <c r="AK19" i="3" l="1"/>
  <c r="AL19" i="3" s="1"/>
  <c r="AF16" i="3"/>
  <c r="AE17" i="3" s="1"/>
  <c r="C2" i="1"/>
  <c r="AK20" i="3" l="1"/>
  <c r="AL20" i="3" s="1"/>
  <c r="AF17" i="3"/>
  <c r="AE18" i="3" s="1"/>
  <c r="AG16" i="3"/>
  <c r="AH16" i="3" s="1"/>
  <c r="AK21" i="3" l="1"/>
  <c r="AL21" i="3" s="1"/>
  <c r="AF18" i="3"/>
  <c r="AE19" i="3" s="1"/>
  <c r="AG17" i="3"/>
  <c r="AH17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K2" i="10" l="1" a="1"/>
  <c r="K2" i="10" s="1"/>
  <c r="L2" i="10" l="1" a="1"/>
  <c r="L2" i="10" l="1"/>
  <c r="M2" i="10" s="1" a="1"/>
  <c r="AG14" i="3" l="1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AM7" i="3" s="1"/>
  <c r="AM8" i="3" l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N7" i="3"/>
  <c r="AN8" i="3"/>
  <c r="AG7" i="3"/>
  <c r="AH7" i="3" s="1"/>
  <c r="X7" i="3" a="1"/>
  <c r="X7" i="3" s="1"/>
  <c r="AB3" i="3"/>
  <c r="Q2" i="10" l="1" a="1"/>
  <c r="Q2" i="10" s="1"/>
  <c r="N2" i="10" s="1" a="1"/>
  <c r="N2" i="10" s="1"/>
  <c r="R2" i="10" a="1"/>
  <c r="R2" i="10" s="1"/>
  <c r="AB2" i="3"/>
  <c r="O2" i="10" l="1" a="1"/>
  <c r="O2" i="10" s="1"/>
  <c r="P2" i="10" a="1"/>
  <c r="P2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<sst xmlns="http://schemas.openxmlformats.org/spreadsheetml/2006/main" count="481" uniqueCount="98">
  <si>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</si>
  <si>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</si>
  <si>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</si>
  <si>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</si>
  <si>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</si>
  <si>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</si>
  <si>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</si>
  <si>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</si>
  <si>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</si>
  <si>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</si>
  <si>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</si>
  <si>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</si>
  <si>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</si>
  <si>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</si>
  <si>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</si>
  <si>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</si>
  <si>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</si>
  <si>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</si>
  <si>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</si>
  <si>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</si>
  <si>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</si>
  <si>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</si>
  <si>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</si>
  <si>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</si>
  <si>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</si>
  <si>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</si>
  <si>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</si>
  <si>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</si>
  <si>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produit_a</t>
  </si>
  <si>
    <t>Tare</t>
  </si>
  <si>
    <t>AJUSTER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</si>
  <si>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</si>
  <si>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</si>
  <si>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</si>
  <si>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</si>
  <si>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</si>
  <si>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</si>
  <si>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</si>
  <si>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</si>
  <si>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</si>
  <si>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</si>
  <si>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</si>
  <si>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</si>
  <si>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</si>
  <si>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</si>
  <si>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</si>
  <si>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</si>
  <si>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</si>
  <si>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</si>
  <si>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</si>
  <si>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</si>
  <si>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</si>
  <si>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</si>
  <si>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</si>
  <si>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</si>
  <si>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</si>
  <si>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</si>
  <si>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</si>
  <si>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</si>
  <si>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</si>
  <si>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</si>
  <si>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</si>
  <si>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</si>
  <si>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</si>
  <si>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</si>
  <si>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</si>
  <si>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</si>
  <si>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</si>
  <si>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</si>
  <si>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</si>
  <si>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</si>
  <si>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</si>
  <si>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</si>
  <si>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</si>
  <si>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</si>
  <si>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</si>
  <si>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</si>
  <si>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</si>
  <si>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</si>
  <si>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</si>
  <si>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</si>
  <si>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</si>
  <si>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</si>
  <si>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</si>
  <si>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</si>
  <si>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</si>
  <si>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</si>
  <si>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</si>
  <si>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</si>
  <si>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</si>
  <si>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</si>
  <si>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</si>
  <si>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</si>
  <si>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</si>
  <si>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</si>
  <si>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</si>
  <si>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lot_b</t>
  </si>
  <si>
    <t xml:space="preserve">29,1 ( 0 )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</si>
</sst>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4" fontId="0" fillId="6" borderId="0" xfId="0" applyNumberFormat="1" applyFill="1" applyAlignment="1">
      <alignment horizontal="center"/>
    </xf>
    <xf numFmtId="21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3" borderId="10" xfId="0" applyFill="1" applyBorder="1" applyAlignment="1">
      <alignment horizontal="center"/>
    </xf>
    <xf numFmtId="14" fontId="9" fillId="0" borderId="0" xfId="0" applyNumberFormat="1" applyFont="1"/>
    <xf numFmtId="21" fontId="9" fillId="0" borderId="0" xfId="0" applyNumberFormat="1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" fontId="0" fillId="0" borderId="0" xfId="0" applyNumberFormat="1" applyFill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8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8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8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24.625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24.625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24.625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24.625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24.625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8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25.375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25.375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25.375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25.375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25.375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ser>
          <c:idx val="2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</c:numCache>
            </c:numRef>
          </c:cat>
          <c:val>
            <c:numRef>
              <c:f>[0]!y_moyenne_longue</c:f>
              <c:numCache>
                <c:formatCode>0.00</c:formatCode>
                <c:ptCount val="8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24.699999999999996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24.690000000000008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24.682500000000012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24.688000000000017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24.681666666666683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24.687142857142874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24.690000000000019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1-BE4F-8975-5B1C84CB597E}"/>
            </c:ext>
          </c:extLst>
        </c:ser>
        <c:ser>
          <c:idx val="3"/>
          <c:order val="4"/>
          <c:tx>
            <c:strRef>
              <c:f>data_brute!$R$1</c:f>
              <c:strCache>
                <c:ptCount val="1"/>
                <c:pt idx="0">
                  <c:v>Moyenne courte</c:v>
                </c:pt>
              </c:strCache>
            </c:strRef>
          </c:tx>
          <c:spPr>
            <a:ln w="57150" cap="rnd">
              <a:solidFill>
                <a:schemeClr val="accent4"/>
              </a:solidFill>
              <a:round/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plus"/>
            <c:size val="16"/>
            <c:spPr>
              <a:noFill/>
              <a:ln w="31750">
                <a:solidFill>
                  <a:schemeClr val="accent4"/>
                </a:solidFill>
              </a:ln>
              <a:effectLst>
                <a:outerShdw dist="50800" dir="5400000" sx="1000" sy="1000" algn="ctr" rotWithShape="0">
                  <a:srgbClr val="000000"/>
                </a:outerShdw>
              </a:effectLst>
            </c:spPr>
          </c:marker>
          <c:cat>
            <c:numRef>
              <c:f>[0]!x_pesee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</c:numCache>
            </c:numRef>
          </c:cat>
          <c:val>
            <c:numRef>
              <c:f>[0]!y_moyenne_courte</c:f>
              <c:numCache>
                <c:formatCode>0.00</c:formatCode>
                <c:ptCount val="8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24.699999999999996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24.659999999999997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24.709999999999997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24.66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24.709999999999994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24.65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24.719999999999995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24.709999999999997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81-BE4F-8975-5B1C84CB5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tickLblSkip val="10"/>
        <c:noMultiLvlLbl val="0"/>
      </c:catAx>
      <c:valAx>
        <c:axId val="8902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</xdr:row>
          <xdr:rowOff>127000</xdr:rowOff>
        </xdr:from>
        <xdr:to>
          <xdr:col>21</xdr:col>
          <xdr:colOff>101600</xdr:colOff>
          <xdr:row>3</xdr:row>
          <xdr:rowOff>101600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493994</xdr:colOff>
      <xdr:row>9</xdr:row>
      <xdr:rowOff>153430</xdr:rowOff>
    </xdr:from>
    <xdr:to>
      <xdr:col>14</xdr:col>
      <xdr:colOff>441240</xdr:colOff>
      <xdr:row>44</xdr:row>
      <xdr:rowOff>32780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topLeftCell="A38" zoomScale="125" zoomScaleNormal="100" workbookViewId="0">
      <selection activeCell="B68" sqref="B68:H89"/>
    </sheetView>
  </sheetViews>
  <sheetFormatPr baseColWidth="10" defaultRowHeight="16" x14ac:dyDescent="0.2"/>
  <cols>
    <col min="1" max="1" width="10.83203125" style="2"/>
    <col min="2" max="8" width="10.83203125" style="64"/>
    <col min="9" max="9" width="10.83203125" style="38"/>
    <col min="10" max="12" width="10.83203125" style="2"/>
    <col min="13" max="13" width="10.83203125" style="38"/>
    <col min="14" max="14" width="3.83203125" style="2" customWidth="1"/>
    <col min="15" max="15" width="7.5" style="2" customWidth="1"/>
    <col min="16" max="16" width="7.1640625" style="2" customWidth="1"/>
    <col min="17" max="18" width="14.83203125" style="38" customWidth="1"/>
    <col min="19" max="16384" width="10.83203125" style="2"/>
  </cols>
  <sheetData>
    <row r="1" spans="1:26" x14ac:dyDescent="0.2">
      <c r="A1" s="50" t="s">
        <v>3</v>
      </c>
      <c r="B1" s="61" t="s">
        <v>0</v>
      </c>
      <c r="C1" s="61" t="s">
        <v>8</v>
      </c>
      <c r="D1" s="61"/>
      <c r="E1" s="61"/>
      <c r="F1" s="61"/>
      <c r="G1" s="61"/>
      <c r="H1" s="61"/>
      <c r="I1" s="60" t="s">
        <v>4</v>
      </c>
      <c r="J1" s="50" t="s">
        <v>49</v>
      </c>
      <c r="K1" s="50" t="s">
        <v>36</v>
      </c>
      <c r="L1" s="50" t="s">
        <v>29</v>
      </c>
      <c r="M1" s="60" t="s">
        <v>26</v>
      </c>
      <c r="N1" s="50" t="s">
        <v>6</v>
      </c>
      <c r="O1" s="50" t="s">
        <v>24</v>
      </c>
      <c r="P1" s="50" t="s">
        <v>25</v>
      </c>
      <c r="Q1" s="60" t="s">
        <v>74</v>
      </c>
      <c r="R1" s="60" t="s">
        <v>66</v>
      </c>
    </row>
    <row r="2" spans="1:26" x14ac:dyDescent="0.2">
      <c r="A2" s="28" cm="1">
        <f t="array" ref="A2:A89">_xlfn.SEQUENCE(calculs_intermediaires!F4)</f>
        <v>1</v>
      </c>
      <c r="B2" s="62">
        <v>45691</v>
      </c>
      <c r="C2" s="63">
        <v>0.42537037037037034</v>
      </c>
      <c r="D2" s="64" t="s">
        <v>80</v>
      </c>
      <c r="E2" s="64" t="s">
        <v>81</v>
      </c>
      <c r="G2" s="64" t="s">
        <v>82</v>
      </c>
      <c r="H2" s="64" t="s">
        <v>83</v>
      </c>
      <c r="I2" s="2" t="str" cm="1">
        <f t="array" aca="1" ref="I2:I89" ca="1">LEFT(poids_brute_balance,4)</f>
        <v>29,7</v>
      </c>
      <c r="J2" s="28" cm="1">
        <f t="array" ref="J2:J89">IF(_xlfn.ANCHORARRAY(A2)&lt;&gt;0,ROW(_xlfn.ANCHORARRAY(A2)))</f>
        <v>2</v>
      </c>
      <c r="K2" s="28" cm="1">
        <f t="array" ref="K2:K89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8" cm="1">
        <f t="array" ref="L2:L89">INDEX(calculs_intermediaires!$N$7:$N$100,MATCH(_xlfn.ANCHORARRAY(K2),calculs_intermediaires!$M$7:$M$100,0))</f>
        <v>5</v>
      </c>
      <c r="M2" s="36" cm="1">
        <f t="array" aca="1" ref="M2:M89" ca="1">IFERROR(_xlfn.ANCHORARRAY(I2)-_xlfn.ANCHORARRAY(L2),"")</f>
        <v>24.7</v>
      </c>
      <c r="N2" s="28" t="e" cm="1">
        <f t="array" aca="1" ref="N2:N89" ca="1">IF(ISERROR(y_moyenne_longue),NA(),IF(_xlfn.SEQUENCE(calculs_intermediaires!F4,1,1), interface!C5, ""))</f>
        <v>#N/A</v>
      </c>
      <c r="O2" s="28" t="e" cm="1">
        <f t="array" aca="1" ref="O2:O89" ca="1">IF(ISERROR(y_moyenne_courte),NA(),IF(_xlfn.SEQUENCE(calculs_intermediaires!F4,1,1),calculs_intermediaires!C25,""))</f>
        <v>#N/A</v>
      </c>
      <c r="P2" s="28" t="e" cm="1">
        <f t="array" aca="1" ref="P2:P89" ca="1">IF(ISERROR(y_moyenne_courte),NA(),IF(_xlfn.SEQUENCE(calculs_intermediaires!F4,1,1),calculs_intermediaires!C26,""))</f>
        <v>#N/A</v>
      </c>
      <c r="Q2" s="36" t="e" cm="1">
        <f t="array" aca="1" ref="Q2:Q89" ca="1">INDEX(calculs_intermediaires!AM:AM,MATCH(_xlfn.ANCHORARRAY(A2),calculs_intermediaires!AN:AN,0))</f>
        <v>#N/A</v>
      </c>
      <c r="R2" s="36" t="e" cm="1">
        <f t="array" aca="1" ref="R2:R89" ca="1">INDEX(calculs_intermediaires!AG:AG,MATCH(_xlfn.ANCHORARRAY(A2),calculs_intermediaires!AH:AH,0))</f>
        <v>#N/A</v>
      </c>
      <c r="T2" s="14"/>
      <c r="Z2"/>
    </row>
    <row r="3" spans="1:26" x14ac:dyDescent="0.2">
      <c r="A3" s="28">
        <v>2</v>
      </c>
      <c r="B3" s="62">
        <v>45691</v>
      </c>
      <c r="C3" s="63">
        <v>0.4254398148148148</v>
      </c>
      <c r="D3" s="64" t="s">
        <v>80</v>
      </c>
      <c r="E3" s="64" t="s">
        <v>81</v>
      </c>
      <c r="G3" s="64" t="s">
        <v>82</v>
      </c>
      <c r="H3" s="64" t="s">
        <v>83</v>
      </c>
      <c r="I3" s="36" t="str">
        <f ca="1"/>
        <v>29,7</v>
      </c>
      <c r="J3" s="28">
        <v>3</v>
      </c>
      <c r="K3" s="28">
        <v>1</v>
      </c>
      <c r="L3" s="28">
        <v>5</v>
      </c>
      <c r="M3" s="36">
        <f ca="1"/>
        <v>24.7</v>
      </c>
      <c r="N3" s="28" t="e">
        <f ca="1"/>
        <v>#N/A</v>
      </c>
      <c r="O3" s="28" t="e">
        <f ca="1"/>
        <v>#N/A</v>
      </c>
      <c r="P3" s="28" t="e">
        <f ca="1"/>
        <v>#N/A</v>
      </c>
      <c r="Q3" s="36" t="e">
        <f ca="1"/>
        <v>#N/A</v>
      </c>
      <c r="R3" s="36" t="e">
        <f ca="1"/>
        <v>#N/A</v>
      </c>
      <c r="Z3"/>
    </row>
    <row r="4" spans="1:26" x14ac:dyDescent="0.2">
      <c r="A4" s="28">
        <v>3</v>
      </c>
      <c r="B4" s="62">
        <v>45691</v>
      </c>
      <c r="C4" s="63">
        <v>0.42549768518518516</v>
      </c>
      <c r="D4" s="64" t="s">
        <v>80</v>
      </c>
      <c r="E4" s="64" t="s">
        <v>81</v>
      </c>
      <c r="G4" s="64" t="s">
        <v>82</v>
      </c>
      <c r="H4" s="64" t="s">
        <v>83</v>
      </c>
      <c r="I4" s="36" t="str">
        <f ca="1"/>
        <v>29,7</v>
      </c>
      <c r="J4" s="28">
        <v>4</v>
      </c>
      <c r="K4" s="28">
        <v>1</v>
      </c>
      <c r="L4" s="28">
        <v>5</v>
      </c>
      <c r="M4" s="36">
        <f ca="1"/>
        <v>24.7</v>
      </c>
      <c r="N4" s="28" t="e">
        <f ca="1"/>
        <v>#N/A</v>
      </c>
      <c r="O4" s="28" t="e">
        <f ca="1"/>
        <v>#N/A</v>
      </c>
      <c r="P4" s="28" t="e">
        <f ca="1"/>
        <v>#N/A</v>
      </c>
      <c r="Q4" s="36" t="e">
        <f ca="1"/>
        <v>#N/A</v>
      </c>
      <c r="R4" s="36" t="e">
        <f ca="1"/>
        <v>#N/A</v>
      </c>
      <c r="Z4"/>
    </row>
    <row r="5" spans="1:26" x14ac:dyDescent="0.2">
      <c r="A5" s="28">
        <v>4</v>
      </c>
      <c r="B5" s="62">
        <v>45691</v>
      </c>
      <c r="C5" s="63">
        <v>0.42537037037037034</v>
      </c>
      <c r="D5" s="64" t="s">
        <v>80</v>
      </c>
      <c r="E5" s="64" t="s">
        <v>81</v>
      </c>
      <c r="G5" s="64" t="s">
        <v>82</v>
      </c>
      <c r="H5" s="64" t="s">
        <v>83</v>
      </c>
      <c r="I5" s="36" t="str">
        <f ca="1"/>
        <v>29,7</v>
      </c>
      <c r="J5" s="28">
        <v>5</v>
      </c>
      <c r="K5" s="28">
        <v>1</v>
      </c>
      <c r="L5" s="28">
        <v>5</v>
      </c>
      <c r="M5" s="36">
        <f ca="1"/>
        <v>24.7</v>
      </c>
      <c r="N5" s="28" t="e">
        <f ca="1"/>
        <v>#N/A</v>
      </c>
      <c r="O5" s="28" t="e">
        <f ca="1"/>
        <v>#N/A</v>
      </c>
      <c r="P5" s="28" t="e">
        <f ca="1"/>
        <v>#N/A</v>
      </c>
      <c r="Q5" s="36" t="e">
        <f ca="1"/>
        <v>#N/A</v>
      </c>
      <c r="R5" s="36" t="e">
        <f ca="1"/>
        <v>#N/A</v>
      </c>
    </row>
    <row r="6" spans="1:26" x14ac:dyDescent="0.2">
      <c r="A6" s="28">
        <v>5</v>
      </c>
      <c r="B6" s="62">
        <v>45691</v>
      </c>
      <c r="C6" s="63">
        <v>0.4254398148148148</v>
      </c>
      <c r="D6" s="64" t="s">
        <v>80</v>
      </c>
      <c r="E6" s="64" t="s">
        <v>81</v>
      </c>
      <c r="G6" s="64" t="s">
        <v>82</v>
      </c>
      <c r="H6" s="64" t="s">
        <v>83</v>
      </c>
      <c r="I6" s="36" t="str">
        <f ca="1"/>
        <v>29,7</v>
      </c>
      <c r="J6" s="28">
        <v>6</v>
      </c>
      <c r="K6" s="28">
        <v>1</v>
      </c>
      <c r="L6" s="28">
        <v>5</v>
      </c>
      <c r="M6" s="36">
        <f ca="1"/>
        <v>24.7</v>
      </c>
      <c r="N6" s="28" t="e">
        <f ca="1"/>
        <v>#N/A</v>
      </c>
      <c r="O6" s="28" t="e">
        <f ca="1"/>
        <v>#N/A</v>
      </c>
      <c r="P6" s="28" t="e">
        <f ca="1"/>
        <v>#N/A</v>
      </c>
      <c r="Q6" s="36" t="e">
        <f ca="1"/>
        <v>#N/A</v>
      </c>
      <c r="R6" s="36" t="e">
        <f ca="1"/>
        <v>#N/A</v>
      </c>
    </row>
    <row r="7" spans="1:26" x14ac:dyDescent="0.2">
      <c r="A7" s="28">
        <v>6</v>
      </c>
      <c r="B7" s="62">
        <v>45691</v>
      </c>
      <c r="C7" s="63">
        <v>0.42549768518518516</v>
      </c>
      <c r="D7" s="64" t="s">
        <v>80</v>
      </c>
      <c r="E7" s="64" t="s">
        <v>81</v>
      </c>
      <c r="G7" s="64" t="s">
        <v>82</v>
      </c>
      <c r="H7" s="64" t="s">
        <v>83</v>
      </c>
      <c r="I7" s="36" t="str">
        <f ca="1"/>
        <v>29,7</v>
      </c>
      <c r="J7" s="28">
        <v>7</v>
      </c>
      <c r="K7" s="28">
        <v>1</v>
      </c>
      <c r="L7" s="28">
        <v>5</v>
      </c>
      <c r="M7" s="36">
        <f ca="1"/>
        <v>24.7</v>
      </c>
      <c r="N7" s="28" t="e">
        <f ca="1"/>
        <v>#N/A</v>
      </c>
      <c r="O7" s="28" t="e">
        <f ca="1"/>
        <v>#N/A</v>
      </c>
      <c r="P7" s="28" t="e">
        <f ca="1"/>
        <v>#N/A</v>
      </c>
      <c r="Q7" s="36" t="e">
        <f ca="1"/>
        <v>#N/A</v>
      </c>
      <c r="R7" s="36" t="e">
        <f ca="1"/>
        <v>#N/A</v>
      </c>
    </row>
    <row r="8" spans="1:26" x14ac:dyDescent="0.2">
      <c r="A8" s="28">
        <v>7</v>
      </c>
      <c r="B8" s="62">
        <v>45691</v>
      </c>
      <c r="C8" s="63">
        <v>0.42537037037037034</v>
      </c>
      <c r="D8" s="64" t="s">
        <v>80</v>
      </c>
      <c r="E8" s="64" t="s">
        <v>81</v>
      </c>
      <c r="G8" s="64" t="s">
        <v>82</v>
      </c>
      <c r="H8" s="64" t="s">
        <v>83</v>
      </c>
      <c r="I8" s="36" t="str">
        <f ca="1"/>
        <v>29,7</v>
      </c>
      <c r="J8" s="28">
        <v>8</v>
      </c>
      <c r="K8" s="28">
        <v>1</v>
      </c>
      <c r="L8" s="28">
        <v>5</v>
      </c>
      <c r="M8" s="36">
        <f ca="1"/>
        <v>24.7</v>
      </c>
      <c r="N8" s="28" t="e">
        <f ca="1"/>
        <v>#N/A</v>
      </c>
      <c r="O8" s="28" t="e">
        <f ca="1"/>
        <v>#N/A</v>
      </c>
      <c r="P8" s="28" t="e">
        <f ca="1"/>
        <v>#N/A</v>
      </c>
      <c r="Q8" s="36" t="e">
        <f ca="1"/>
        <v>#N/A</v>
      </c>
      <c r="R8" s="36" t="e">
        <f ca="1"/>
        <v>#N/A</v>
      </c>
    </row>
    <row r="9" spans="1:26" x14ac:dyDescent="0.2">
      <c r="A9" s="28">
        <v>8</v>
      </c>
      <c r="B9" s="62">
        <v>45691</v>
      </c>
      <c r="C9" s="63">
        <v>0.4254398148148148</v>
      </c>
      <c r="D9" s="64" t="s">
        <v>80</v>
      </c>
      <c r="E9" s="64" t="s">
        <v>81</v>
      </c>
      <c r="G9" s="64" t="s">
        <v>82</v>
      </c>
      <c r="H9" s="64" t="s">
        <v>83</v>
      </c>
      <c r="I9" s="36" t="str">
        <f ca="1"/>
        <v>29,7</v>
      </c>
      <c r="J9" s="28">
        <v>9</v>
      </c>
      <c r="K9" s="28">
        <v>1</v>
      </c>
      <c r="L9" s="28">
        <v>5</v>
      </c>
      <c r="M9" s="36">
        <f ca="1"/>
        <v>24.7</v>
      </c>
      <c r="N9" s="28" t="e">
        <f ca="1"/>
        <v>#N/A</v>
      </c>
      <c r="O9" s="28" t="e">
        <f ca="1"/>
        <v>#N/A</v>
      </c>
      <c r="P9" s="28" t="e">
        <f ca="1"/>
        <v>#N/A</v>
      </c>
      <c r="Q9" s="36" t="e">
        <f ca="1"/>
        <v>#N/A</v>
      </c>
      <c r="R9" s="36" t="e">
        <f ca="1"/>
        <v>#N/A</v>
      </c>
    </row>
    <row r="10" spans="1:26" x14ac:dyDescent="0.2">
      <c r="A10" s="28">
        <v>9</v>
      </c>
      <c r="B10" s="62">
        <v>45691</v>
      </c>
      <c r="C10" s="63">
        <v>0.42549768518518516</v>
      </c>
      <c r="D10" s="64" t="s">
        <v>80</v>
      </c>
      <c r="E10" s="64" t="s">
        <v>81</v>
      </c>
      <c r="G10" s="64" t="s">
        <v>82</v>
      </c>
      <c r="H10" s="64" t="s">
        <v>83</v>
      </c>
      <c r="I10" s="36" t="str">
        <f ca="1"/>
        <v>29,7</v>
      </c>
      <c r="J10" s="28">
        <v>10</v>
      </c>
      <c r="K10" s="28">
        <v>1</v>
      </c>
      <c r="L10" s="28">
        <v>5</v>
      </c>
      <c r="M10" s="36">
        <f ca="1"/>
        <v>24.7</v>
      </c>
      <c r="N10" s="28" t="e">
        <f ca="1"/>
        <v>#N/A</v>
      </c>
      <c r="O10" s="28" t="e">
        <f ca="1"/>
        <v>#N/A</v>
      </c>
      <c r="P10" s="28" t="e">
        <f ca="1"/>
        <v>#N/A</v>
      </c>
      <c r="Q10" s="36" t="e">
        <f ca="1"/>
        <v>#N/A</v>
      </c>
      <c r="R10" s="36" t="e">
        <f ca="1"/>
        <v>#N/A</v>
      </c>
    </row>
    <row r="11" spans="1:26" x14ac:dyDescent="0.2">
      <c r="A11" s="28">
        <v>10</v>
      </c>
      <c r="B11" s="62">
        <v>45691</v>
      </c>
      <c r="C11" s="63">
        <v>0.42537037037037034</v>
      </c>
      <c r="D11" s="64" t="s">
        <v>80</v>
      </c>
      <c r="E11" s="64" t="s">
        <v>81</v>
      </c>
      <c r="G11" s="64" t="s">
        <v>82</v>
      </c>
      <c r="H11" s="64" t="s">
        <v>83</v>
      </c>
      <c r="I11" s="36" t="str">
        <f ca="1"/>
        <v>29,7</v>
      </c>
      <c r="J11" s="28">
        <v>11</v>
      </c>
      <c r="K11" s="28">
        <v>1</v>
      </c>
      <c r="L11" s="28">
        <v>5</v>
      </c>
      <c r="M11" s="36">
        <f ca="1"/>
        <v>24.7</v>
      </c>
      <c r="N11" s="28">
        <f ca="1"/>
        <v>25</v>
      </c>
      <c r="O11" s="28">
        <f ca="1"/>
        <v>24.625</v>
      </c>
      <c r="P11" s="28">
        <f ca="1"/>
        <v>25.375</v>
      </c>
      <c r="Q11" s="36">
        <f ca="1"/>
        <v>24.699999999999996</v>
      </c>
      <c r="R11" s="36">
        <f ca="1"/>
        <v>24.699999999999996</v>
      </c>
    </row>
    <row r="12" spans="1:26" x14ac:dyDescent="0.2">
      <c r="A12" s="28">
        <v>11</v>
      </c>
      <c r="B12" s="62">
        <v>45691</v>
      </c>
      <c r="C12" s="63">
        <v>0.4254398148148148</v>
      </c>
      <c r="D12" s="64" t="s">
        <v>80</v>
      </c>
      <c r="E12" s="64" t="s">
        <v>81</v>
      </c>
      <c r="G12" s="64" t="s">
        <v>82</v>
      </c>
      <c r="H12" s="64" t="s">
        <v>83</v>
      </c>
      <c r="I12" s="36" t="str">
        <f ca="1"/>
        <v>29,7</v>
      </c>
      <c r="J12" s="28">
        <v>12</v>
      </c>
      <c r="K12" s="28">
        <v>1</v>
      </c>
      <c r="L12" s="28">
        <v>5</v>
      </c>
      <c r="M12" s="36">
        <f ca="1"/>
        <v>24.7</v>
      </c>
      <c r="N12" s="28" t="e">
        <f ca="1"/>
        <v>#N/A</v>
      </c>
      <c r="O12" s="28" t="e">
        <f ca="1"/>
        <v>#N/A</v>
      </c>
      <c r="P12" s="28" t="e">
        <f ca="1"/>
        <v>#N/A</v>
      </c>
      <c r="Q12" s="36" t="e">
        <f ca="1"/>
        <v>#N/A</v>
      </c>
      <c r="R12" s="36" t="e">
        <f ca="1"/>
        <v>#N/A</v>
      </c>
    </row>
    <row r="13" spans="1:26" x14ac:dyDescent="0.2">
      <c r="A13" s="28">
        <v>12</v>
      </c>
      <c r="B13" s="62">
        <v>45691</v>
      </c>
      <c r="C13" s="63">
        <v>0.42549768518518516</v>
      </c>
      <c r="D13" s="64" t="s">
        <v>80</v>
      </c>
      <c r="E13" s="64" t="s">
        <v>81</v>
      </c>
      <c r="G13" s="64" t="s">
        <v>82</v>
      </c>
      <c r="H13" s="64" t="s">
        <v>83</v>
      </c>
      <c r="I13" s="36" t="str">
        <f ca="1"/>
        <v>29,7</v>
      </c>
      <c r="J13" s="28">
        <v>13</v>
      </c>
      <c r="K13" s="28">
        <v>1</v>
      </c>
      <c r="L13" s="28">
        <v>5</v>
      </c>
      <c r="M13" s="36">
        <f ca="1"/>
        <v>24.7</v>
      </c>
      <c r="N13" s="28" t="e">
        <f ca="1"/>
        <v>#N/A</v>
      </c>
      <c r="O13" s="28" t="e">
        <f ca="1"/>
        <v>#N/A</v>
      </c>
      <c r="P13" s="28" t="e">
        <f ca="1"/>
        <v>#N/A</v>
      </c>
      <c r="Q13" s="36" t="e">
        <f ca="1"/>
        <v>#N/A</v>
      </c>
      <c r="R13" s="36" t="e">
        <f ca="1"/>
        <v>#N/A</v>
      </c>
    </row>
    <row r="14" spans="1:26" x14ac:dyDescent="0.2">
      <c r="A14" s="28">
        <v>13</v>
      </c>
      <c r="B14" s="62">
        <v>45691</v>
      </c>
      <c r="C14" s="63">
        <v>0.42549768518518516</v>
      </c>
      <c r="D14" s="64" t="s">
        <v>80</v>
      </c>
      <c r="E14" s="64" t="s">
        <v>81</v>
      </c>
      <c r="G14" s="64" t="s">
        <v>82</v>
      </c>
      <c r="H14" s="64" t="s">
        <v>83</v>
      </c>
      <c r="I14" s="36" t="str">
        <f ca="1"/>
        <v>29,7</v>
      </c>
      <c r="J14" s="28">
        <v>14</v>
      </c>
      <c r="K14" s="28">
        <v>1</v>
      </c>
      <c r="L14" s="28">
        <v>5</v>
      </c>
      <c r="M14" s="36">
        <f ca="1"/>
        <v>24.7</v>
      </c>
      <c r="N14" s="28" t="e">
        <f ca="1"/>
        <v>#N/A</v>
      </c>
      <c r="O14" s="28" t="e">
        <f ca="1"/>
        <v>#N/A</v>
      </c>
      <c r="P14" s="28" t="e">
        <f ca="1"/>
        <v>#N/A</v>
      </c>
      <c r="Q14" s="36" t="e">
        <f ca="1"/>
        <v>#N/A</v>
      </c>
      <c r="R14" s="36" t="e">
        <f ca="1"/>
        <v>#N/A</v>
      </c>
    </row>
    <row r="15" spans="1:26" x14ac:dyDescent="0.2">
      <c r="A15" s="28">
        <v>14</v>
      </c>
      <c r="B15" s="62">
        <v>45691</v>
      </c>
      <c r="C15" s="63">
        <v>0.42549768518518516</v>
      </c>
      <c r="D15" s="64" t="s">
        <v>80</v>
      </c>
      <c r="E15" s="64" t="s">
        <v>81</v>
      </c>
      <c r="G15" s="64" t="s">
        <v>95</v>
      </c>
      <c r="H15" s="65" t="s">
        <v>83</v>
      </c>
      <c r="I15" s="36" t="str">
        <f ca="1"/>
        <v>29,8</v>
      </c>
      <c r="J15" s="28">
        <v>15</v>
      </c>
      <c r="K15" s="28">
        <v>1</v>
      </c>
      <c r="L15" s="28">
        <v>5</v>
      </c>
      <c r="M15" s="36">
        <f ca="1"/>
        <v>24.8</v>
      </c>
      <c r="N15" s="28" t="e">
        <f ca="1"/>
        <v>#N/A</v>
      </c>
      <c r="O15" s="28" t="e">
        <f ca="1"/>
        <v>#N/A</v>
      </c>
      <c r="P15" s="28" t="e">
        <f ca="1"/>
        <v>#N/A</v>
      </c>
      <c r="Q15" s="36" t="e">
        <f ca="1"/>
        <v>#N/A</v>
      </c>
      <c r="R15" s="36" t="e">
        <f ca="1"/>
        <v>#N/A</v>
      </c>
    </row>
    <row r="16" spans="1:26" x14ac:dyDescent="0.2">
      <c r="A16" s="28">
        <v>15</v>
      </c>
      <c r="B16" s="62">
        <v>45691</v>
      </c>
      <c r="C16" s="63">
        <v>0.4254398148148148</v>
      </c>
      <c r="D16" s="64" t="s">
        <v>80</v>
      </c>
      <c r="E16" s="64" t="s">
        <v>81</v>
      </c>
      <c r="G16" s="64" t="s">
        <v>82</v>
      </c>
      <c r="H16" s="64" t="s">
        <v>83</v>
      </c>
      <c r="I16" s="36" t="str">
        <f ca="1"/>
        <v>29,7</v>
      </c>
      <c r="J16" s="28">
        <v>16</v>
      </c>
      <c r="K16" s="28">
        <v>1</v>
      </c>
      <c r="L16" s="28">
        <v>5</v>
      </c>
      <c r="M16" s="36">
        <f ca="1"/>
        <v>24.7</v>
      </c>
      <c r="N16" s="28" t="e">
        <f ca="1"/>
        <v>#N/A</v>
      </c>
      <c r="O16" s="28" t="e">
        <f ca="1"/>
        <v>#N/A</v>
      </c>
      <c r="P16" s="28" t="e">
        <f ca="1"/>
        <v>#N/A</v>
      </c>
      <c r="Q16" s="36" t="e">
        <f ca="1"/>
        <v>#N/A</v>
      </c>
      <c r="R16" s="36" t="e">
        <f ca="1"/>
        <v>#N/A</v>
      </c>
    </row>
    <row r="17" spans="1:18" x14ac:dyDescent="0.2">
      <c r="A17" s="28">
        <v>16</v>
      </c>
      <c r="B17" s="62">
        <v>45691</v>
      </c>
      <c r="C17" s="63">
        <v>0.42549768518518516</v>
      </c>
      <c r="D17" s="64" t="s">
        <v>80</v>
      </c>
      <c r="E17" s="64" t="s">
        <v>81</v>
      </c>
      <c r="G17" s="64" t="s">
        <v>97</v>
      </c>
      <c r="H17" s="64" t="s">
        <v>83</v>
      </c>
      <c r="I17" s="36" t="str">
        <f ca="1"/>
        <v>29,1</v>
      </c>
      <c r="J17" s="28">
        <v>17</v>
      </c>
      <c r="K17" s="28">
        <v>1</v>
      </c>
      <c r="L17" s="28">
        <v>5</v>
      </c>
      <c r="M17" s="36">
        <f ca="1"/>
        <v>24.1</v>
      </c>
      <c r="N17" s="28" t="e">
        <f ca="1"/>
        <v>#N/A</v>
      </c>
      <c r="O17" s="28" t="e">
        <f ca="1"/>
        <v>#N/A</v>
      </c>
      <c r="P17" s="28" t="e">
        <f ca="1"/>
        <v>#N/A</v>
      </c>
      <c r="Q17" s="36" t="e">
        <f ca="1"/>
        <v>#N/A</v>
      </c>
      <c r="R17" s="36" t="e">
        <f ca="1"/>
        <v>#N/A</v>
      </c>
    </row>
    <row r="18" spans="1:18" x14ac:dyDescent="0.2">
      <c r="A18" s="28">
        <v>17</v>
      </c>
      <c r="B18" s="62">
        <v>45691</v>
      </c>
      <c r="C18" s="63">
        <v>0.42549768518518516</v>
      </c>
      <c r="D18" s="64" t="s">
        <v>80</v>
      </c>
      <c r="E18" s="64" t="s">
        <v>81</v>
      </c>
      <c r="G18" s="64" t="s">
        <v>82</v>
      </c>
      <c r="H18" s="64" t="s">
        <v>83</v>
      </c>
      <c r="I18" s="36" t="str">
        <f ca="1"/>
        <v>29,7</v>
      </c>
      <c r="J18" s="28">
        <v>18</v>
      </c>
      <c r="K18" s="28">
        <v>1</v>
      </c>
      <c r="L18" s="28">
        <v>5</v>
      </c>
      <c r="M18" s="36">
        <f ca="1"/>
        <v>24.7</v>
      </c>
      <c r="N18" s="28" t="e">
        <f ca="1"/>
        <v>#N/A</v>
      </c>
      <c r="O18" s="28" t="e">
        <f ca="1"/>
        <v>#N/A</v>
      </c>
      <c r="P18" s="28" t="e">
        <f ca="1"/>
        <v>#N/A</v>
      </c>
      <c r="Q18" s="36" t="e">
        <f ca="1"/>
        <v>#N/A</v>
      </c>
      <c r="R18" s="36" t="e">
        <f ca="1"/>
        <v>#N/A</v>
      </c>
    </row>
    <row r="19" spans="1:18" x14ac:dyDescent="0.2">
      <c r="A19" s="28">
        <v>18</v>
      </c>
      <c r="B19" s="62">
        <v>45691</v>
      </c>
      <c r="C19" s="63">
        <v>0.42549768518518516</v>
      </c>
      <c r="D19" s="64" t="s">
        <v>80</v>
      </c>
      <c r="E19" s="64" t="s">
        <v>81</v>
      </c>
      <c r="G19" s="64" t="s">
        <v>95</v>
      </c>
      <c r="H19" s="65" t="s">
        <v>83</v>
      </c>
      <c r="I19" s="36" t="str">
        <f ca="1"/>
        <v>29,8</v>
      </c>
      <c r="J19" s="28">
        <v>19</v>
      </c>
      <c r="K19" s="28">
        <v>1</v>
      </c>
      <c r="L19" s="28">
        <v>5</v>
      </c>
      <c r="M19" s="36">
        <f ca="1"/>
        <v>24.8</v>
      </c>
      <c r="N19" s="28" t="e">
        <f ca="1"/>
        <v>#N/A</v>
      </c>
      <c r="O19" s="28" t="e">
        <f ca="1"/>
        <v>#N/A</v>
      </c>
      <c r="P19" s="28" t="e">
        <f ca="1"/>
        <v>#N/A</v>
      </c>
      <c r="Q19" s="36" t="e">
        <f ca="1"/>
        <v>#N/A</v>
      </c>
      <c r="R19" s="36" t="e">
        <f ca="1"/>
        <v>#N/A</v>
      </c>
    </row>
    <row r="20" spans="1:18" x14ac:dyDescent="0.2">
      <c r="A20" s="28">
        <v>19</v>
      </c>
      <c r="B20" s="62">
        <v>45691</v>
      </c>
      <c r="C20" s="63">
        <v>0.4254398148148148</v>
      </c>
      <c r="D20" s="64" t="s">
        <v>80</v>
      </c>
      <c r="E20" s="64" t="s">
        <v>81</v>
      </c>
      <c r="G20" s="64" t="s">
        <v>82</v>
      </c>
      <c r="H20" s="64" t="s">
        <v>83</v>
      </c>
      <c r="I20" s="36" t="str">
        <f ca="1"/>
        <v>29,7</v>
      </c>
      <c r="J20" s="28">
        <v>20</v>
      </c>
      <c r="K20" s="28">
        <v>1</v>
      </c>
      <c r="L20" s="28">
        <v>5</v>
      </c>
      <c r="M20" s="36">
        <f ca="1"/>
        <v>24.7</v>
      </c>
      <c r="N20" s="28" t="e">
        <f ca="1"/>
        <v>#N/A</v>
      </c>
      <c r="O20" s="28" t="e">
        <f ca="1"/>
        <v>#N/A</v>
      </c>
      <c r="P20" s="28" t="e">
        <f ca="1"/>
        <v>#N/A</v>
      </c>
      <c r="Q20" s="36" t="e">
        <f ca="1"/>
        <v>#N/A</v>
      </c>
      <c r="R20" s="36" t="e">
        <f ca="1"/>
        <v>#N/A</v>
      </c>
    </row>
    <row r="21" spans="1:18" x14ac:dyDescent="0.2">
      <c r="A21" s="28">
        <v>20</v>
      </c>
      <c r="B21" s="62">
        <v>45691</v>
      </c>
      <c r="C21" s="63">
        <v>0.42549768518518516</v>
      </c>
      <c r="D21" s="64" t="s">
        <v>80</v>
      </c>
      <c r="E21" s="64" t="s">
        <v>81</v>
      </c>
      <c r="G21" s="64" t="s">
        <v>82</v>
      </c>
      <c r="H21" s="64" t="s">
        <v>83</v>
      </c>
      <c r="I21" s="36" t="str">
        <f ca="1"/>
        <v>29,7</v>
      </c>
      <c r="J21" s="28">
        <v>21</v>
      </c>
      <c r="K21" s="28">
        <v>1</v>
      </c>
      <c r="L21" s="28">
        <v>5</v>
      </c>
      <c r="M21" s="36">
        <f ca="1"/>
        <v>24.7</v>
      </c>
      <c r="N21" s="28">
        <f ca="1"/>
        <v>25</v>
      </c>
      <c r="O21" s="28">
        <f ca="1"/>
        <v>24.625</v>
      </c>
      <c r="P21" s="28">
        <f ca="1"/>
        <v>25.375</v>
      </c>
      <c r="Q21" s="36">
        <f ca="1"/>
        <v>24.679999999999996</v>
      </c>
      <c r="R21" s="36">
        <f ca="1"/>
        <v>24.659999999999997</v>
      </c>
    </row>
    <row r="22" spans="1:18" x14ac:dyDescent="0.2">
      <c r="A22" s="28">
        <v>21</v>
      </c>
      <c r="B22" s="62">
        <v>45691</v>
      </c>
      <c r="C22" s="63">
        <v>0.42549768518518516</v>
      </c>
      <c r="D22" s="64" t="s">
        <v>80</v>
      </c>
      <c r="E22" s="64" t="s">
        <v>81</v>
      </c>
      <c r="G22" s="64" t="s">
        <v>82</v>
      </c>
      <c r="H22" s="64" t="s">
        <v>83</v>
      </c>
      <c r="I22" s="36" t="str">
        <f ca="1"/>
        <v>29,7</v>
      </c>
      <c r="J22" s="28">
        <v>22</v>
      </c>
      <c r="K22" s="28">
        <v>1</v>
      </c>
      <c r="L22" s="28">
        <v>5</v>
      </c>
      <c r="M22" s="36">
        <f ca="1"/>
        <v>24.7</v>
      </c>
      <c r="N22" s="28" t="e">
        <f ca="1"/>
        <v>#N/A</v>
      </c>
      <c r="O22" s="28" t="e">
        <f ca="1"/>
        <v>#N/A</v>
      </c>
      <c r="P22" s="28" t="e">
        <f ca="1"/>
        <v>#N/A</v>
      </c>
      <c r="Q22" s="36" t="e">
        <f ca="1"/>
        <v>#N/A</v>
      </c>
      <c r="R22" s="36" t="e">
        <f ca="1"/>
        <v>#N/A</v>
      </c>
    </row>
    <row r="23" spans="1:18" x14ac:dyDescent="0.2">
      <c r="A23" s="28">
        <v>22</v>
      </c>
      <c r="B23" s="62">
        <v>45691</v>
      </c>
      <c r="C23" s="63">
        <v>0.42549768518518516</v>
      </c>
      <c r="D23" s="64" t="s">
        <v>80</v>
      </c>
      <c r="E23" s="64" t="s">
        <v>81</v>
      </c>
      <c r="G23" s="64" t="s">
        <v>95</v>
      </c>
      <c r="H23" s="65" t="s">
        <v>83</v>
      </c>
      <c r="I23" s="36" t="str">
        <f ca="1"/>
        <v>29,8</v>
      </c>
      <c r="J23" s="28">
        <v>23</v>
      </c>
      <c r="K23" s="28">
        <v>1</v>
      </c>
      <c r="L23" s="28">
        <v>5</v>
      </c>
      <c r="M23" s="36">
        <f ca="1"/>
        <v>24.8</v>
      </c>
      <c r="N23" s="28" t="e">
        <f ca="1"/>
        <v>#N/A</v>
      </c>
      <c r="O23" s="28" t="e">
        <f ca="1"/>
        <v>#N/A</v>
      </c>
      <c r="P23" s="28" t="e">
        <f ca="1"/>
        <v>#N/A</v>
      </c>
      <c r="Q23" s="36" t="e">
        <f ca="1"/>
        <v>#N/A</v>
      </c>
      <c r="R23" s="36" t="e">
        <f ca="1"/>
        <v>#N/A</v>
      </c>
    </row>
    <row r="24" spans="1:18" x14ac:dyDescent="0.2">
      <c r="A24" s="28">
        <v>23</v>
      </c>
      <c r="B24" s="62">
        <v>45691</v>
      </c>
      <c r="C24" s="63">
        <v>0.42537037037037034</v>
      </c>
      <c r="D24" s="64" t="s">
        <v>80</v>
      </c>
      <c r="E24" s="64" t="s">
        <v>81</v>
      </c>
      <c r="G24" s="64" t="s">
        <v>82</v>
      </c>
      <c r="H24" s="64" t="s">
        <v>83</v>
      </c>
      <c r="I24" s="36" t="str">
        <f ca="1"/>
        <v>29,7</v>
      </c>
      <c r="J24" s="28">
        <v>24</v>
      </c>
      <c r="K24" s="28">
        <v>1</v>
      </c>
      <c r="L24" s="28">
        <v>5</v>
      </c>
      <c r="M24" s="36">
        <f ca="1"/>
        <v>24.7</v>
      </c>
      <c r="N24" s="28" t="e">
        <f ca="1"/>
        <v>#N/A</v>
      </c>
      <c r="O24" s="28" t="e">
        <f ca="1"/>
        <v>#N/A</v>
      </c>
      <c r="P24" s="28" t="e">
        <f ca="1"/>
        <v>#N/A</v>
      </c>
      <c r="Q24" s="36" t="e">
        <f ca="1"/>
        <v>#N/A</v>
      </c>
      <c r="R24" s="36" t="e">
        <f ca="1"/>
        <v>#N/A</v>
      </c>
    </row>
    <row r="25" spans="1:18" x14ac:dyDescent="0.2">
      <c r="A25" s="28">
        <v>24</v>
      </c>
      <c r="B25" s="62">
        <v>45691</v>
      </c>
      <c r="C25" s="63">
        <v>0.4254398148148148</v>
      </c>
      <c r="D25" s="64" t="s">
        <v>80</v>
      </c>
      <c r="E25" s="64" t="s">
        <v>81</v>
      </c>
      <c r="G25" s="64" t="s">
        <v>82</v>
      </c>
      <c r="H25" s="64" t="s">
        <v>83</v>
      </c>
      <c r="I25" s="36" t="str">
        <f ca="1"/>
        <v>29,7</v>
      </c>
      <c r="J25" s="28">
        <v>25</v>
      </c>
      <c r="K25" s="28">
        <v>1</v>
      </c>
      <c r="L25" s="28">
        <v>5</v>
      </c>
      <c r="M25" s="36">
        <f ca="1"/>
        <v>24.7</v>
      </c>
      <c r="N25" s="28" t="e">
        <f ca="1"/>
        <v>#N/A</v>
      </c>
      <c r="O25" s="28" t="e">
        <f ca="1"/>
        <v>#N/A</v>
      </c>
      <c r="P25" s="28" t="e">
        <f ca="1"/>
        <v>#N/A</v>
      </c>
      <c r="Q25" s="36" t="e">
        <f ca="1"/>
        <v>#N/A</v>
      </c>
      <c r="R25" s="36" t="e">
        <f ca="1"/>
        <v>#N/A</v>
      </c>
    </row>
    <row r="26" spans="1:18" x14ac:dyDescent="0.2">
      <c r="A26" s="28">
        <v>25</v>
      </c>
      <c r="B26" s="62">
        <v>45691</v>
      </c>
      <c r="C26" s="63">
        <v>0.42549768518518516</v>
      </c>
      <c r="D26" s="64" t="s">
        <v>80</v>
      </c>
      <c r="E26" s="64" t="s">
        <v>81</v>
      </c>
      <c r="G26" s="64" t="s">
        <v>82</v>
      </c>
      <c r="H26" s="64" t="s">
        <v>83</v>
      </c>
      <c r="I26" s="36" t="str">
        <f ca="1"/>
        <v>29,7</v>
      </c>
      <c r="J26" s="28">
        <v>26</v>
      </c>
      <c r="K26" s="28">
        <v>1</v>
      </c>
      <c r="L26" s="28">
        <v>5</v>
      </c>
      <c r="M26" s="36">
        <f ca="1"/>
        <v>24.7</v>
      </c>
      <c r="N26" s="28" t="e">
        <f ca="1"/>
        <v>#N/A</v>
      </c>
      <c r="O26" s="28" t="e">
        <f ca="1"/>
        <v>#N/A</v>
      </c>
      <c r="P26" s="28" t="e">
        <f ca="1"/>
        <v>#N/A</v>
      </c>
      <c r="Q26" s="36" t="e">
        <f ca="1"/>
        <v>#N/A</v>
      </c>
      <c r="R26" s="36" t="e">
        <f ca="1"/>
        <v>#N/A</v>
      </c>
    </row>
    <row r="27" spans="1:18" x14ac:dyDescent="0.2">
      <c r="A27" s="28">
        <v>26</v>
      </c>
      <c r="B27" s="62">
        <v>45691</v>
      </c>
      <c r="C27" s="63">
        <v>0.42537037037037034</v>
      </c>
      <c r="D27" s="64" t="s">
        <v>80</v>
      </c>
      <c r="E27" s="64" t="s">
        <v>81</v>
      </c>
      <c r="G27" s="64" t="s">
        <v>82</v>
      </c>
      <c r="H27" s="64" t="s">
        <v>83</v>
      </c>
      <c r="I27" s="36" t="str">
        <f ca="1"/>
        <v>29,7</v>
      </c>
      <c r="J27" s="28">
        <v>27</v>
      </c>
      <c r="K27" s="28">
        <v>1</v>
      </c>
      <c r="L27" s="28">
        <v>5</v>
      </c>
      <c r="M27" s="36">
        <f ca="1"/>
        <v>24.7</v>
      </c>
      <c r="N27" s="28" t="e">
        <f ca="1"/>
        <v>#N/A</v>
      </c>
      <c r="O27" s="28" t="e">
        <f ca="1"/>
        <v>#N/A</v>
      </c>
      <c r="P27" s="28" t="e">
        <f ca="1"/>
        <v>#N/A</v>
      </c>
      <c r="Q27" s="36" t="e">
        <f ca="1"/>
        <v>#N/A</v>
      </c>
      <c r="R27" s="36" t="e">
        <f ca="1"/>
        <v>#N/A</v>
      </c>
    </row>
    <row r="28" spans="1:18" x14ac:dyDescent="0.2">
      <c r="A28" s="28">
        <v>27</v>
      </c>
      <c r="B28" s="62">
        <v>45691</v>
      </c>
      <c r="C28" s="63">
        <v>0.4254398148148148</v>
      </c>
      <c r="D28" s="64" t="s">
        <v>80</v>
      </c>
      <c r="E28" s="64" t="s">
        <v>81</v>
      </c>
      <c r="G28" s="64" t="s">
        <v>82</v>
      </c>
      <c r="H28" s="64" t="s">
        <v>83</v>
      </c>
      <c r="I28" s="36" t="str">
        <f ca="1"/>
        <v>29,7</v>
      </c>
      <c r="J28" s="28">
        <v>28</v>
      </c>
      <c r="K28" s="28">
        <v>1</v>
      </c>
      <c r="L28" s="28">
        <v>5</v>
      </c>
      <c r="M28" s="36">
        <f ca="1"/>
        <v>24.7</v>
      </c>
      <c r="N28" s="28" t="e">
        <f ca="1"/>
        <v>#N/A</v>
      </c>
      <c r="O28" s="28" t="e">
        <f ca="1"/>
        <v>#N/A</v>
      </c>
      <c r="P28" s="28" t="e">
        <f ca="1"/>
        <v>#N/A</v>
      </c>
      <c r="Q28" s="36" t="e">
        <f ca="1"/>
        <v>#N/A</v>
      </c>
      <c r="R28" s="36" t="e">
        <f ca="1"/>
        <v>#N/A</v>
      </c>
    </row>
    <row r="29" spans="1:18" x14ac:dyDescent="0.2">
      <c r="A29" s="28">
        <v>28</v>
      </c>
      <c r="B29" s="62">
        <v>45691</v>
      </c>
      <c r="C29" s="63">
        <v>0.42549768518518516</v>
      </c>
      <c r="D29" s="64" t="s">
        <v>80</v>
      </c>
      <c r="E29" s="64" t="s">
        <v>81</v>
      </c>
      <c r="G29" s="64" t="s">
        <v>82</v>
      </c>
      <c r="H29" s="64" t="s">
        <v>83</v>
      </c>
      <c r="I29" s="36" t="str">
        <f ca="1"/>
        <v>29,7</v>
      </c>
      <c r="J29" s="28">
        <v>29</v>
      </c>
      <c r="K29" s="28">
        <v>1</v>
      </c>
      <c r="L29" s="28">
        <v>5</v>
      </c>
      <c r="M29" s="36">
        <f ca="1"/>
        <v>24.7</v>
      </c>
      <c r="N29" s="28" t="e">
        <f ca="1"/>
        <v>#N/A</v>
      </c>
      <c r="O29" s="28" t="e">
        <f ca="1"/>
        <v>#N/A</v>
      </c>
      <c r="P29" s="28" t="e">
        <f ca="1"/>
        <v>#N/A</v>
      </c>
      <c r="Q29" s="36" t="e">
        <f ca="1"/>
        <v>#N/A</v>
      </c>
      <c r="R29" s="36" t="e">
        <f ca="1"/>
        <v>#N/A</v>
      </c>
    </row>
    <row r="30" spans="1:18" x14ac:dyDescent="0.2">
      <c r="A30" s="28">
        <v>29</v>
      </c>
      <c r="B30" s="62">
        <v>45691</v>
      </c>
      <c r="C30" s="63">
        <v>0.42537037037037034</v>
      </c>
      <c r="D30" s="64" t="s">
        <v>80</v>
      </c>
      <c r="E30" s="64" t="s">
        <v>81</v>
      </c>
      <c r="G30" s="64" t="s">
        <v>82</v>
      </c>
      <c r="H30" s="64" t="s">
        <v>83</v>
      </c>
      <c r="I30" s="36" t="str">
        <f ca="1"/>
        <v>29,7</v>
      </c>
      <c r="J30" s="28">
        <v>30</v>
      </c>
      <c r="K30" s="28">
        <v>1</v>
      </c>
      <c r="L30" s="28">
        <v>5</v>
      </c>
      <c r="M30" s="36">
        <f ca="1"/>
        <v>24.7</v>
      </c>
      <c r="N30" s="28" t="e">
        <f ca="1"/>
        <v>#N/A</v>
      </c>
      <c r="O30" s="28" t="e">
        <f ca="1"/>
        <v>#N/A</v>
      </c>
      <c r="P30" s="28" t="e">
        <f ca="1"/>
        <v>#N/A</v>
      </c>
      <c r="Q30" s="36" t="e">
        <f ca="1"/>
        <v>#N/A</v>
      </c>
      <c r="R30" s="36" t="e">
        <f ca="1"/>
        <v>#N/A</v>
      </c>
    </row>
    <row r="31" spans="1:18" x14ac:dyDescent="0.2">
      <c r="A31" s="28">
        <v>30</v>
      </c>
      <c r="B31" s="62">
        <v>45691</v>
      </c>
      <c r="C31" s="63">
        <v>0.4254398148148148</v>
      </c>
      <c r="D31" s="64" t="s">
        <v>80</v>
      </c>
      <c r="E31" s="64" t="s">
        <v>81</v>
      </c>
      <c r="G31" s="64" t="s">
        <v>82</v>
      </c>
      <c r="H31" s="64" t="s">
        <v>83</v>
      </c>
      <c r="I31" s="36" t="str">
        <f ca="1"/>
        <v>29,7</v>
      </c>
      <c r="J31" s="28">
        <v>31</v>
      </c>
      <c r="K31" s="28">
        <v>1</v>
      </c>
      <c r="L31" s="28">
        <v>5</v>
      </c>
      <c r="M31" s="36">
        <f ca="1"/>
        <v>24.7</v>
      </c>
      <c r="N31" s="28">
        <f ca="1"/>
        <v>25</v>
      </c>
      <c r="O31" s="28">
        <f ca="1"/>
        <v>24.625</v>
      </c>
      <c r="P31" s="28">
        <f ca="1"/>
        <v>25.375</v>
      </c>
      <c r="Q31" s="36">
        <f ca="1"/>
        <v>24.690000000000008</v>
      </c>
      <c r="R31" s="36">
        <f ca="1"/>
        <v>24.709999999999997</v>
      </c>
    </row>
    <row r="32" spans="1:18" x14ac:dyDescent="0.2">
      <c r="A32" s="28">
        <v>31</v>
      </c>
      <c r="B32" s="62">
        <v>45691</v>
      </c>
      <c r="C32" s="63">
        <v>0.42549768518518516</v>
      </c>
      <c r="D32" s="64" t="s">
        <v>80</v>
      </c>
      <c r="E32" s="64" t="s">
        <v>81</v>
      </c>
      <c r="G32" s="64" t="s">
        <v>82</v>
      </c>
      <c r="H32" s="64" t="s">
        <v>83</v>
      </c>
      <c r="I32" s="36" t="str">
        <f ca="1"/>
        <v>29,7</v>
      </c>
      <c r="J32" s="28">
        <v>32</v>
      </c>
      <c r="K32" s="28">
        <v>1</v>
      </c>
      <c r="L32" s="28">
        <v>5</v>
      </c>
      <c r="M32" s="36">
        <f ca="1"/>
        <v>24.7</v>
      </c>
      <c r="N32" s="28" t="e">
        <f ca="1"/>
        <v>#N/A</v>
      </c>
      <c r="O32" s="28" t="e">
        <f ca="1"/>
        <v>#N/A</v>
      </c>
      <c r="P32" s="28" t="e">
        <f ca="1"/>
        <v>#N/A</v>
      </c>
      <c r="Q32" s="36" t="e">
        <f ca="1"/>
        <v>#N/A</v>
      </c>
      <c r="R32" s="36" t="e">
        <f ca="1"/>
        <v>#N/A</v>
      </c>
    </row>
    <row r="33" spans="1:18" x14ac:dyDescent="0.2">
      <c r="A33" s="2">
        <v>32</v>
      </c>
      <c r="B33" s="62">
        <v>45691</v>
      </c>
      <c r="C33" s="63">
        <v>0.42537037037037034</v>
      </c>
      <c r="D33" s="64" t="s">
        <v>80</v>
      </c>
      <c r="E33" s="64" t="s">
        <v>81</v>
      </c>
      <c r="G33" s="64" t="s">
        <v>82</v>
      </c>
      <c r="H33" s="64" t="s">
        <v>83</v>
      </c>
      <c r="I33" s="38" t="str">
        <f ca="1"/>
        <v>29,7</v>
      </c>
      <c r="J33" s="2">
        <v>33</v>
      </c>
      <c r="K33" s="2">
        <v>1</v>
      </c>
      <c r="L33" s="2">
        <v>5</v>
      </c>
      <c r="M33" s="38">
        <f ca="1"/>
        <v>24.7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8" t="e">
        <f ca="1"/>
        <v>#N/A</v>
      </c>
      <c r="R33" s="38" t="e">
        <f ca="1"/>
        <v>#N/A</v>
      </c>
    </row>
    <row r="34" spans="1:18" x14ac:dyDescent="0.2">
      <c r="A34" s="2">
        <v>33</v>
      </c>
      <c r="B34" s="62">
        <v>45691</v>
      </c>
      <c r="C34" s="63">
        <v>0.4254398148148148</v>
      </c>
      <c r="D34" s="64" t="s">
        <v>80</v>
      </c>
      <c r="E34" s="64" t="s">
        <v>81</v>
      </c>
      <c r="G34" s="64" t="s">
        <v>82</v>
      </c>
      <c r="H34" s="64" t="s">
        <v>83</v>
      </c>
      <c r="I34" s="38" t="str">
        <f ca="1"/>
        <v>29,7</v>
      </c>
      <c r="J34" s="2">
        <v>34</v>
      </c>
      <c r="K34" s="2">
        <v>1</v>
      </c>
      <c r="L34" s="2">
        <v>5</v>
      </c>
      <c r="M34" s="38">
        <f ca="1"/>
        <v>24.7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8" t="e">
        <f ca="1"/>
        <v>#N/A</v>
      </c>
      <c r="R34" s="38" t="e">
        <f ca="1"/>
        <v>#N/A</v>
      </c>
    </row>
    <row r="35" spans="1:18" x14ac:dyDescent="0.2">
      <c r="A35" s="2">
        <v>34</v>
      </c>
      <c r="B35" s="62">
        <v>45691</v>
      </c>
      <c r="C35" s="63">
        <v>0.42549768518518516</v>
      </c>
      <c r="D35" s="64" t="s">
        <v>80</v>
      </c>
      <c r="E35" s="64" t="s">
        <v>81</v>
      </c>
      <c r="G35" s="64" t="s">
        <v>82</v>
      </c>
      <c r="H35" s="64" t="s">
        <v>83</v>
      </c>
      <c r="I35" s="38" t="str">
        <f ca="1"/>
        <v>29,7</v>
      </c>
      <c r="J35" s="2">
        <v>35</v>
      </c>
      <c r="K35" s="2">
        <v>1</v>
      </c>
      <c r="L35" s="2">
        <v>5</v>
      </c>
      <c r="M35" s="38">
        <f ca="1"/>
        <v>24.7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8" t="e">
        <f ca="1"/>
        <v>#N/A</v>
      </c>
      <c r="R35" s="38" t="e">
        <f ca="1"/>
        <v>#N/A</v>
      </c>
    </row>
    <row r="36" spans="1:18" x14ac:dyDescent="0.2">
      <c r="A36" s="2">
        <v>35</v>
      </c>
      <c r="B36" s="62">
        <v>45691</v>
      </c>
      <c r="C36" s="63">
        <v>0.42549768518518516</v>
      </c>
      <c r="D36" s="64" t="s">
        <v>80</v>
      </c>
      <c r="E36" s="64" t="s">
        <v>81</v>
      </c>
      <c r="G36" s="64" t="s">
        <v>82</v>
      </c>
      <c r="H36" s="64" t="s">
        <v>83</v>
      </c>
      <c r="I36" s="38" t="str">
        <f ca="1"/>
        <v>29,7</v>
      </c>
      <c r="J36" s="2">
        <v>36</v>
      </c>
      <c r="K36" s="2">
        <v>1</v>
      </c>
      <c r="L36" s="2">
        <v>5</v>
      </c>
      <c r="M36" s="38">
        <f ca="1"/>
        <v>24.7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8" t="e">
        <f ca="1"/>
        <v>#N/A</v>
      </c>
      <c r="R36" s="38" t="e">
        <f ca="1"/>
        <v>#N/A</v>
      </c>
    </row>
    <row r="37" spans="1:18" x14ac:dyDescent="0.2">
      <c r="A37" s="2">
        <v>36</v>
      </c>
      <c r="B37" s="62">
        <v>45691</v>
      </c>
      <c r="C37" s="63">
        <v>0.42549768518518516</v>
      </c>
      <c r="D37" s="64" t="s">
        <v>80</v>
      </c>
      <c r="E37" s="64" t="s">
        <v>81</v>
      </c>
      <c r="G37" s="64" t="s">
        <v>95</v>
      </c>
      <c r="H37" s="65" t="s">
        <v>83</v>
      </c>
      <c r="I37" s="38" t="str">
        <f ca="1"/>
        <v>29,8</v>
      </c>
      <c r="J37" s="2">
        <v>37</v>
      </c>
      <c r="K37" s="2">
        <v>1</v>
      </c>
      <c r="L37" s="2">
        <v>5</v>
      </c>
      <c r="M37" s="38">
        <f ca="1"/>
        <v>24.8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8" t="e">
        <f ca="1"/>
        <v>#N/A</v>
      </c>
      <c r="R37" s="38" t="e">
        <f ca="1"/>
        <v>#N/A</v>
      </c>
    </row>
    <row r="38" spans="1:18" x14ac:dyDescent="0.2">
      <c r="A38" s="2">
        <v>37</v>
      </c>
      <c r="B38" s="62">
        <v>45691</v>
      </c>
      <c r="C38" s="63">
        <v>0.4254398148148148</v>
      </c>
      <c r="D38" s="64" t="s">
        <v>80</v>
      </c>
      <c r="E38" s="64" t="s">
        <v>81</v>
      </c>
      <c r="G38" s="64" t="s">
        <v>82</v>
      </c>
      <c r="H38" s="64" t="s">
        <v>83</v>
      </c>
      <c r="I38" s="38" t="str">
        <f ca="1"/>
        <v>29,7</v>
      </c>
      <c r="J38" s="2">
        <v>38</v>
      </c>
      <c r="K38" s="2">
        <v>1</v>
      </c>
      <c r="L38" s="2">
        <v>5</v>
      </c>
      <c r="M38" s="38">
        <f ca="1"/>
        <v>24.7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8" t="e">
        <f ca="1"/>
        <v>#N/A</v>
      </c>
      <c r="R38" s="38" t="e">
        <f ca="1"/>
        <v>#N/A</v>
      </c>
    </row>
    <row r="39" spans="1:18" x14ac:dyDescent="0.2">
      <c r="A39" s="2">
        <v>38</v>
      </c>
      <c r="B39" s="62">
        <v>45691</v>
      </c>
      <c r="C39" s="63">
        <v>0.42549768518518516</v>
      </c>
      <c r="D39" s="64" t="s">
        <v>80</v>
      </c>
      <c r="E39" s="64" t="s">
        <v>81</v>
      </c>
      <c r="G39" s="64" t="s">
        <v>97</v>
      </c>
      <c r="H39" s="64" t="s">
        <v>83</v>
      </c>
      <c r="I39" s="38" t="str">
        <f ca="1"/>
        <v>29,1</v>
      </c>
      <c r="J39" s="2">
        <v>39</v>
      </c>
      <c r="K39" s="2">
        <v>1</v>
      </c>
      <c r="L39" s="2">
        <v>5</v>
      </c>
      <c r="M39" s="38">
        <f ca="1"/>
        <v>24.1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8" t="e">
        <f ca="1"/>
        <v>#N/A</v>
      </c>
      <c r="R39" s="38" t="e">
        <f ca="1"/>
        <v>#N/A</v>
      </c>
    </row>
    <row r="40" spans="1:18" x14ac:dyDescent="0.2">
      <c r="A40" s="2">
        <v>39</v>
      </c>
      <c r="B40" s="62">
        <v>45691</v>
      </c>
      <c r="C40" s="63">
        <v>0.42549768518518516</v>
      </c>
      <c r="D40" s="64" t="s">
        <v>80</v>
      </c>
      <c r="E40" s="64" t="s">
        <v>81</v>
      </c>
      <c r="G40" s="64" t="s">
        <v>82</v>
      </c>
      <c r="H40" s="64" t="s">
        <v>83</v>
      </c>
      <c r="I40" s="38" t="str">
        <f ca="1"/>
        <v>29,7</v>
      </c>
      <c r="J40" s="2">
        <v>40</v>
      </c>
      <c r="K40" s="2">
        <v>1</v>
      </c>
      <c r="L40" s="2">
        <v>5</v>
      </c>
      <c r="M40" s="38">
        <f ca="1"/>
        <v>24.7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8" t="e">
        <f ca="1"/>
        <v>#N/A</v>
      </c>
      <c r="R40" s="38" t="e">
        <f ca="1"/>
        <v>#N/A</v>
      </c>
    </row>
    <row r="41" spans="1:18" x14ac:dyDescent="0.2">
      <c r="A41" s="2">
        <v>40</v>
      </c>
      <c r="B41" s="62">
        <v>45691</v>
      </c>
      <c r="C41" s="63">
        <v>0.42549768518518516</v>
      </c>
      <c r="D41" s="64" t="s">
        <v>80</v>
      </c>
      <c r="E41" s="64" t="s">
        <v>81</v>
      </c>
      <c r="G41" s="64" t="s">
        <v>95</v>
      </c>
      <c r="H41" s="65" t="s">
        <v>83</v>
      </c>
      <c r="I41" s="38" t="str">
        <f ca="1"/>
        <v>29,8</v>
      </c>
      <c r="J41" s="2">
        <v>41</v>
      </c>
      <c r="K41" s="2">
        <v>1</v>
      </c>
      <c r="L41" s="2">
        <v>5</v>
      </c>
      <c r="M41" s="38">
        <f ca="1"/>
        <v>24.8</v>
      </c>
      <c r="N41" s="2">
        <f ca="1"/>
        <v>25</v>
      </c>
      <c r="O41" s="2">
        <f ca="1"/>
        <v>24.625</v>
      </c>
      <c r="P41" s="2">
        <f ca="1"/>
        <v>25.375</v>
      </c>
      <c r="Q41" s="38">
        <f ca="1"/>
        <v>24.682500000000012</v>
      </c>
      <c r="R41" s="38">
        <f ca="1"/>
        <v>24.66</v>
      </c>
    </row>
    <row r="42" spans="1:18" x14ac:dyDescent="0.2">
      <c r="A42" s="2">
        <v>41</v>
      </c>
      <c r="B42" s="62">
        <v>45691</v>
      </c>
      <c r="C42" s="63">
        <v>0.4254398148148148</v>
      </c>
      <c r="D42" s="64" t="s">
        <v>80</v>
      </c>
      <c r="E42" s="64" t="s">
        <v>81</v>
      </c>
      <c r="G42" s="64" t="s">
        <v>82</v>
      </c>
      <c r="H42" s="64" t="s">
        <v>83</v>
      </c>
      <c r="I42" s="38" t="str">
        <f ca="1"/>
        <v>29,7</v>
      </c>
      <c r="J42" s="2">
        <v>42</v>
      </c>
      <c r="K42" s="2">
        <v>1</v>
      </c>
      <c r="L42" s="2">
        <v>5</v>
      </c>
      <c r="M42" s="38">
        <f ca="1"/>
        <v>24.7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8" t="e">
        <f ca="1"/>
        <v>#N/A</v>
      </c>
      <c r="R42" s="38" t="e">
        <f ca="1"/>
        <v>#N/A</v>
      </c>
    </row>
    <row r="43" spans="1:18" x14ac:dyDescent="0.2">
      <c r="A43" s="2">
        <v>42</v>
      </c>
      <c r="B43" s="62">
        <v>45691</v>
      </c>
      <c r="C43" s="63">
        <v>0.42549768518518516</v>
      </c>
      <c r="D43" s="64" t="s">
        <v>80</v>
      </c>
      <c r="E43" s="64" t="s">
        <v>81</v>
      </c>
      <c r="G43" s="64" t="s">
        <v>82</v>
      </c>
      <c r="H43" s="64" t="s">
        <v>83</v>
      </c>
      <c r="I43" s="38" t="str">
        <f ca="1"/>
        <v>29,7</v>
      </c>
      <c r="J43" s="2">
        <v>43</v>
      </c>
      <c r="K43" s="2">
        <v>1</v>
      </c>
      <c r="L43" s="2">
        <v>5</v>
      </c>
      <c r="M43" s="38">
        <f ca="1"/>
        <v>24.7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8" t="e">
        <f ca="1"/>
        <v>#N/A</v>
      </c>
      <c r="R43" s="38" t="e">
        <f ca="1"/>
        <v>#N/A</v>
      </c>
    </row>
    <row r="44" spans="1:18" x14ac:dyDescent="0.2">
      <c r="A44" s="2">
        <v>43</v>
      </c>
      <c r="B44" s="62">
        <v>45691</v>
      </c>
      <c r="C44" s="63">
        <v>0.42549768518518516</v>
      </c>
      <c r="D44" s="64" t="s">
        <v>80</v>
      </c>
      <c r="E44" s="64" t="s">
        <v>81</v>
      </c>
      <c r="G44" s="64" t="s">
        <v>82</v>
      </c>
      <c r="H44" s="64" t="s">
        <v>83</v>
      </c>
      <c r="I44" s="38" t="str">
        <f ca="1"/>
        <v>29,7</v>
      </c>
      <c r="J44" s="2">
        <v>44</v>
      </c>
      <c r="K44" s="2">
        <v>1</v>
      </c>
      <c r="L44" s="2">
        <v>5</v>
      </c>
      <c r="M44" s="38">
        <f ca="1"/>
        <v>24.7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8" t="e">
        <f ca="1"/>
        <v>#N/A</v>
      </c>
      <c r="R44" s="38" t="e">
        <f ca="1"/>
        <v>#N/A</v>
      </c>
    </row>
    <row r="45" spans="1:18" x14ac:dyDescent="0.2">
      <c r="A45" s="2">
        <v>44</v>
      </c>
      <c r="B45" s="62">
        <v>45691</v>
      </c>
      <c r="C45" s="63">
        <v>0.42549768518518516</v>
      </c>
      <c r="D45" s="64" t="s">
        <v>80</v>
      </c>
      <c r="E45" s="64" t="s">
        <v>81</v>
      </c>
      <c r="G45" s="64" t="s">
        <v>95</v>
      </c>
      <c r="H45" s="65" t="s">
        <v>83</v>
      </c>
      <c r="I45" s="38" t="str">
        <f ca="1"/>
        <v>29,8</v>
      </c>
      <c r="J45" s="2">
        <v>45</v>
      </c>
      <c r="K45" s="2">
        <v>1</v>
      </c>
      <c r="L45" s="2">
        <v>5</v>
      </c>
      <c r="M45" s="38">
        <f ca="1"/>
        <v>24.8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8" t="e">
        <f ca="1"/>
        <v>#N/A</v>
      </c>
      <c r="R45" s="38" t="e">
        <f ca="1"/>
        <v>#N/A</v>
      </c>
    </row>
    <row r="46" spans="1:18" x14ac:dyDescent="0.2">
      <c r="A46" s="2">
        <v>45</v>
      </c>
      <c r="B46" s="62">
        <v>45691</v>
      </c>
      <c r="C46" s="63">
        <v>0.42537037037037034</v>
      </c>
      <c r="D46" s="64" t="s">
        <v>80</v>
      </c>
      <c r="E46" s="64" t="s">
        <v>81</v>
      </c>
      <c r="G46" s="64" t="s">
        <v>82</v>
      </c>
      <c r="H46" s="64" t="s">
        <v>83</v>
      </c>
      <c r="I46" s="38" t="str">
        <f ca="1"/>
        <v>29,7</v>
      </c>
      <c r="J46" s="2">
        <v>46</v>
      </c>
      <c r="K46" s="2">
        <v>1</v>
      </c>
      <c r="L46" s="2">
        <v>5</v>
      </c>
      <c r="M46" s="38">
        <f ca="1"/>
        <v>24.7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8" t="e">
        <f ca="1"/>
        <v>#N/A</v>
      </c>
      <c r="R46" s="38" t="e">
        <f ca="1"/>
        <v>#N/A</v>
      </c>
    </row>
    <row r="47" spans="1:18" x14ac:dyDescent="0.2">
      <c r="A47" s="2">
        <v>46</v>
      </c>
      <c r="B47" s="62">
        <v>45691</v>
      </c>
      <c r="C47" s="63">
        <v>0.4254398148148148</v>
      </c>
      <c r="D47" s="64" t="s">
        <v>80</v>
      </c>
      <c r="E47" s="64" t="s">
        <v>81</v>
      </c>
      <c r="G47" s="64" t="s">
        <v>82</v>
      </c>
      <c r="H47" s="64" t="s">
        <v>83</v>
      </c>
      <c r="I47" s="38" t="str">
        <f ca="1"/>
        <v>29,7</v>
      </c>
      <c r="J47" s="2">
        <v>47</v>
      </c>
      <c r="K47" s="2">
        <v>1</v>
      </c>
      <c r="L47" s="2">
        <v>5</v>
      </c>
      <c r="M47" s="38">
        <f ca="1"/>
        <v>24.7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8" t="e">
        <f ca="1"/>
        <v>#N/A</v>
      </c>
      <c r="R47" s="38" t="e">
        <f ca="1"/>
        <v>#N/A</v>
      </c>
    </row>
    <row r="48" spans="1:18" x14ac:dyDescent="0.2">
      <c r="A48" s="2">
        <v>47</v>
      </c>
      <c r="B48" s="62">
        <v>45691</v>
      </c>
      <c r="C48" s="63">
        <v>0.42549768518518516</v>
      </c>
      <c r="D48" s="64" t="s">
        <v>80</v>
      </c>
      <c r="E48" s="64" t="s">
        <v>81</v>
      </c>
      <c r="G48" s="64" t="s">
        <v>82</v>
      </c>
      <c r="H48" s="64" t="s">
        <v>83</v>
      </c>
      <c r="I48" s="38" t="str">
        <f ca="1"/>
        <v>29,7</v>
      </c>
      <c r="J48" s="2">
        <v>48</v>
      </c>
      <c r="K48" s="2">
        <v>1</v>
      </c>
      <c r="L48" s="2">
        <v>5</v>
      </c>
      <c r="M48" s="38">
        <f ca="1"/>
        <v>24.7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8" t="e">
        <f ca="1"/>
        <v>#N/A</v>
      </c>
      <c r="R48" s="38" t="e">
        <f ca="1"/>
        <v>#N/A</v>
      </c>
    </row>
    <row r="49" spans="1:18" x14ac:dyDescent="0.2">
      <c r="A49" s="2">
        <v>48</v>
      </c>
      <c r="B49" s="62">
        <v>45691</v>
      </c>
      <c r="C49" s="63">
        <v>0.42537037037037034</v>
      </c>
      <c r="D49" s="64" t="s">
        <v>80</v>
      </c>
      <c r="E49" s="64" t="s">
        <v>81</v>
      </c>
      <c r="G49" s="64" t="s">
        <v>82</v>
      </c>
      <c r="H49" s="64" t="s">
        <v>83</v>
      </c>
      <c r="I49" s="38" t="str">
        <f ca="1"/>
        <v>29,7</v>
      </c>
      <c r="J49" s="2">
        <v>49</v>
      </c>
      <c r="K49" s="2">
        <v>1</v>
      </c>
      <c r="L49" s="2">
        <v>5</v>
      </c>
      <c r="M49" s="38">
        <f ca="1"/>
        <v>24.7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8" t="e">
        <f ca="1"/>
        <v>#N/A</v>
      </c>
      <c r="R49" s="38" t="e">
        <f ca="1"/>
        <v>#N/A</v>
      </c>
    </row>
    <row r="50" spans="1:18" x14ac:dyDescent="0.2">
      <c r="A50" s="2">
        <v>49</v>
      </c>
      <c r="B50" s="62">
        <v>45691</v>
      </c>
      <c r="C50" s="63">
        <v>0.4254398148148148</v>
      </c>
      <c r="D50" s="64" t="s">
        <v>80</v>
      </c>
      <c r="E50" s="64" t="s">
        <v>81</v>
      </c>
      <c r="G50" s="64" t="s">
        <v>82</v>
      </c>
      <c r="H50" s="64" t="s">
        <v>83</v>
      </c>
      <c r="I50" s="38" t="str">
        <f ca="1"/>
        <v>29,7</v>
      </c>
      <c r="J50" s="2">
        <v>50</v>
      </c>
      <c r="K50" s="2">
        <v>1</v>
      </c>
      <c r="L50" s="2">
        <v>5</v>
      </c>
      <c r="M50" s="38">
        <f ca="1"/>
        <v>24.7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8" t="e">
        <f ca="1"/>
        <v>#N/A</v>
      </c>
      <c r="R50" s="38" t="e">
        <f ca="1"/>
        <v>#N/A</v>
      </c>
    </row>
    <row r="51" spans="1:18" x14ac:dyDescent="0.2">
      <c r="A51" s="2">
        <v>50</v>
      </c>
      <c r="B51" s="62">
        <v>45691</v>
      </c>
      <c r="C51" s="63">
        <v>0.42549768518518516</v>
      </c>
      <c r="D51" s="64" t="s">
        <v>80</v>
      </c>
      <c r="E51" s="64" t="s">
        <v>81</v>
      </c>
      <c r="G51" s="64" t="s">
        <v>82</v>
      </c>
      <c r="H51" s="64" t="s">
        <v>83</v>
      </c>
      <c r="I51" s="38" t="str">
        <f ca="1"/>
        <v>29,7</v>
      </c>
      <c r="J51" s="2">
        <v>51</v>
      </c>
      <c r="K51" s="2">
        <v>1</v>
      </c>
      <c r="L51" s="2">
        <v>5</v>
      </c>
      <c r="M51" s="38">
        <f ca="1"/>
        <v>24.7</v>
      </c>
      <c r="N51" s="2">
        <f ca="1"/>
        <v>25</v>
      </c>
      <c r="O51" s="2">
        <f ca="1"/>
        <v>24.625</v>
      </c>
      <c r="P51" s="2">
        <f ca="1"/>
        <v>25.375</v>
      </c>
      <c r="Q51" s="38">
        <f ca="1"/>
        <v>24.688000000000017</v>
      </c>
      <c r="R51" s="38">
        <f ca="1"/>
        <v>24.709999999999994</v>
      </c>
    </row>
    <row r="52" spans="1:18" x14ac:dyDescent="0.2">
      <c r="A52" s="2">
        <v>51</v>
      </c>
      <c r="B52" s="62">
        <v>45691</v>
      </c>
      <c r="C52" s="63">
        <v>0.42537037037037034</v>
      </c>
      <c r="D52" s="64" t="s">
        <v>80</v>
      </c>
      <c r="E52" s="64" t="s">
        <v>81</v>
      </c>
      <c r="G52" s="64" t="s">
        <v>82</v>
      </c>
      <c r="H52" s="64" t="s">
        <v>83</v>
      </c>
      <c r="I52" s="38" t="str">
        <f ca="1"/>
        <v>29,7</v>
      </c>
      <c r="J52" s="2">
        <v>52</v>
      </c>
      <c r="K52" s="2">
        <v>1</v>
      </c>
      <c r="L52" s="2">
        <v>5</v>
      </c>
      <c r="M52" s="38">
        <f ca="1"/>
        <v>24.7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8" t="e">
        <f ca="1"/>
        <v>#N/A</v>
      </c>
      <c r="R52" s="38" t="e">
        <f ca="1"/>
        <v>#N/A</v>
      </c>
    </row>
    <row r="53" spans="1:18" x14ac:dyDescent="0.2">
      <c r="A53" s="2">
        <v>52</v>
      </c>
      <c r="B53" s="62">
        <v>45691</v>
      </c>
      <c r="C53" s="63">
        <v>0.4254398148148148</v>
      </c>
      <c r="D53" s="64" t="s">
        <v>80</v>
      </c>
      <c r="E53" s="64" t="s">
        <v>81</v>
      </c>
      <c r="G53" s="64" t="s">
        <v>82</v>
      </c>
      <c r="H53" s="64" t="s">
        <v>83</v>
      </c>
      <c r="I53" s="38" t="str">
        <f ca="1"/>
        <v>29,7</v>
      </c>
      <c r="J53" s="2">
        <v>53</v>
      </c>
      <c r="K53" s="2">
        <v>1</v>
      </c>
      <c r="L53" s="2">
        <v>5</v>
      </c>
      <c r="M53" s="38">
        <f ca="1"/>
        <v>24.7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8" t="e">
        <f ca="1"/>
        <v>#N/A</v>
      </c>
      <c r="R53" s="38" t="e">
        <f ca="1"/>
        <v>#N/A</v>
      </c>
    </row>
    <row r="54" spans="1:18" x14ac:dyDescent="0.2">
      <c r="A54" s="2">
        <v>53</v>
      </c>
      <c r="B54" s="62">
        <v>45691</v>
      </c>
      <c r="C54" s="63">
        <v>0.42549768518518516</v>
      </c>
      <c r="D54" s="64" t="s">
        <v>80</v>
      </c>
      <c r="E54" s="64" t="s">
        <v>81</v>
      </c>
      <c r="G54" s="64" t="s">
        <v>82</v>
      </c>
      <c r="H54" s="64" t="s">
        <v>83</v>
      </c>
      <c r="I54" s="38" t="str">
        <f ca="1"/>
        <v>29,7</v>
      </c>
      <c r="J54" s="2">
        <v>54</v>
      </c>
      <c r="K54" s="2">
        <v>1</v>
      </c>
      <c r="L54" s="2">
        <v>5</v>
      </c>
      <c r="M54" s="38">
        <f ca="1"/>
        <v>24.7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8" t="e">
        <f ca="1"/>
        <v>#N/A</v>
      </c>
      <c r="R54" s="38" t="e">
        <f ca="1"/>
        <v>#N/A</v>
      </c>
    </row>
    <row r="55" spans="1:18" x14ac:dyDescent="0.2">
      <c r="A55" s="2">
        <v>54</v>
      </c>
      <c r="B55" s="62">
        <v>45691</v>
      </c>
      <c r="C55" s="63">
        <v>0.42537037037037034</v>
      </c>
      <c r="D55" s="64" t="s">
        <v>80</v>
      </c>
      <c r="E55" s="64" t="s">
        <v>81</v>
      </c>
      <c r="G55" s="64" t="s">
        <v>82</v>
      </c>
      <c r="H55" s="64" t="s">
        <v>83</v>
      </c>
      <c r="I55" s="38" t="str">
        <f ca="1"/>
        <v>29,7</v>
      </c>
      <c r="J55" s="2">
        <v>55</v>
      </c>
      <c r="K55" s="2">
        <v>1</v>
      </c>
      <c r="L55" s="2">
        <v>5</v>
      </c>
      <c r="M55" s="38">
        <f ca="1"/>
        <v>24.7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8" t="e">
        <f ca="1"/>
        <v>#N/A</v>
      </c>
      <c r="R55" s="38" t="e">
        <f ca="1"/>
        <v>#N/A</v>
      </c>
    </row>
    <row r="56" spans="1:18" x14ac:dyDescent="0.2">
      <c r="A56" s="2">
        <v>55</v>
      </c>
      <c r="B56" s="62">
        <v>45691</v>
      </c>
      <c r="C56" s="63">
        <v>0.4254398148148148</v>
      </c>
      <c r="D56" s="64" t="s">
        <v>80</v>
      </c>
      <c r="E56" s="64" t="s">
        <v>81</v>
      </c>
      <c r="G56" s="64" t="s">
        <v>82</v>
      </c>
      <c r="H56" s="64" t="s">
        <v>83</v>
      </c>
      <c r="I56" s="38" t="str">
        <f ca="1"/>
        <v>29,7</v>
      </c>
      <c r="J56" s="2">
        <v>56</v>
      </c>
      <c r="K56" s="2">
        <v>1</v>
      </c>
      <c r="L56" s="2">
        <v>5</v>
      </c>
      <c r="M56" s="38">
        <f ca="1"/>
        <v>24.7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8" t="e">
        <f ca="1"/>
        <v>#N/A</v>
      </c>
      <c r="R56" s="38" t="e">
        <f ca="1"/>
        <v>#N/A</v>
      </c>
    </row>
    <row r="57" spans="1:18" x14ac:dyDescent="0.2">
      <c r="A57" s="2">
        <v>56</v>
      </c>
      <c r="B57" s="62">
        <v>45691</v>
      </c>
      <c r="C57" s="63">
        <v>0.42549768518518516</v>
      </c>
      <c r="D57" s="64" t="s">
        <v>80</v>
      </c>
      <c r="E57" s="64" t="s">
        <v>81</v>
      </c>
      <c r="G57" s="64" t="s">
        <v>82</v>
      </c>
      <c r="H57" s="64" t="s">
        <v>83</v>
      </c>
      <c r="I57" s="38" t="str">
        <f ca="1"/>
        <v>29,7</v>
      </c>
      <c r="J57" s="2">
        <v>57</v>
      </c>
      <c r="K57" s="2">
        <v>1</v>
      </c>
      <c r="L57" s="2">
        <v>5</v>
      </c>
      <c r="M57" s="38">
        <f ca="1"/>
        <v>24.7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8" t="e">
        <f ca="1"/>
        <v>#N/A</v>
      </c>
      <c r="R57" s="38" t="e">
        <f ca="1"/>
        <v>#N/A</v>
      </c>
    </row>
    <row r="58" spans="1:18" x14ac:dyDescent="0.2">
      <c r="A58" s="2">
        <v>57</v>
      </c>
      <c r="B58" s="62">
        <v>45691</v>
      </c>
      <c r="C58" s="63">
        <v>0.42549768518518516</v>
      </c>
      <c r="D58" s="64" t="s">
        <v>80</v>
      </c>
      <c r="E58" s="64" t="s">
        <v>81</v>
      </c>
      <c r="G58" s="64" t="s">
        <v>82</v>
      </c>
      <c r="H58" s="64" t="s">
        <v>83</v>
      </c>
      <c r="I58" s="38" t="str">
        <f ca="1"/>
        <v>29,7</v>
      </c>
      <c r="J58" s="2">
        <v>58</v>
      </c>
      <c r="K58" s="2">
        <v>1</v>
      </c>
      <c r="L58" s="2">
        <v>5</v>
      </c>
      <c r="M58" s="38">
        <f ca="1"/>
        <v>24.7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8" t="e">
        <f ca="1"/>
        <v>#N/A</v>
      </c>
      <c r="R58" s="38" t="e">
        <f ca="1"/>
        <v>#N/A</v>
      </c>
    </row>
    <row r="59" spans="1:18" x14ac:dyDescent="0.2">
      <c r="A59" s="2">
        <v>58</v>
      </c>
      <c r="B59" s="62">
        <v>45691</v>
      </c>
      <c r="C59" s="63">
        <v>0.42549768518518516</v>
      </c>
      <c r="D59" s="64" t="s">
        <v>80</v>
      </c>
      <c r="E59" s="64" t="s">
        <v>81</v>
      </c>
      <c r="G59" s="64" t="s">
        <v>95</v>
      </c>
      <c r="H59" s="65" t="s">
        <v>83</v>
      </c>
      <c r="I59" s="38" t="str">
        <f ca="1"/>
        <v>29,8</v>
      </c>
      <c r="J59" s="2">
        <v>59</v>
      </c>
      <c r="K59" s="2">
        <v>1</v>
      </c>
      <c r="L59" s="2">
        <v>5</v>
      </c>
      <c r="M59" s="38">
        <f ca="1"/>
        <v>24.8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8" t="e">
        <f ca="1"/>
        <v>#N/A</v>
      </c>
      <c r="R59" s="38" t="e">
        <f ca="1"/>
        <v>#N/A</v>
      </c>
    </row>
    <row r="60" spans="1:18" x14ac:dyDescent="0.2">
      <c r="A60" s="2">
        <v>59</v>
      </c>
      <c r="B60" s="62">
        <v>45691</v>
      </c>
      <c r="C60" s="63">
        <v>0.4254398148148148</v>
      </c>
      <c r="D60" s="64" t="s">
        <v>80</v>
      </c>
      <c r="E60" s="64" t="s">
        <v>81</v>
      </c>
      <c r="G60" s="64" t="s">
        <v>82</v>
      </c>
      <c r="H60" s="64" t="s">
        <v>83</v>
      </c>
      <c r="I60" s="38" t="str">
        <f ca="1"/>
        <v>29,7</v>
      </c>
      <c r="J60" s="2">
        <v>60</v>
      </c>
      <c r="K60" s="2">
        <v>1</v>
      </c>
      <c r="L60" s="2">
        <v>5</v>
      </c>
      <c r="M60" s="38">
        <f ca="1"/>
        <v>24.7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8" t="e">
        <f ca="1"/>
        <v>#N/A</v>
      </c>
      <c r="R60" s="38" t="e">
        <f ca="1"/>
        <v>#N/A</v>
      </c>
    </row>
    <row r="61" spans="1:18" x14ac:dyDescent="0.2">
      <c r="A61" s="2">
        <v>60</v>
      </c>
      <c r="B61" s="62">
        <v>45691</v>
      </c>
      <c r="C61" s="63">
        <v>0.42549768518518516</v>
      </c>
      <c r="D61" s="64" t="s">
        <v>80</v>
      </c>
      <c r="E61" s="64" t="s">
        <v>81</v>
      </c>
      <c r="G61" s="64" t="s">
        <v>97</v>
      </c>
      <c r="H61" s="64" t="s">
        <v>83</v>
      </c>
      <c r="I61" s="38" t="str">
        <f ca="1"/>
        <v>29,1</v>
      </c>
      <c r="J61" s="2">
        <v>61</v>
      </c>
      <c r="K61" s="2">
        <v>1</v>
      </c>
      <c r="L61" s="2">
        <v>5</v>
      </c>
      <c r="M61" s="38">
        <f ca="1"/>
        <v>24.1</v>
      </c>
      <c r="N61" s="2">
        <f ca="1"/>
        <v>25</v>
      </c>
      <c r="O61" s="2">
        <f ca="1"/>
        <v>24.625</v>
      </c>
      <c r="P61" s="2">
        <f ca="1"/>
        <v>25.375</v>
      </c>
      <c r="Q61" s="38">
        <f ca="1"/>
        <v>24.681666666666683</v>
      </c>
      <c r="R61" s="38">
        <f ca="1"/>
        <v>24.65</v>
      </c>
    </row>
    <row r="62" spans="1:18" x14ac:dyDescent="0.2">
      <c r="A62" s="2">
        <v>61</v>
      </c>
      <c r="B62" s="62">
        <v>45691</v>
      </c>
      <c r="C62" s="63">
        <v>0.42549768518518516</v>
      </c>
      <c r="D62" s="64" t="s">
        <v>80</v>
      </c>
      <c r="E62" s="64" t="s">
        <v>81</v>
      </c>
      <c r="G62" s="64" t="s">
        <v>82</v>
      </c>
      <c r="H62" s="64" t="s">
        <v>83</v>
      </c>
      <c r="I62" s="38" t="str">
        <f ca="1"/>
        <v>29,7</v>
      </c>
      <c r="J62" s="2">
        <v>62</v>
      </c>
      <c r="K62" s="2">
        <v>1</v>
      </c>
      <c r="L62" s="2">
        <v>5</v>
      </c>
      <c r="M62" s="38">
        <f ca="1"/>
        <v>24.7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8" t="e">
        <f ca="1"/>
        <v>#N/A</v>
      </c>
      <c r="R62" s="38" t="e">
        <f ca="1"/>
        <v>#N/A</v>
      </c>
    </row>
    <row r="63" spans="1:18" x14ac:dyDescent="0.2">
      <c r="A63" s="2">
        <v>62</v>
      </c>
      <c r="B63" s="62">
        <v>45691</v>
      </c>
      <c r="C63" s="63">
        <v>0.42549768518518516</v>
      </c>
      <c r="D63" s="64" t="s">
        <v>80</v>
      </c>
      <c r="E63" s="64" t="s">
        <v>81</v>
      </c>
      <c r="G63" s="64" t="s">
        <v>95</v>
      </c>
      <c r="H63" s="65" t="s">
        <v>83</v>
      </c>
      <c r="I63" s="38" t="str">
        <f ca="1"/>
        <v>29,8</v>
      </c>
      <c r="J63" s="2">
        <v>63</v>
      </c>
      <c r="K63" s="2">
        <v>1</v>
      </c>
      <c r="L63" s="2">
        <v>5</v>
      </c>
      <c r="M63" s="38">
        <f ca="1"/>
        <v>24.8</v>
      </c>
      <c r="N63" s="2" t="e">
        <f ca="1"/>
        <v>#N/A</v>
      </c>
      <c r="O63" s="2" t="e">
        <f ca="1"/>
        <v>#N/A</v>
      </c>
      <c r="P63" s="2" t="e">
        <f ca="1"/>
        <v>#N/A</v>
      </c>
      <c r="Q63" s="38" t="e">
        <f ca="1"/>
        <v>#N/A</v>
      </c>
      <c r="R63" s="38" t="e">
        <f ca="1"/>
        <v>#N/A</v>
      </c>
    </row>
    <row r="64" spans="1:18" x14ac:dyDescent="0.2">
      <c r="A64" s="2">
        <v>63</v>
      </c>
      <c r="B64" s="62">
        <v>45691</v>
      </c>
      <c r="C64" s="63">
        <v>0.4254398148148148</v>
      </c>
      <c r="D64" s="64" t="s">
        <v>80</v>
      </c>
      <c r="E64" s="64" t="s">
        <v>81</v>
      </c>
      <c r="G64" s="64" t="s">
        <v>82</v>
      </c>
      <c r="H64" s="64" t="s">
        <v>83</v>
      </c>
      <c r="I64" s="38" t="str">
        <f ca="1"/>
        <v>29,7</v>
      </c>
      <c r="J64" s="2">
        <v>64</v>
      </c>
      <c r="K64" s="2">
        <v>1</v>
      </c>
      <c r="L64" s="2">
        <v>5</v>
      </c>
      <c r="M64" s="38">
        <f ca="1"/>
        <v>24.7</v>
      </c>
      <c r="N64" s="2" t="e">
        <f ca="1"/>
        <v>#N/A</v>
      </c>
      <c r="O64" s="2" t="e">
        <f ca="1"/>
        <v>#N/A</v>
      </c>
      <c r="P64" s="2" t="e">
        <f ca="1"/>
        <v>#N/A</v>
      </c>
      <c r="Q64" s="38" t="e">
        <f ca="1"/>
        <v>#N/A</v>
      </c>
      <c r="R64" s="38" t="e">
        <f ca="1"/>
        <v>#N/A</v>
      </c>
    </row>
    <row r="65" spans="1:18" x14ac:dyDescent="0.2">
      <c r="A65" s="2">
        <v>64</v>
      </c>
      <c r="B65" s="62">
        <v>45691</v>
      </c>
      <c r="C65" s="63">
        <v>0.42549768518518516</v>
      </c>
      <c r="D65" s="64" t="s">
        <v>80</v>
      </c>
      <c r="E65" s="64" t="s">
        <v>81</v>
      </c>
      <c r="G65" s="64" t="s">
        <v>82</v>
      </c>
      <c r="H65" s="64" t="s">
        <v>83</v>
      </c>
      <c r="I65" s="38" t="str">
        <f ca="1"/>
        <v>29,7</v>
      </c>
      <c r="J65" s="2">
        <v>65</v>
      </c>
      <c r="K65" s="2">
        <v>1</v>
      </c>
      <c r="L65" s="2">
        <v>5</v>
      </c>
      <c r="M65" s="38">
        <f ca="1"/>
        <v>24.7</v>
      </c>
      <c r="N65" s="2" t="e">
        <f ca="1"/>
        <v>#N/A</v>
      </c>
      <c r="O65" s="2" t="e">
        <f ca="1"/>
        <v>#N/A</v>
      </c>
      <c r="P65" s="2" t="e">
        <f ca="1"/>
        <v>#N/A</v>
      </c>
      <c r="Q65" s="38" t="e">
        <f ca="1"/>
        <v>#N/A</v>
      </c>
      <c r="R65" s="38" t="e">
        <f ca="1"/>
        <v>#N/A</v>
      </c>
    </row>
    <row r="66" spans="1:18" x14ac:dyDescent="0.2">
      <c r="A66" s="2">
        <v>65</v>
      </c>
      <c r="B66" s="62">
        <v>45691</v>
      </c>
      <c r="C66" s="63">
        <v>0.42549768518518516</v>
      </c>
      <c r="D66" s="64" t="s">
        <v>80</v>
      </c>
      <c r="E66" s="64" t="s">
        <v>81</v>
      </c>
      <c r="G66" s="64" t="s">
        <v>82</v>
      </c>
      <c r="H66" s="64" t="s">
        <v>83</v>
      </c>
      <c r="I66" s="38" t="str">
        <f ca="1"/>
        <v>29,7</v>
      </c>
      <c r="J66" s="2">
        <v>66</v>
      </c>
      <c r="K66" s="2">
        <v>1</v>
      </c>
      <c r="L66" s="2">
        <v>5</v>
      </c>
      <c r="M66" s="38">
        <f ca="1"/>
        <v>24.7</v>
      </c>
      <c r="N66" s="2" t="e">
        <f ca="1"/>
        <v>#N/A</v>
      </c>
      <c r="O66" s="2" t="e">
        <f ca="1"/>
        <v>#N/A</v>
      </c>
      <c r="P66" s="2" t="e">
        <f ca="1"/>
        <v>#N/A</v>
      </c>
      <c r="Q66" s="38" t="e">
        <f ca="1"/>
        <v>#N/A</v>
      </c>
      <c r="R66" s="38" t="e">
        <f ca="1"/>
        <v>#N/A</v>
      </c>
    </row>
    <row r="67" spans="1:18" x14ac:dyDescent="0.2">
      <c r="A67" s="2">
        <v>66</v>
      </c>
      <c r="B67" s="62">
        <v>45691</v>
      </c>
      <c r="C67" s="63">
        <v>0.42549768518518516</v>
      </c>
      <c r="D67" s="64" t="s">
        <v>80</v>
      </c>
      <c r="E67" s="64" t="s">
        <v>81</v>
      </c>
      <c r="G67" s="64" t="s">
        <v>95</v>
      </c>
      <c r="H67" s="65" t="s">
        <v>83</v>
      </c>
      <c r="I67" s="38" t="str">
        <f ca="1"/>
        <v>29,8</v>
      </c>
      <c r="J67" s="2">
        <v>67</v>
      </c>
      <c r="K67" s="2">
        <v>1</v>
      </c>
      <c r="L67" s="2">
        <v>5</v>
      </c>
      <c r="M67" s="38">
        <f ca="1"/>
        <v>24.8</v>
      </c>
      <c r="N67" s="2" t="e">
        <f ca="1"/>
        <v>#N/A</v>
      </c>
      <c r="O67" s="2" t="e">
        <f ca="1"/>
        <v>#N/A</v>
      </c>
      <c r="P67" s="2" t="e">
        <f ca="1"/>
        <v>#N/A</v>
      </c>
      <c r="Q67" s="38" t="e">
        <f ca="1"/>
        <v>#N/A</v>
      </c>
      <c r="R67" s="38" t="e">
        <f ca="1"/>
        <v>#N/A</v>
      </c>
    </row>
    <row r="68" spans="1:18" x14ac:dyDescent="0.2">
      <c r="A68" s="2">
        <v>67</v>
      </c>
      <c r="B68" s="62">
        <v>45691</v>
      </c>
      <c r="C68" s="63">
        <v>0.42537037037037034</v>
      </c>
      <c r="D68" s="64" t="s">
        <v>80</v>
      </c>
      <c r="E68" s="64" t="s">
        <v>81</v>
      </c>
      <c r="G68" s="64" t="s">
        <v>82</v>
      </c>
      <c r="H68" s="64" t="s">
        <v>83</v>
      </c>
      <c r="I68" s="38" t="str">
        <f ca="1"/>
        <v>29,7</v>
      </c>
      <c r="J68" s="2">
        <v>68</v>
      </c>
      <c r="K68" s="2">
        <v>1</v>
      </c>
      <c r="L68" s="2">
        <v>5</v>
      </c>
      <c r="M68" s="38">
        <f ca="1"/>
        <v>24.7</v>
      </c>
      <c r="N68" s="2" t="e">
        <f ca="1"/>
        <v>#N/A</v>
      </c>
      <c r="O68" s="2" t="e">
        <f ca="1"/>
        <v>#N/A</v>
      </c>
      <c r="P68" s="2" t="e">
        <f ca="1"/>
        <v>#N/A</v>
      </c>
      <c r="Q68" s="38" t="e">
        <f ca="1"/>
        <v>#N/A</v>
      </c>
      <c r="R68" s="38" t="e">
        <f ca="1"/>
        <v>#N/A</v>
      </c>
    </row>
    <row r="69" spans="1:18" x14ac:dyDescent="0.2">
      <c r="A69" s="2">
        <v>68</v>
      </c>
      <c r="B69" s="62">
        <v>45691</v>
      </c>
      <c r="C69" s="63">
        <v>0.4254398148148148</v>
      </c>
      <c r="D69" s="64" t="s">
        <v>80</v>
      </c>
      <c r="E69" s="64" t="s">
        <v>81</v>
      </c>
      <c r="G69" s="64" t="s">
        <v>82</v>
      </c>
      <c r="H69" s="64" t="s">
        <v>83</v>
      </c>
      <c r="I69" s="38" t="str">
        <f ca="1"/>
        <v>29,7</v>
      </c>
      <c r="J69" s="2">
        <v>69</v>
      </c>
      <c r="K69" s="2">
        <v>1</v>
      </c>
      <c r="L69" s="2">
        <v>5</v>
      </c>
      <c r="M69" s="38">
        <f ca="1"/>
        <v>24.7</v>
      </c>
      <c r="N69" s="2" t="e">
        <f ca="1"/>
        <v>#N/A</v>
      </c>
      <c r="O69" s="2" t="e">
        <f ca="1"/>
        <v>#N/A</v>
      </c>
      <c r="P69" s="2" t="e">
        <f ca="1"/>
        <v>#N/A</v>
      </c>
      <c r="Q69" s="38" t="e">
        <f ca="1"/>
        <v>#N/A</v>
      </c>
      <c r="R69" s="38" t="e">
        <f ca="1"/>
        <v>#N/A</v>
      </c>
    </row>
    <row r="70" spans="1:18" x14ac:dyDescent="0.2">
      <c r="A70" s="2">
        <v>69</v>
      </c>
      <c r="B70" s="62">
        <v>45691</v>
      </c>
      <c r="C70" s="63">
        <v>0.42549768518518516</v>
      </c>
      <c r="D70" s="64" t="s">
        <v>80</v>
      </c>
      <c r="E70" s="64" t="s">
        <v>81</v>
      </c>
      <c r="G70" s="64" t="s">
        <v>82</v>
      </c>
      <c r="H70" s="64" t="s">
        <v>83</v>
      </c>
      <c r="I70" s="38" t="str">
        <f ca="1"/>
        <v>29,7</v>
      </c>
      <c r="J70" s="2">
        <v>70</v>
      </c>
      <c r="K70" s="2">
        <v>1</v>
      </c>
      <c r="L70" s="2">
        <v>5</v>
      </c>
      <c r="M70" s="38">
        <f ca="1"/>
        <v>24.7</v>
      </c>
      <c r="N70" s="2" t="e">
        <f ca="1"/>
        <v>#N/A</v>
      </c>
      <c r="O70" s="2" t="e">
        <f ca="1"/>
        <v>#N/A</v>
      </c>
      <c r="P70" s="2" t="e">
        <f ca="1"/>
        <v>#N/A</v>
      </c>
      <c r="Q70" s="38" t="e">
        <f ca="1"/>
        <v>#N/A</v>
      </c>
      <c r="R70" s="38" t="e">
        <f ca="1"/>
        <v>#N/A</v>
      </c>
    </row>
    <row r="71" spans="1:18" x14ac:dyDescent="0.2">
      <c r="A71" s="2">
        <v>70</v>
      </c>
      <c r="B71" s="62">
        <v>45691</v>
      </c>
      <c r="C71" s="63">
        <v>0.42537037037037034</v>
      </c>
      <c r="D71" s="64" t="s">
        <v>80</v>
      </c>
      <c r="E71" s="64" t="s">
        <v>81</v>
      </c>
      <c r="G71" s="64" t="s">
        <v>82</v>
      </c>
      <c r="H71" s="64" t="s">
        <v>83</v>
      </c>
      <c r="I71" s="38" t="str">
        <f ca="1"/>
        <v>29,7</v>
      </c>
      <c r="J71" s="2">
        <v>71</v>
      </c>
      <c r="K71" s="2">
        <v>1</v>
      </c>
      <c r="L71" s="2">
        <v>5</v>
      </c>
      <c r="M71" s="38">
        <f ca="1"/>
        <v>24.7</v>
      </c>
      <c r="N71" s="2">
        <f ca="1"/>
        <v>25</v>
      </c>
      <c r="O71" s="2">
        <f ca="1"/>
        <v>24.625</v>
      </c>
      <c r="P71" s="2">
        <f ca="1"/>
        <v>25.375</v>
      </c>
      <c r="Q71" s="38">
        <f ca="1"/>
        <v>24.687142857142874</v>
      </c>
      <c r="R71" s="38">
        <f ca="1"/>
        <v>24.719999999999995</v>
      </c>
    </row>
    <row r="72" spans="1:18" x14ac:dyDescent="0.2">
      <c r="A72" s="2">
        <v>71</v>
      </c>
      <c r="B72" s="62">
        <v>45691</v>
      </c>
      <c r="C72" s="63">
        <v>0.4254398148148148</v>
      </c>
      <c r="D72" s="64" t="s">
        <v>80</v>
      </c>
      <c r="E72" s="64" t="s">
        <v>81</v>
      </c>
      <c r="G72" s="64" t="s">
        <v>82</v>
      </c>
      <c r="H72" s="64" t="s">
        <v>83</v>
      </c>
      <c r="I72" s="38" t="str">
        <f ca="1"/>
        <v>29,7</v>
      </c>
      <c r="J72" s="2">
        <v>72</v>
      </c>
      <c r="K72" s="2">
        <v>1</v>
      </c>
      <c r="L72" s="2">
        <v>5</v>
      </c>
      <c r="M72" s="38">
        <f ca="1"/>
        <v>24.7</v>
      </c>
      <c r="N72" s="2" t="e">
        <f ca="1"/>
        <v>#N/A</v>
      </c>
      <c r="O72" s="2" t="e">
        <f ca="1"/>
        <v>#N/A</v>
      </c>
      <c r="P72" s="2" t="e">
        <f ca="1"/>
        <v>#N/A</v>
      </c>
      <c r="Q72" s="38" t="e">
        <f ca="1"/>
        <v>#N/A</v>
      </c>
      <c r="R72" s="38" t="e">
        <f ca="1"/>
        <v>#N/A</v>
      </c>
    </row>
    <row r="73" spans="1:18" x14ac:dyDescent="0.2">
      <c r="A73" s="2">
        <v>72</v>
      </c>
      <c r="B73" s="62">
        <v>45691</v>
      </c>
      <c r="C73" s="63">
        <v>0.42549768518518516</v>
      </c>
      <c r="D73" s="64" t="s">
        <v>80</v>
      </c>
      <c r="E73" s="64" t="s">
        <v>81</v>
      </c>
      <c r="G73" s="64" t="s">
        <v>82</v>
      </c>
      <c r="H73" s="64" t="s">
        <v>83</v>
      </c>
      <c r="I73" s="38" t="str">
        <f ca="1"/>
        <v>29,7</v>
      </c>
      <c r="J73" s="2">
        <v>73</v>
      </c>
      <c r="K73" s="2">
        <v>1</v>
      </c>
      <c r="L73" s="2">
        <v>5</v>
      </c>
      <c r="M73" s="38">
        <f ca="1"/>
        <v>24.7</v>
      </c>
      <c r="N73" s="2" t="e">
        <f ca="1"/>
        <v>#N/A</v>
      </c>
      <c r="O73" s="2" t="e">
        <f ca="1"/>
        <v>#N/A</v>
      </c>
      <c r="P73" s="2" t="e">
        <f ca="1"/>
        <v>#N/A</v>
      </c>
      <c r="Q73" s="38" t="e">
        <f ca="1"/>
        <v>#N/A</v>
      </c>
      <c r="R73" s="38" t="e">
        <f ca="1"/>
        <v>#N/A</v>
      </c>
    </row>
    <row r="74" spans="1:18" x14ac:dyDescent="0.2">
      <c r="A74" s="2">
        <v>73</v>
      </c>
      <c r="B74" s="62">
        <v>45691</v>
      </c>
      <c r="C74" s="63">
        <v>0.42537037037037034</v>
      </c>
      <c r="D74" s="64" t="s">
        <v>80</v>
      </c>
      <c r="E74" s="64" t="s">
        <v>81</v>
      </c>
      <c r="G74" s="64" t="s">
        <v>82</v>
      </c>
      <c r="H74" s="64" t="s">
        <v>83</v>
      </c>
      <c r="I74" s="38" t="str">
        <f ca="1"/>
        <v>29,7</v>
      </c>
      <c r="J74" s="2">
        <v>74</v>
      </c>
      <c r="K74" s="2">
        <v>1</v>
      </c>
      <c r="L74" s="2">
        <v>5</v>
      </c>
      <c r="M74" s="38">
        <f ca="1"/>
        <v>24.7</v>
      </c>
      <c r="N74" s="2" t="e">
        <f ca="1"/>
        <v>#N/A</v>
      </c>
      <c r="O74" s="2" t="e">
        <f ca="1"/>
        <v>#N/A</v>
      </c>
      <c r="P74" s="2" t="e">
        <f ca="1"/>
        <v>#N/A</v>
      </c>
      <c r="Q74" s="38" t="e">
        <f ca="1"/>
        <v>#N/A</v>
      </c>
      <c r="R74" s="38" t="e">
        <f ca="1"/>
        <v>#N/A</v>
      </c>
    </row>
    <row r="75" spans="1:18" x14ac:dyDescent="0.2">
      <c r="A75" s="2">
        <v>74</v>
      </c>
      <c r="B75" s="62">
        <v>45691</v>
      </c>
      <c r="C75" s="63">
        <v>0.4254398148148148</v>
      </c>
      <c r="D75" s="64" t="s">
        <v>80</v>
      </c>
      <c r="E75" s="64" t="s">
        <v>81</v>
      </c>
      <c r="G75" s="64" t="s">
        <v>82</v>
      </c>
      <c r="H75" s="64" t="s">
        <v>83</v>
      </c>
      <c r="I75" s="38" t="str">
        <f ca="1"/>
        <v>29,7</v>
      </c>
      <c r="J75" s="2">
        <v>75</v>
      </c>
      <c r="K75" s="2">
        <v>1</v>
      </c>
      <c r="L75" s="2">
        <v>5</v>
      </c>
      <c r="M75" s="38">
        <f ca="1"/>
        <v>24.7</v>
      </c>
      <c r="N75" s="2" t="e">
        <f ca="1"/>
        <v>#N/A</v>
      </c>
      <c r="O75" s="2" t="e">
        <f ca="1"/>
        <v>#N/A</v>
      </c>
      <c r="P75" s="2" t="e">
        <f ca="1"/>
        <v>#N/A</v>
      </c>
      <c r="Q75" s="38" t="e">
        <f ca="1"/>
        <v>#N/A</v>
      </c>
      <c r="R75" s="38" t="e">
        <f ca="1"/>
        <v>#N/A</v>
      </c>
    </row>
    <row r="76" spans="1:18" x14ac:dyDescent="0.2">
      <c r="A76" s="2">
        <v>75</v>
      </c>
      <c r="B76" s="62">
        <v>45691</v>
      </c>
      <c r="C76" s="63">
        <v>0.42549768518518516</v>
      </c>
      <c r="D76" s="64" t="s">
        <v>80</v>
      </c>
      <c r="E76" s="64" t="s">
        <v>81</v>
      </c>
      <c r="G76" s="64" t="s">
        <v>82</v>
      </c>
      <c r="H76" s="64" t="s">
        <v>83</v>
      </c>
      <c r="I76" s="38" t="str">
        <f ca="1"/>
        <v>29,7</v>
      </c>
      <c r="J76" s="2">
        <v>76</v>
      </c>
      <c r="K76" s="2">
        <v>1</v>
      </c>
      <c r="L76" s="2">
        <v>5</v>
      </c>
      <c r="M76" s="38">
        <f ca="1"/>
        <v>24.7</v>
      </c>
      <c r="N76" s="2" t="e">
        <f ca="1"/>
        <v>#N/A</v>
      </c>
      <c r="O76" s="2" t="e">
        <f ca="1"/>
        <v>#N/A</v>
      </c>
      <c r="P76" s="2" t="e">
        <f ca="1"/>
        <v>#N/A</v>
      </c>
      <c r="Q76" s="38" t="e">
        <f ca="1"/>
        <v>#N/A</v>
      </c>
      <c r="R76" s="38" t="e">
        <f ca="1"/>
        <v>#N/A</v>
      </c>
    </row>
    <row r="77" spans="1:18" x14ac:dyDescent="0.2">
      <c r="A77" s="2">
        <v>76</v>
      </c>
      <c r="B77" s="62">
        <v>45691</v>
      </c>
      <c r="C77" s="63">
        <v>0.42537037037037034</v>
      </c>
      <c r="D77" s="64" t="s">
        <v>80</v>
      </c>
      <c r="E77" s="64" t="s">
        <v>81</v>
      </c>
      <c r="G77" s="64" t="s">
        <v>82</v>
      </c>
      <c r="H77" s="64" t="s">
        <v>83</v>
      </c>
      <c r="I77" s="38" t="str">
        <f ca="1"/>
        <v>29,7</v>
      </c>
      <c r="J77" s="2">
        <v>77</v>
      </c>
      <c r="K77" s="2">
        <v>1</v>
      </c>
      <c r="L77" s="2">
        <v>5</v>
      </c>
      <c r="M77" s="38">
        <f ca="1"/>
        <v>24.7</v>
      </c>
      <c r="N77" s="2" t="e">
        <f ca="1"/>
        <v>#N/A</v>
      </c>
      <c r="O77" s="2" t="e">
        <f ca="1"/>
        <v>#N/A</v>
      </c>
      <c r="P77" s="2" t="e">
        <f ca="1"/>
        <v>#N/A</v>
      </c>
      <c r="Q77" s="38" t="e">
        <f ca="1"/>
        <v>#N/A</v>
      </c>
      <c r="R77" s="38" t="e">
        <f ca="1"/>
        <v>#N/A</v>
      </c>
    </row>
    <row r="78" spans="1:18" x14ac:dyDescent="0.2">
      <c r="A78" s="2">
        <v>77</v>
      </c>
      <c r="B78" s="62">
        <v>45691</v>
      </c>
      <c r="C78" s="63">
        <v>0.4254398148148148</v>
      </c>
      <c r="D78" s="64" t="s">
        <v>80</v>
      </c>
      <c r="E78" s="64" t="s">
        <v>81</v>
      </c>
      <c r="G78" s="64" t="s">
        <v>82</v>
      </c>
      <c r="H78" s="64" t="s">
        <v>83</v>
      </c>
      <c r="I78" s="38" t="str">
        <f ca="1"/>
        <v>29,7</v>
      </c>
      <c r="J78" s="2">
        <v>78</v>
      </c>
      <c r="K78" s="2">
        <v>1</v>
      </c>
      <c r="L78" s="2">
        <v>5</v>
      </c>
      <c r="M78" s="38">
        <f ca="1"/>
        <v>24.7</v>
      </c>
      <c r="N78" s="2" t="e">
        <f ca="1"/>
        <v>#N/A</v>
      </c>
      <c r="O78" s="2" t="e">
        <f ca="1"/>
        <v>#N/A</v>
      </c>
      <c r="P78" s="2" t="e">
        <f ca="1"/>
        <v>#N/A</v>
      </c>
      <c r="Q78" s="38" t="e">
        <f ca="1"/>
        <v>#N/A</v>
      </c>
      <c r="R78" s="38" t="e">
        <f ca="1"/>
        <v>#N/A</v>
      </c>
    </row>
    <row r="79" spans="1:18" x14ac:dyDescent="0.2">
      <c r="A79" s="2">
        <v>78</v>
      </c>
      <c r="B79" s="62">
        <v>45691</v>
      </c>
      <c r="C79" s="63">
        <v>0.42549768518518516</v>
      </c>
      <c r="D79" s="64" t="s">
        <v>80</v>
      </c>
      <c r="E79" s="64" t="s">
        <v>81</v>
      </c>
      <c r="G79" s="64" t="s">
        <v>82</v>
      </c>
      <c r="H79" s="64" t="s">
        <v>83</v>
      </c>
      <c r="I79" s="38" t="str">
        <f ca="1"/>
        <v>29,7</v>
      </c>
      <c r="J79" s="2">
        <v>79</v>
      </c>
      <c r="K79" s="2">
        <v>1</v>
      </c>
      <c r="L79" s="2">
        <v>5</v>
      </c>
      <c r="M79" s="38">
        <f ca="1"/>
        <v>24.7</v>
      </c>
      <c r="N79" s="2" t="e">
        <f ca="1"/>
        <v>#N/A</v>
      </c>
      <c r="O79" s="2" t="e">
        <f ca="1"/>
        <v>#N/A</v>
      </c>
      <c r="P79" s="2" t="e">
        <f ca="1"/>
        <v>#N/A</v>
      </c>
      <c r="Q79" s="38" t="e">
        <f ca="1"/>
        <v>#N/A</v>
      </c>
      <c r="R79" s="38" t="e">
        <f ca="1"/>
        <v>#N/A</v>
      </c>
    </row>
    <row r="80" spans="1:18" x14ac:dyDescent="0.2">
      <c r="A80" s="2">
        <v>79</v>
      </c>
      <c r="B80" s="62">
        <v>45691</v>
      </c>
      <c r="C80" s="63">
        <v>0.42549768518518516</v>
      </c>
      <c r="D80" s="64" t="s">
        <v>80</v>
      </c>
      <c r="E80" s="64" t="s">
        <v>81</v>
      </c>
      <c r="G80" s="64" t="s">
        <v>82</v>
      </c>
      <c r="H80" s="64" t="s">
        <v>83</v>
      </c>
      <c r="I80" s="38" t="str">
        <f ca="1"/>
        <v>29,7</v>
      </c>
      <c r="J80" s="2">
        <v>80</v>
      </c>
      <c r="K80" s="2">
        <v>1</v>
      </c>
      <c r="L80" s="2">
        <v>5</v>
      </c>
      <c r="M80" s="38">
        <f ca="1"/>
        <v>24.7</v>
      </c>
      <c r="N80" s="2" t="e">
        <f ca="1"/>
        <v>#N/A</v>
      </c>
      <c r="O80" s="2" t="e">
        <f ca="1"/>
        <v>#N/A</v>
      </c>
      <c r="P80" s="2" t="e">
        <f ca="1"/>
        <v>#N/A</v>
      </c>
      <c r="Q80" s="38" t="e">
        <f ca="1"/>
        <v>#N/A</v>
      </c>
      <c r="R80" s="38" t="e">
        <f ca="1"/>
        <v>#N/A</v>
      </c>
    </row>
    <row r="81" spans="1:18" x14ac:dyDescent="0.2">
      <c r="A81" s="2">
        <v>80</v>
      </c>
      <c r="B81" s="62">
        <v>45691</v>
      </c>
      <c r="C81" s="63">
        <v>0.42549768518518516</v>
      </c>
      <c r="D81" s="64" t="s">
        <v>80</v>
      </c>
      <c r="E81" s="64" t="s">
        <v>81</v>
      </c>
      <c r="G81" s="64" t="s">
        <v>95</v>
      </c>
      <c r="H81" s="65" t="s">
        <v>83</v>
      </c>
      <c r="I81" s="38" t="str">
        <f ca="1"/>
        <v>29,8</v>
      </c>
      <c r="J81" s="2">
        <v>81</v>
      </c>
      <c r="K81" s="2">
        <v>1</v>
      </c>
      <c r="L81" s="2">
        <v>5</v>
      </c>
      <c r="M81" s="38">
        <f ca="1"/>
        <v>24.8</v>
      </c>
      <c r="N81" s="2">
        <f ca="1"/>
        <v>25</v>
      </c>
      <c r="O81" s="2">
        <f ca="1"/>
        <v>24.625</v>
      </c>
      <c r="P81" s="2">
        <f ca="1"/>
        <v>25.375</v>
      </c>
      <c r="Q81" s="38">
        <f ca="1"/>
        <v>24.690000000000019</v>
      </c>
      <c r="R81" s="38">
        <f ca="1"/>
        <v>24.709999999999997</v>
      </c>
    </row>
    <row r="82" spans="1:18" x14ac:dyDescent="0.2">
      <c r="A82" s="2">
        <v>81</v>
      </c>
      <c r="B82" s="62">
        <v>45691</v>
      </c>
      <c r="C82" s="63">
        <v>0.4254398148148148</v>
      </c>
      <c r="D82" s="64" t="s">
        <v>80</v>
      </c>
      <c r="E82" s="64" t="s">
        <v>81</v>
      </c>
      <c r="G82" s="64" t="s">
        <v>82</v>
      </c>
      <c r="H82" s="64" t="s">
        <v>83</v>
      </c>
      <c r="I82" s="38" t="str">
        <f ca="1"/>
        <v>29,7</v>
      </c>
      <c r="J82" s="2">
        <v>82</v>
      </c>
      <c r="K82" s="2">
        <v>1</v>
      </c>
      <c r="L82" s="2">
        <v>5</v>
      </c>
      <c r="M82" s="38">
        <f ca="1"/>
        <v>24.7</v>
      </c>
      <c r="N82" s="2" t="e">
        <f ca="1"/>
        <v>#N/A</v>
      </c>
      <c r="O82" s="2" t="e">
        <f ca="1"/>
        <v>#N/A</v>
      </c>
      <c r="P82" s="2" t="e">
        <f ca="1"/>
        <v>#N/A</v>
      </c>
      <c r="Q82" s="38" t="e">
        <f ca="1"/>
        <v>#N/A</v>
      </c>
      <c r="R82" s="38" t="e">
        <f ca="1"/>
        <v>#N/A</v>
      </c>
    </row>
    <row r="83" spans="1:18" x14ac:dyDescent="0.2">
      <c r="A83" s="2">
        <v>82</v>
      </c>
      <c r="B83" s="62">
        <v>45691</v>
      </c>
      <c r="C83" s="63">
        <v>0.42549768518518516</v>
      </c>
      <c r="D83" s="64" t="s">
        <v>80</v>
      </c>
      <c r="E83" s="64" t="s">
        <v>81</v>
      </c>
      <c r="G83" s="64" t="s">
        <v>97</v>
      </c>
      <c r="H83" s="64" t="s">
        <v>83</v>
      </c>
      <c r="I83" s="38" t="str">
        <f ca="1"/>
        <v>29,1</v>
      </c>
      <c r="J83" s="2">
        <v>83</v>
      </c>
      <c r="K83" s="2">
        <v>1</v>
      </c>
      <c r="L83" s="2">
        <v>5</v>
      </c>
      <c r="M83" s="38">
        <f ca="1"/>
        <v>24.1</v>
      </c>
      <c r="N83" s="2" t="e">
        <f ca="1"/>
        <v>#N/A</v>
      </c>
      <c r="O83" s="2" t="e">
        <f ca="1"/>
        <v>#N/A</v>
      </c>
      <c r="P83" s="2" t="e">
        <f ca="1"/>
        <v>#N/A</v>
      </c>
      <c r="Q83" s="38" t="e">
        <f ca="1"/>
        <v>#N/A</v>
      </c>
      <c r="R83" s="38" t="e">
        <f ca="1"/>
        <v>#N/A</v>
      </c>
    </row>
    <row r="84" spans="1:18" x14ac:dyDescent="0.2">
      <c r="A84" s="2">
        <v>83</v>
      </c>
      <c r="B84" s="62">
        <v>45691</v>
      </c>
      <c r="C84" s="63">
        <v>0.42549768518518516</v>
      </c>
      <c r="D84" s="64" t="s">
        <v>80</v>
      </c>
      <c r="E84" s="64" t="s">
        <v>81</v>
      </c>
      <c r="G84" s="64" t="s">
        <v>82</v>
      </c>
      <c r="H84" s="64" t="s">
        <v>83</v>
      </c>
      <c r="I84" s="38" t="str">
        <f ca="1"/>
        <v>29,7</v>
      </c>
      <c r="J84" s="2">
        <v>84</v>
      </c>
      <c r="K84" s="2">
        <v>1</v>
      </c>
      <c r="L84" s="2">
        <v>5</v>
      </c>
      <c r="M84" s="38">
        <f ca="1"/>
        <v>24.7</v>
      </c>
      <c r="N84" s="2" t="e">
        <f ca="1"/>
        <v>#N/A</v>
      </c>
      <c r="O84" s="2" t="e">
        <f ca="1"/>
        <v>#N/A</v>
      </c>
      <c r="P84" s="2" t="e">
        <f ca="1"/>
        <v>#N/A</v>
      </c>
      <c r="Q84" s="38" t="e">
        <f ca="1"/>
        <v>#N/A</v>
      </c>
      <c r="R84" s="38" t="e">
        <f ca="1"/>
        <v>#N/A</v>
      </c>
    </row>
    <row r="85" spans="1:18" x14ac:dyDescent="0.2">
      <c r="A85" s="2">
        <v>84</v>
      </c>
      <c r="B85" s="62">
        <v>45691</v>
      </c>
      <c r="C85" s="63">
        <v>0.42549768518518516</v>
      </c>
      <c r="D85" s="64" t="s">
        <v>80</v>
      </c>
      <c r="E85" s="64" t="s">
        <v>81</v>
      </c>
      <c r="G85" s="64" t="s">
        <v>95</v>
      </c>
      <c r="H85" s="65" t="s">
        <v>83</v>
      </c>
      <c r="I85" s="38" t="str">
        <f ca="1"/>
        <v>29,8</v>
      </c>
      <c r="J85" s="2">
        <v>85</v>
      </c>
      <c r="K85" s="2">
        <v>1</v>
      </c>
      <c r="L85" s="2">
        <v>5</v>
      </c>
      <c r="M85" s="38">
        <f ca="1"/>
        <v>24.8</v>
      </c>
      <c r="N85" s="2" t="e">
        <f ca="1"/>
        <v>#N/A</v>
      </c>
      <c r="O85" s="2" t="e">
        <f ca="1"/>
        <v>#N/A</v>
      </c>
      <c r="P85" s="2" t="e">
        <f ca="1"/>
        <v>#N/A</v>
      </c>
      <c r="Q85" s="38" t="e">
        <f ca="1"/>
        <v>#N/A</v>
      </c>
      <c r="R85" s="38" t="e">
        <f ca="1"/>
        <v>#N/A</v>
      </c>
    </row>
    <row r="86" spans="1:18" x14ac:dyDescent="0.2">
      <c r="A86" s="2">
        <v>85</v>
      </c>
      <c r="B86" s="62">
        <v>45691</v>
      </c>
      <c r="C86" s="63">
        <v>0.4254398148148148</v>
      </c>
      <c r="D86" s="64" t="s">
        <v>80</v>
      </c>
      <c r="E86" s="64" t="s">
        <v>81</v>
      </c>
      <c r="G86" s="64" t="s">
        <v>82</v>
      </c>
      <c r="H86" s="64" t="s">
        <v>83</v>
      </c>
      <c r="I86" s="38" t="str">
        <f ca="1"/>
        <v>29,7</v>
      </c>
      <c r="J86" s="2">
        <v>86</v>
      </c>
      <c r="K86" s="2">
        <v>1</v>
      </c>
      <c r="L86" s="2">
        <v>5</v>
      </c>
      <c r="M86" s="38">
        <f ca="1"/>
        <v>24.7</v>
      </c>
      <c r="N86" s="2" t="e">
        <f ca="1"/>
        <v>#N/A</v>
      </c>
      <c r="O86" s="2" t="e">
        <f ca="1"/>
        <v>#N/A</v>
      </c>
      <c r="P86" s="2" t="e">
        <f ca="1"/>
        <v>#N/A</v>
      </c>
      <c r="Q86" s="38" t="e">
        <f ca="1"/>
        <v>#N/A</v>
      </c>
      <c r="R86" s="38" t="e">
        <f ca="1"/>
        <v>#N/A</v>
      </c>
    </row>
    <row r="87" spans="1:18" x14ac:dyDescent="0.2">
      <c r="A87" s="2">
        <v>86</v>
      </c>
      <c r="B87" s="62">
        <v>45691</v>
      </c>
      <c r="C87" s="63">
        <v>0.42549768518518516</v>
      </c>
      <c r="D87" s="64" t="s">
        <v>80</v>
      </c>
      <c r="E87" s="64" t="s">
        <v>81</v>
      </c>
      <c r="G87" s="64" t="s">
        <v>82</v>
      </c>
      <c r="H87" s="64" t="s">
        <v>83</v>
      </c>
      <c r="I87" s="38" t="str">
        <f ca="1"/>
        <v>29,7</v>
      </c>
      <c r="J87" s="2">
        <v>87</v>
      </c>
      <c r="K87" s="2">
        <v>1</v>
      </c>
      <c r="L87" s="2">
        <v>5</v>
      </c>
      <c r="M87" s="38">
        <f ca="1"/>
        <v>24.7</v>
      </c>
      <c r="N87" s="2" t="e">
        <f ca="1"/>
        <v>#N/A</v>
      </c>
      <c r="O87" s="2" t="e">
        <f ca="1"/>
        <v>#N/A</v>
      </c>
      <c r="P87" s="2" t="e">
        <f ca="1"/>
        <v>#N/A</v>
      </c>
      <c r="Q87" s="38" t="e">
        <f ca="1"/>
        <v>#N/A</v>
      </c>
      <c r="R87" s="38" t="e">
        <f ca="1"/>
        <v>#N/A</v>
      </c>
    </row>
    <row r="88" spans="1:18" x14ac:dyDescent="0.2">
      <c r="A88" s="2">
        <v>87</v>
      </c>
      <c r="B88" s="62">
        <v>45691</v>
      </c>
      <c r="C88" s="63">
        <v>0.42549768518518516</v>
      </c>
      <c r="D88" s="64" t="s">
        <v>80</v>
      </c>
      <c r="E88" s="64" t="s">
        <v>81</v>
      </c>
      <c r="G88" s="64" t="s">
        <v>82</v>
      </c>
      <c r="H88" s="64" t="s">
        <v>83</v>
      </c>
      <c r="I88" s="38" t="str">
        <f ca="1"/>
        <v>29,7</v>
      </c>
      <c r="J88" s="2">
        <v>88</v>
      </c>
      <c r="K88" s="2">
        <v>1</v>
      </c>
      <c r="L88" s="2">
        <v>5</v>
      </c>
      <c r="M88" s="38">
        <f ca="1"/>
        <v>24.7</v>
      </c>
      <c r="N88" s="2" t="e">
        <f ca="1"/>
        <v>#N/A</v>
      </c>
      <c r="O88" s="2" t="e">
        <f ca="1"/>
        <v>#N/A</v>
      </c>
      <c r="P88" s="2" t="e">
        <f ca="1"/>
        <v>#N/A</v>
      </c>
      <c r="Q88" s="38" t="e">
        <f ca="1"/>
        <v>#N/A</v>
      </c>
      <c r="R88" s="38" t="e">
        <f ca="1"/>
        <v>#N/A</v>
      </c>
    </row>
    <row r="89" spans="1:18" x14ac:dyDescent="0.2">
      <c r="A89" s="2">
        <v>88</v>
      </c>
      <c r="B89" s="62">
        <v>45691</v>
      </c>
      <c r="C89" s="63">
        <v>0.42549768518518516</v>
      </c>
      <c r="D89" s="64" t="s">
        <v>80</v>
      </c>
      <c r="E89" s="64" t="s">
        <v>81</v>
      </c>
      <c r="G89" s="64" t="s">
        <v>95</v>
      </c>
      <c r="H89" s="65" t="s">
        <v>83</v>
      </c>
      <c r="I89" s="38" t="str">
        <f ca="1"/>
        <v>29,8</v>
      </c>
      <c r="J89" s="2">
        <v>89</v>
      </c>
      <c r="K89" s="2">
        <v>1</v>
      </c>
      <c r="L89" s="2">
        <v>5</v>
      </c>
      <c r="M89" s="38">
        <f ca="1"/>
        <v>24.8</v>
      </c>
      <c r="N89" s="2" t="e">
        <f ca="1"/>
        <v>#N/A</v>
      </c>
      <c r="O89" s="2" t="e">
        <f ca="1"/>
        <v>#N/A</v>
      </c>
      <c r="P89" s="2" t="e">
        <f ca="1"/>
        <v>#N/A</v>
      </c>
      <c r="Q89" s="38" t="e">
        <f ca="1"/>
        <v>#N/A</v>
      </c>
      <c r="R89" s="38" t="e">
        <f ca="1"/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19</xdr:col>
                    <xdr:colOff>228600</xdr:colOff>
                    <xdr:row>1</xdr:row>
                    <xdr:rowOff>127000</xdr:rowOff>
                  </from>
                  <to>
                    <xdr:col>21</xdr:col>
                    <xdr:colOff>101600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workbookViewId="0">
      <selection activeCell="Q15" sqref="Q15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45692.561174421295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28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66" t="s">
        <v>96</v>
      </c>
      <c r="E4" s="28"/>
      <c r="F4" s="28"/>
      <c r="I4" s="2"/>
      <c r="J4" s="2"/>
      <c r="K4" s="2"/>
      <c r="L4" s="2"/>
      <c r="M4" s="2"/>
    </row>
    <row r="5" spans="1:13" x14ac:dyDescent="0.2">
      <c r="B5" s="2" t="s">
        <v>7</v>
      </c>
      <c r="C5" s="22">
        <v>25</v>
      </c>
      <c r="I5" s="2"/>
      <c r="J5" s="2"/>
      <c r="K5" s="2"/>
      <c r="L5" s="2"/>
      <c r="M5" s="2"/>
    </row>
    <row r="6" spans="1:13" x14ac:dyDescent="0.2"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39</v>
      </c>
      <c r="D8" s="20">
        <f>INDEX(calculs_intermediaires!$M$7:$M$100,MATCH(TRUE,calculs_intermediaires!$R$7:$R$100,0))</f>
        <v>1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41</v>
      </c>
      <c r="D9" s="28">
        <f>INDEX(calculs_intermediaires!$N$7:$N$100,MATCH(TRUE,calculs_intermediaires!$R$7:$R$100,0))</f>
        <v>5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W72"/>
  <sheetViews>
    <sheetView showGridLines="0" topLeftCell="Y1" zoomScale="115" workbookViewId="0">
      <selection activeCell="AM7" sqref="AM7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  <col min="37" max="37" width="15.1640625" bestFit="1" customWidth="1"/>
  </cols>
  <sheetData>
    <row r="1" spans="2:49" x14ac:dyDescent="0.2">
      <c r="U1"/>
      <c r="V1"/>
      <c r="W1"/>
      <c r="X1"/>
      <c r="Y1"/>
      <c r="Z1"/>
      <c r="AA1"/>
      <c r="AB1" s="37"/>
    </row>
    <row r="2" spans="2:49" x14ac:dyDescent="0.2">
      <c r="B2" s="6" t="s">
        <v>10</v>
      </c>
      <c r="M2" s="5" t="s">
        <v>29</v>
      </c>
      <c r="U2" s="29" t="s">
        <v>69</v>
      </c>
      <c r="V2" s="3">
        <v>10</v>
      </c>
      <c r="X2" s="2" t="s">
        <v>70</v>
      </c>
      <c r="Y2" s="25">
        <f>F5-V2+1</f>
        <v>80</v>
      </c>
      <c r="Z2"/>
      <c r="AA2" s="2" t="s">
        <v>73</v>
      </c>
      <c r="AB2" s="39">
        <f ca="1">AVERAGE(OFFSET($AB$7, 0, 0, V2, 1))</f>
        <v>24.669999999999998</v>
      </c>
      <c r="AE2" s="6" t="s">
        <v>45</v>
      </c>
      <c r="AG2" s="45">
        <v>10</v>
      </c>
      <c r="AK2" s="6" t="s">
        <v>74</v>
      </c>
      <c r="AM2" s="74"/>
    </row>
    <row r="3" spans="2:49" x14ac:dyDescent="0.2">
      <c r="E3" s="14" t="s">
        <v>44</v>
      </c>
      <c r="F3" s="43">
        <f>ROW(data_brute!A2)</f>
        <v>2</v>
      </c>
      <c r="U3"/>
      <c r="V3"/>
      <c r="W3"/>
      <c r="X3" s="2" t="s">
        <v>71</v>
      </c>
      <c r="Y3" s="27">
        <f>F5</f>
        <v>89</v>
      </c>
      <c r="Z3"/>
      <c r="AA3" s="2" t="s">
        <v>72</v>
      </c>
      <c r="AB3" s="38">
        <f ca="1">AVERAGE(data_brute!M:M)</f>
        <v>24.686363636363652</v>
      </c>
      <c r="AM3" s="37"/>
    </row>
    <row r="4" spans="2:49" x14ac:dyDescent="0.2">
      <c r="B4" s="2" t="s">
        <v>6</v>
      </c>
      <c r="C4" s="23">
        <f>interface!C5</f>
        <v>25</v>
      </c>
      <c r="E4" s="14" t="s">
        <v>46</v>
      </c>
      <c r="F4" s="44">
        <f>COUNTA(data_brute!B:B)-1</f>
        <v>88</v>
      </c>
      <c r="M4" s="14" t="s">
        <v>27</v>
      </c>
      <c r="N4" s="35">
        <f>F4</f>
        <v>88</v>
      </c>
      <c r="O4" s="14"/>
      <c r="P4" s="14" t="s">
        <v>50</v>
      </c>
      <c r="Q4" s="2">
        <f>N4-SUMIFS(Q7:Q100,R7:R100,FALSE)</f>
        <v>88</v>
      </c>
      <c r="AM4" s="37"/>
    </row>
    <row r="5" spans="2:49" x14ac:dyDescent="0.2">
      <c r="E5" s="14" t="s">
        <v>47</v>
      </c>
      <c r="F5" s="2">
        <f>F3+F4-1</f>
        <v>89</v>
      </c>
      <c r="AM5" s="37"/>
    </row>
    <row r="6" spans="2:49" ht="17" thickBot="1" x14ac:dyDescent="0.25">
      <c r="B6" s="29" t="s">
        <v>20</v>
      </c>
      <c r="C6" s="30">
        <f>MATCH(TRUE,$D$10:$D$16,0)</f>
        <v>1</v>
      </c>
      <c r="M6" s="4" t="s">
        <v>36</v>
      </c>
      <c r="N6" s="4" t="s">
        <v>29</v>
      </c>
      <c r="O6" s="4" t="s">
        <v>37</v>
      </c>
      <c r="P6" s="4" t="s">
        <v>38</v>
      </c>
      <c r="Q6" s="4" t="s">
        <v>40</v>
      </c>
      <c r="R6" s="4" t="s">
        <v>16</v>
      </c>
      <c r="U6" s="57" t="str">
        <f>data_brute!A1</f>
        <v>Pesée</v>
      </c>
      <c r="V6" s="57" t="str">
        <f>data_brute!B1</f>
        <v>Date</v>
      </c>
      <c r="W6" s="57" t="str">
        <f>data_brute!C1</f>
        <v>Heure</v>
      </c>
      <c r="X6" s="57" t="str">
        <f>data_brute!I1</f>
        <v>Poids Brut</v>
      </c>
      <c r="Y6" s="57" t="str">
        <f>data_brute!J1</f>
        <v>Ligne</v>
      </c>
      <c r="Z6" s="57" t="str">
        <f>data_brute!K1</f>
        <v>Bobine</v>
      </c>
      <c r="AA6" s="57" t="str">
        <f>data_brute!L1</f>
        <v>Tare</v>
      </c>
      <c r="AB6" s="57" t="str">
        <f>data_brute!M1</f>
        <v>Poids net</v>
      </c>
      <c r="AE6" s="57" t="s">
        <v>43</v>
      </c>
      <c r="AF6" s="57" t="s">
        <v>38</v>
      </c>
      <c r="AG6" s="59" t="s">
        <v>42</v>
      </c>
      <c r="AH6" s="57" t="s">
        <v>48</v>
      </c>
      <c r="AK6" s="57" t="s">
        <v>43</v>
      </c>
      <c r="AL6" s="57" t="s">
        <v>38</v>
      </c>
      <c r="AM6" s="59" t="s">
        <v>42</v>
      </c>
      <c r="AN6" s="57" t="s">
        <v>48</v>
      </c>
    </row>
    <row r="7" spans="2:49" ht="17" thickTop="1" x14ac:dyDescent="0.2">
      <c r="M7" s="2">
        <v>1</v>
      </c>
      <c r="N7" s="2">
        <v>5</v>
      </c>
      <c r="O7" s="28">
        <v>2</v>
      </c>
      <c r="P7" s="2">
        <f>O7+N4-1</f>
        <v>89</v>
      </c>
      <c r="Q7" s="2">
        <f>P7-O7+1</f>
        <v>88</v>
      </c>
      <c r="R7" s="2" t="b">
        <v>1</v>
      </c>
      <c r="U7" s="56" cm="1">
        <f t="array" ref="U7:W16">_xlfn._xlws.FILTER(data_brute!A:C,(data_brute!J:J&gt;=Y2)*(data_brute!J:J&lt;=Y3),"")</f>
        <v>79</v>
      </c>
      <c r="V7" s="53">
        <v>45691</v>
      </c>
      <c r="W7" s="54">
        <v>0.42549768518518516</v>
      </c>
      <c r="X7" s="55" t="str" cm="1">
        <f t="array" aca="1" ref="X7:AB16" ca="1">_xlfn._xlws.FILTER(data_brute!I:M,(data_brute!J:J&gt;=Y2)*(data_brute!J:J&lt;=Y3),"")</f>
        <v>29,7</v>
      </c>
      <c r="Y7" s="2">
        <f ca="1"/>
        <v>80</v>
      </c>
      <c r="Z7" s="2">
        <f ca="1"/>
        <v>1</v>
      </c>
      <c r="AA7" s="2">
        <f ca="1"/>
        <v>5</v>
      </c>
      <c r="AB7" s="38">
        <f ca="1"/>
        <v>24.7</v>
      </c>
      <c r="AE7" s="2">
        <f>F3</f>
        <v>2</v>
      </c>
      <c r="AF7" s="58">
        <f>AE7+$AG$2-1</f>
        <v>11</v>
      </c>
      <c r="AG7" s="38">
        <f ca="1">IFERROR(AVERAGEIFS(data_brute!M:M,data_brute!J:J,"&gt;="&amp;AE7,data_brute!J:J,"&lt;="&amp;AF7),NA())</f>
        <v>24.699999999999996</v>
      </c>
      <c r="AH7" s="58">
        <f ca="1">IF(AG7&lt;&gt;"",$AG$2*(ROW()-ROW($AH$6)),NA())</f>
        <v>10</v>
      </c>
      <c r="AK7" s="2">
        <f>F3</f>
        <v>2</v>
      </c>
      <c r="AL7" s="58">
        <f>AK7+$AG$2-1</f>
        <v>11</v>
      </c>
      <c r="AM7" s="38">
        <f ca="1">IFERROR(AVERAGEIFS(data_brute!M:M,data_brute!J:J,"&lt;="&amp;AL7),NA())</f>
        <v>24.699999999999996</v>
      </c>
      <c r="AN7" s="58">
        <f ca="1">IF(AM7&lt;&gt;"",$AG$2*(ROW()-ROW($AH$6)),NA())</f>
        <v>10</v>
      </c>
      <c r="AO7" s="58"/>
      <c r="AP7" s="2"/>
      <c r="AQ7" s="2"/>
      <c r="AR7" s="2"/>
      <c r="AS7" s="2"/>
      <c r="AT7" s="2"/>
      <c r="AU7" s="2"/>
      <c r="AV7" s="2"/>
      <c r="AW7" s="2"/>
    </row>
    <row r="8" spans="2:49" x14ac:dyDescent="0.2">
      <c r="B8" s="70" t="s">
        <v>6</v>
      </c>
      <c r="C8" s="71"/>
      <c r="D8" s="72" t="s">
        <v>16</v>
      </c>
      <c r="E8" s="70" t="s">
        <v>14</v>
      </c>
      <c r="F8" s="71"/>
      <c r="G8" s="7" t="s">
        <v>17</v>
      </c>
      <c r="H8" s="72" t="s">
        <v>19</v>
      </c>
      <c r="I8" s="70"/>
      <c r="J8" s="71"/>
      <c r="M8" s="2"/>
      <c r="N8" s="2"/>
      <c r="O8" s="2"/>
      <c r="P8" s="2"/>
      <c r="Q8" s="2"/>
      <c r="R8" s="2"/>
      <c r="U8" s="2">
        <v>80</v>
      </c>
      <c r="V8" s="53">
        <v>45691</v>
      </c>
      <c r="W8" s="54">
        <v>0.42549768518518516</v>
      </c>
      <c r="X8" s="55" t="str">
        <f ca="1"/>
        <v>29,8</v>
      </c>
      <c r="Y8" s="2">
        <f ca="1"/>
        <v>81</v>
      </c>
      <c r="Z8" s="2">
        <f ca="1"/>
        <v>1</v>
      </c>
      <c r="AA8" s="2">
        <f ca="1"/>
        <v>5</v>
      </c>
      <c r="AB8" s="38">
        <f ca="1"/>
        <v>24.8</v>
      </c>
      <c r="AE8" s="58">
        <f>AF7+1</f>
        <v>12</v>
      </c>
      <c r="AF8" s="58">
        <f>AE8+$AG$2-1</f>
        <v>21</v>
      </c>
      <c r="AG8" s="38">
        <f ca="1">IFERROR(AVERAGEIFS(data_brute!M:M,data_brute!J:J,"&gt;="&amp;AE8,data_brute!J:J,"&lt;="&amp;AF8),NA())</f>
        <v>24.659999999999997</v>
      </c>
      <c r="AH8" s="58">
        <f ca="1">IF(AG8&lt;&gt;"",$AG$2*(ROW()-ROW($AH$6)),NA())</f>
        <v>20</v>
      </c>
      <c r="AK8" s="58">
        <f>AL7+1</f>
        <v>12</v>
      </c>
      <c r="AL8" s="58">
        <f>AK8+$AG$2-1</f>
        <v>21</v>
      </c>
      <c r="AM8" s="38">
        <f ca="1">IFERROR(AVERAGEIFS(data_brute!M:M,data_brute!J:J,"&lt;="&amp;AL8),NA())</f>
        <v>24.679999999999996</v>
      </c>
      <c r="AN8" s="58">
        <f ca="1">IF(AM8&lt;&gt;"",$AG$2*(ROW()-ROW($AH$6)),NA())</f>
        <v>20</v>
      </c>
      <c r="AO8" s="2"/>
      <c r="AP8" s="2"/>
      <c r="AQ8" s="2"/>
      <c r="AR8" s="2"/>
      <c r="AS8" s="2"/>
      <c r="AT8" s="2"/>
      <c r="AU8" s="2"/>
      <c r="AV8" s="2"/>
      <c r="AW8" s="2"/>
    </row>
    <row r="9" spans="2:49" x14ac:dyDescent="0.2">
      <c r="B9" s="18" t="s">
        <v>11</v>
      </c>
      <c r="C9" s="19" t="s">
        <v>12</v>
      </c>
      <c r="D9" s="73"/>
      <c r="E9" s="18" t="s">
        <v>13</v>
      </c>
      <c r="F9" s="19" t="s">
        <v>15</v>
      </c>
      <c r="G9" s="24" t="s">
        <v>18</v>
      </c>
      <c r="H9" s="73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81</v>
      </c>
      <c r="V9" s="53">
        <v>45691</v>
      </c>
      <c r="W9" s="54">
        <v>0.4254398148148148</v>
      </c>
      <c r="X9" s="55" t="str">
        <f ca="1"/>
        <v>29,7</v>
      </c>
      <c r="Y9" s="2">
        <f ca="1"/>
        <v>82</v>
      </c>
      <c r="Z9" s="2">
        <f ca="1"/>
        <v>1</v>
      </c>
      <c r="AA9" s="2">
        <f ca="1"/>
        <v>5</v>
      </c>
      <c r="AB9" s="38">
        <f ca="1"/>
        <v>24.7</v>
      </c>
      <c r="AE9" s="58">
        <f t="shared" ref="AE9:AE42" si="0">AF8+1</f>
        <v>22</v>
      </c>
      <c r="AF9" s="58">
        <f t="shared" ref="AF9:AF42" si="1">AE9+$AG$2-1</f>
        <v>31</v>
      </c>
      <c r="AG9" s="38">
        <f ca="1">IFERROR(AVERAGEIFS(data_brute!M:M,data_brute!J:J,"&gt;="&amp;AE9,data_brute!J:J,"&lt;="&amp;AF9),NA())</f>
        <v>24.709999999999997</v>
      </c>
      <c r="AH9" s="58">
        <f t="shared" ref="AH9:AH42" ca="1" si="2">IF(AG9&lt;&gt;"",$AG$2*(ROW()-ROW($AH$6)),NA())</f>
        <v>30</v>
      </c>
      <c r="AK9" s="58">
        <f t="shared" ref="AK9:AK42" si="3">AL8+1</f>
        <v>22</v>
      </c>
      <c r="AL9" s="58">
        <f t="shared" ref="AL9:AL42" si="4">AK9+$AG$2-1</f>
        <v>31</v>
      </c>
      <c r="AM9" s="38">
        <f ca="1">IFERROR(AVERAGEIFS(data_brute!M:M,data_brute!J:J,"&lt;="&amp;AL9),NA())</f>
        <v>24.690000000000008</v>
      </c>
      <c r="AN9" s="58">
        <f t="shared" ref="AN9:AN42" ca="1" si="5">IF(AM9&lt;&gt;"",$AG$2*(ROW()-ROW($AH$6)),NA())</f>
        <v>30</v>
      </c>
      <c r="AO9" s="2"/>
      <c r="AP9" s="2"/>
      <c r="AQ9" s="2"/>
      <c r="AR9" s="2"/>
      <c r="AS9" s="2"/>
      <c r="AT9" s="2"/>
      <c r="AU9" s="2"/>
      <c r="AV9" s="2"/>
      <c r="AW9" s="2"/>
    </row>
    <row r="10" spans="2:49" x14ac:dyDescent="0.2">
      <c r="B10" s="8">
        <v>5</v>
      </c>
      <c r="C10" s="9">
        <v>50</v>
      </c>
      <c r="D10" s="12" t="b">
        <f t="shared" ref="D10:D16" si="6">IF(AND($C$4&gt;=B10,$C$4&lt;C10),TRUE,FALSE)</f>
        <v>1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2">
        <v>82</v>
      </c>
      <c r="V10" s="53">
        <v>45691</v>
      </c>
      <c r="W10" s="54">
        <v>0.42549768518518516</v>
      </c>
      <c r="X10" s="55" t="str">
        <f ca="1"/>
        <v>29,1</v>
      </c>
      <c r="Y10" s="2">
        <f ca="1"/>
        <v>83</v>
      </c>
      <c r="Z10" s="2">
        <f ca="1"/>
        <v>1</v>
      </c>
      <c r="AA10" s="2">
        <f ca="1"/>
        <v>5</v>
      </c>
      <c r="AB10" s="38">
        <f ca="1"/>
        <v>24.1</v>
      </c>
      <c r="AE10" s="58">
        <f t="shared" si="0"/>
        <v>32</v>
      </c>
      <c r="AF10" s="58">
        <f t="shared" si="1"/>
        <v>41</v>
      </c>
      <c r="AG10" s="38">
        <f ca="1">IFERROR(AVERAGEIFS(data_brute!M:M,data_brute!J:J,"&gt;="&amp;AE10,data_brute!J:J,"&lt;="&amp;AF10),NA())</f>
        <v>24.66</v>
      </c>
      <c r="AH10" s="58">
        <f t="shared" ca="1" si="2"/>
        <v>40</v>
      </c>
      <c r="AK10" s="58">
        <f t="shared" si="3"/>
        <v>32</v>
      </c>
      <c r="AL10" s="58">
        <f t="shared" si="4"/>
        <v>41</v>
      </c>
      <c r="AM10" s="38">
        <f ca="1">IFERROR(AVERAGEIFS(data_brute!M:M,data_brute!J:J,"&lt;="&amp;AL10),NA())</f>
        <v>24.682500000000012</v>
      </c>
      <c r="AN10" s="58">
        <f t="shared" ca="1" si="5"/>
        <v>40</v>
      </c>
      <c r="AO10" s="2"/>
      <c r="AP10" s="2"/>
      <c r="AQ10" s="2"/>
      <c r="AR10" s="2"/>
      <c r="AS10" s="2"/>
      <c r="AT10" s="2"/>
      <c r="AU10" s="2"/>
      <c r="AV10" s="2"/>
      <c r="AW10" s="2"/>
    </row>
    <row r="11" spans="2:49" x14ac:dyDescent="0.2">
      <c r="B11" s="8">
        <v>50</v>
      </c>
      <c r="C11" s="9">
        <v>100</v>
      </c>
      <c r="D11" s="12" t="b">
        <f t="shared" si="6"/>
        <v>0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7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8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83</v>
      </c>
      <c r="V11" s="53">
        <v>45691</v>
      </c>
      <c r="W11" s="54">
        <v>0.42549768518518516</v>
      </c>
      <c r="X11" s="55" t="str">
        <f ca="1"/>
        <v>29,7</v>
      </c>
      <c r="Y11" s="2">
        <f ca="1"/>
        <v>84</v>
      </c>
      <c r="Z11" s="2">
        <f ca="1"/>
        <v>1</v>
      </c>
      <c r="AA11" s="2">
        <f ca="1"/>
        <v>5</v>
      </c>
      <c r="AB11" s="38">
        <f ca="1"/>
        <v>24.7</v>
      </c>
      <c r="AE11" s="58">
        <f t="shared" si="0"/>
        <v>42</v>
      </c>
      <c r="AF11" s="58">
        <f t="shared" si="1"/>
        <v>51</v>
      </c>
      <c r="AG11" s="38">
        <f ca="1">IFERROR(AVERAGEIFS(data_brute!M:M,data_brute!J:J,"&gt;="&amp;AE11,data_brute!J:J,"&lt;="&amp;AF11),NA())</f>
        <v>24.709999999999994</v>
      </c>
      <c r="AH11" s="58">
        <f t="shared" ca="1" si="2"/>
        <v>50</v>
      </c>
      <c r="AK11" s="58">
        <f t="shared" si="3"/>
        <v>42</v>
      </c>
      <c r="AL11" s="58">
        <f t="shared" si="4"/>
        <v>51</v>
      </c>
      <c r="AM11" s="38">
        <f ca="1">IFERROR(AVERAGEIFS(data_brute!M:M,data_brute!J:J,"&lt;="&amp;AL11),NA())</f>
        <v>24.688000000000017</v>
      </c>
      <c r="AN11" s="58">
        <f t="shared" ca="1" si="5"/>
        <v>50</v>
      </c>
      <c r="AO11" s="2"/>
      <c r="AP11" s="2"/>
      <c r="AQ11" s="2"/>
      <c r="AR11" s="2"/>
      <c r="AS11" s="2"/>
      <c r="AT11" s="2"/>
      <c r="AU11" s="2"/>
      <c r="AV11" s="2"/>
      <c r="AW11" s="2"/>
    </row>
    <row r="12" spans="2:49" x14ac:dyDescent="0.2">
      <c r="B12" s="8">
        <v>100</v>
      </c>
      <c r="C12" s="9">
        <v>200</v>
      </c>
      <c r="D12" s="12" t="b">
        <f t="shared" si="6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7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v>84</v>
      </c>
      <c r="V12" s="53">
        <v>45691</v>
      </c>
      <c r="W12" s="54">
        <v>0.42549768518518516</v>
      </c>
      <c r="X12" s="55" t="str">
        <f ca="1"/>
        <v>29,8</v>
      </c>
      <c r="Y12" s="2">
        <f ca="1"/>
        <v>85</v>
      </c>
      <c r="Z12" s="2">
        <f ca="1"/>
        <v>1</v>
      </c>
      <c r="AA12" s="2">
        <f ca="1"/>
        <v>5</v>
      </c>
      <c r="AB12" s="38">
        <f ca="1"/>
        <v>24.8</v>
      </c>
      <c r="AE12" s="58">
        <f t="shared" si="0"/>
        <v>52</v>
      </c>
      <c r="AF12" s="58">
        <f t="shared" si="1"/>
        <v>61</v>
      </c>
      <c r="AG12" s="38">
        <f ca="1">IFERROR(AVERAGEIFS(data_brute!M:M,data_brute!J:J,"&gt;="&amp;AE12,data_brute!J:J,"&lt;="&amp;AF12),NA())</f>
        <v>24.65</v>
      </c>
      <c r="AH12" s="58">
        <f t="shared" ca="1" si="2"/>
        <v>60</v>
      </c>
      <c r="AK12" s="58">
        <f t="shared" si="3"/>
        <v>52</v>
      </c>
      <c r="AL12" s="58">
        <f t="shared" si="4"/>
        <v>61</v>
      </c>
      <c r="AM12" s="38">
        <f ca="1">IFERROR(AVERAGEIFS(data_brute!M:M,data_brute!J:J,"&lt;="&amp;AL12),NA())</f>
        <v>24.681666666666683</v>
      </c>
      <c r="AN12" s="58">
        <f t="shared" ca="1" si="5"/>
        <v>60</v>
      </c>
      <c r="AO12" s="2"/>
      <c r="AP12" s="2"/>
      <c r="AQ12" s="2"/>
      <c r="AR12" s="2"/>
      <c r="AS12" s="2"/>
      <c r="AT12" s="2"/>
      <c r="AU12" s="2"/>
      <c r="AV12" s="2"/>
      <c r="AW12" s="2"/>
    </row>
    <row r="13" spans="2:49" x14ac:dyDescent="0.2">
      <c r="B13" s="8">
        <v>200</v>
      </c>
      <c r="C13" s="9">
        <v>300</v>
      </c>
      <c r="D13" s="12" t="b">
        <f t="shared" si="6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7"/>
        <v>9</v>
      </c>
      <c r="I13" s="8" t="str" cm="1">
        <f t="array" ref="I13">_xlfn.IFS(AND(D13,G13=1),H13*$C$4/100,AND(D13,G13=2),H13,NOT(D13),"")</f>
        <v/>
      </c>
      <c r="J13" s="9" t="str">
        <f t="shared" si="8"/>
        <v/>
      </c>
      <c r="K13" s="9" t="str" cm="1">
        <f t="array" ref="K13">_xlfn.IFS(AND(D13,G13=1),H13*$C$4/100,AND(D13,G13=2),H13,NOT(D13),"")</f>
        <v/>
      </c>
      <c r="L13" s="2"/>
      <c r="M13" s="2"/>
      <c r="U13" s="2">
        <v>85</v>
      </c>
      <c r="V13" s="53">
        <v>45691</v>
      </c>
      <c r="W13" s="54">
        <v>0.4254398148148148</v>
      </c>
      <c r="X13" s="55" t="str">
        <f ca="1"/>
        <v>29,7</v>
      </c>
      <c r="Y13" s="2">
        <f ca="1"/>
        <v>86</v>
      </c>
      <c r="Z13" s="2">
        <f ca="1"/>
        <v>1</v>
      </c>
      <c r="AA13" s="2">
        <f ca="1"/>
        <v>5</v>
      </c>
      <c r="AB13" s="38">
        <f ca="1"/>
        <v>24.7</v>
      </c>
      <c r="AE13" s="58">
        <f t="shared" si="0"/>
        <v>62</v>
      </c>
      <c r="AF13" s="58">
        <f t="shared" si="1"/>
        <v>71</v>
      </c>
      <c r="AG13" s="38">
        <f ca="1">IFERROR(AVERAGEIFS(data_brute!M:M,data_brute!J:J,"&gt;="&amp;AE13,data_brute!J:J,"&lt;="&amp;AF13),NA())</f>
        <v>24.719999999999995</v>
      </c>
      <c r="AH13" s="58">
        <f t="shared" ca="1" si="2"/>
        <v>70</v>
      </c>
      <c r="AK13" s="58">
        <f t="shared" si="3"/>
        <v>62</v>
      </c>
      <c r="AL13" s="58">
        <f t="shared" si="4"/>
        <v>71</v>
      </c>
      <c r="AM13" s="38">
        <f ca="1">IFERROR(AVERAGEIFS(data_brute!M:M,data_brute!J:J,"&lt;="&amp;AL13),NA())</f>
        <v>24.687142857142874</v>
      </c>
      <c r="AN13" s="58">
        <f t="shared" ca="1" si="5"/>
        <v>70</v>
      </c>
      <c r="AO13" s="2"/>
      <c r="AP13" s="2"/>
      <c r="AQ13" s="2"/>
      <c r="AR13" s="2"/>
      <c r="AS13" s="2"/>
      <c r="AT13" s="2"/>
      <c r="AU13" s="2"/>
      <c r="AV13" s="2"/>
      <c r="AW13" s="2"/>
    </row>
    <row r="14" spans="2:49" x14ac:dyDescent="0.2">
      <c r="B14" s="8">
        <v>300</v>
      </c>
      <c r="C14" s="9">
        <v>500</v>
      </c>
      <c r="D14" s="12" t="b">
        <f t="shared" si="6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7"/>
        <v>3</v>
      </c>
      <c r="I14" s="8" t="str" cm="1">
        <f t="array" ref="I14">_xlfn.IFS(AND(D14,G14=1),H14*$C$4/100,AND(D14,G14=2),H14,NOT(D14),"")</f>
        <v/>
      </c>
      <c r="J14" s="9" t="str">
        <f t="shared" si="8"/>
        <v/>
      </c>
      <c r="K14" s="9" t="str" cm="1">
        <f t="array" ref="K14">_xlfn.IFS(AND(D14,G14=1),H14*$C$4/100,AND(D14,G14=2),H14,NOT(D14),"")</f>
        <v/>
      </c>
      <c r="L14" s="2"/>
      <c r="M14" s="2"/>
      <c r="U14" s="2">
        <v>86</v>
      </c>
      <c r="V14" s="53">
        <v>45691</v>
      </c>
      <c r="W14" s="54">
        <v>0.42549768518518516</v>
      </c>
      <c r="X14" s="55" t="str">
        <f ca="1"/>
        <v>29,7</v>
      </c>
      <c r="Y14" s="2">
        <f ca="1"/>
        <v>87</v>
      </c>
      <c r="Z14" s="2">
        <f ca="1"/>
        <v>1</v>
      </c>
      <c r="AA14" s="2">
        <f ca="1"/>
        <v>5</v>
      </c>
      <c r="AB14" s="38">
        <f ca="1"/>
        <v>24.7</v>
      </c>
      <c r="AE14" s="58">
        <f t="shared" si="0"/>
        <v>72</v>
      </c>
      <c r="AF14" s="58">
        <f t="shared" si="1"/>
        <v>81</v>
      </c>
      <c r="AG14" s="38">
        <f ca="1">IFERROR(AVERAGEIFS(data_brute!M:M,data_brute!J:J,"&gt;="&amp;AE14,data_brute!J:J,"&lt;="&amp;AF14),NA())</f>
        <v>24.709999999999997</v>
      </c>
      <c r="AH14" s="58">
        <f t="shared" ca="1" si="2"/>
        <v>80</v>
      </c>
      <c r="AK14" s="58">
        <f t="shared" si="3"/>
        <v>72</v>
      </c>
      <c r="AL14" s="58">
        <f t="shared" si="4"/>
        <v>81</v>
      </c>
      <c r="AM14" s="38">
        <f ca="1">IFERROR(AVERAGEIFS(data_brute!M:M,data_brute!J:J,"&lt;="&amp;AL14),NA())</f>
        <v>24.690000000000019</v>
      </c>
      <c r="AN14" s="58">
        <f t="shared" ca="1" si="5"/>
        <v>80</v>
      </c>
      <c r="AO14" s="2"/>
      <c r="AP14" s="2"/>
      <c r="AQ14" s="2"/>
      <c r="AR14" s="2"/>
      <c r="AS14" s="2"/>
      <c r="AT14" s="2"/>
      <c r="AU14" s="2"/>
      <c r="AV14" s="2"/>
      <c r="AW14" s="2"/>
    </row>
    <row r="15" spans="2:49" x14ac:dyDescent="0.2">
      <c r="B15" s="8">
        <v>500</v>
      </c>
      <c r="C15" s="9">
        <v>1000</v>
      </c>
      <c r="D15" s="12" t="b">
        <f t="shared" si="6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7"/>
        <v>15</v>
      </c>
      <c r="I15" s="8" t="str" cm="1">
        <f t="array" ref="I15">_xlfn.IFS(AND(D15,G15=1),H15*$C$4/100,AND(D15,G15=2),H15,NOT(D15),"")</f>
        <v/>
      </c>
      <c r="J15" s="9" t="str">
        <f t="shared" si="8"/>
        <v/>
      </c>
      <c r="K15" s="9" t="str" cm="1">
        <f t="array" ref="K15">_xlfn.IFS(AND(D15,G15=1),H15*$C$4/100,AND(D15,G15=2),H15,NOT(D15),"")</f>
        <v/>
      </c>
      <c r="L15" s="2"/>
      <c r="M15" s="2"/>
      <c r="U15" s="2">
        <v>87</v>
      </c>
      <c r="V15" s="53">
        <v>45691</v>
      </c>
      <c r="W15" s="54">
        <v>0.42549768518518516</v>
      </c>
      <c r="X15" s="55" t="str">
        <f ca="1"/>
        <v>29,7</v>
      </c>
      <c r="Y15" s="2">
        <f ca="1"/>
        <v>88</v>
      </c>
      <c r="Z15" s="2">
        <f ca="1"/>
        <v>1</v>
      </c>
      <c r="AA15" s="2">
        <f ca="1"/>
        <v>5</v>
      </c>
      <c r="AB15" s="38">
        <f ca="1"/>
        <v>24.7</v>
      </c>
      <c r="AE15" s="58">
        <f t="shared" si="0"/>
        <v>82</v>
      </c>
      <c r="AF15" s="58">
        <f t="shared" si="1"/>
        <v>91</v>
      </c>
      <c r="AG15" s="38">
        <f ca="1">IFERROR(AVERAGEIFS(data_brute!M:M,data_brute!J:J,"&gt;="&amp;AE15,data_brute!J:J,"&lt;="&amp;AF15),NA())</f>
        <v>24.65</v>
      </c>
      <c r="AH15" s="58">
        <f t="shared" ca="1" si="2"/>
        <v>90</v>
      </c>
      <c r="AK15" s="58">
        <f t="shared" si="3"/>
        <v>82</v>
      </c>
      <c r="AL15" s="58">
        <f t="shared" si="4"/>
        <v>91</v>
      </c>
      <c r="AM15" s="38">
        <f ca="1">IFERROR(AVERAGEIFS(data_brute!M:M,data_brute!J:J,"&lt;="&amp;AL15),NA())</f>
        <v>24.686363636363652</v>
      </c>
      <c r="AN15" s="58">
        <f t="shared" ca="1" si="5"/>
        <v>90</v>
      </c>
      <c r="AO15" s="2"/>
      <c r="AP15" s="2"/>
      <c r="AQ15" s="2"/>
      <c r="AR15" s="2"/>
      <c r="AS15" s="2"/>
      <c r="AT15" s="2"/>
      <c r="AU15" s="2"/>
      <c r="AV15" s="2"/>
      <c r="AW15" s="2"/>
    </row>
    <row r="16" spans="2:49" x14ac:dyDescent="0.2">
      <c r="B16" s="10">
        <v>1000</v>
      </c>
      <c r="C16" s="11">
        <v>10000</v>
      </c>
      <c r="D16" s="13" t="b">
        <f t="shared" si="6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7"/>
        <v>1.5</v>
      </c>
      <c r="I16" s="10" t="str" cm="1">
        <f t="array" ref="I16">_xlfn.IFS(AND(D16,G16=1),H16*$C$4/100,AND(D16,G16=2),H16,NOT(D16),"")</f>
        <v/>
      </c>
      <c r="J16" s="11" t="str">
        <f t="shared" si="8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88</v>
      </c>
      <c r="V16" s="53">
        <v>45691</v>
      </c>
      <c r="W16" s="54">
        <v>0.42549768518518516</v>
      </c>
      <c r="X16" s="55" t="str">
        <f ca="1"/>
        <v>29,8</v>
      </c>
      <c r="Y16" s="2">
        <f ca="1"/>
        <v>89</v>
      </c>
      <c r="Z16" s="2">
        <f ca="1"/>
        <v>1</v>
      </c>
      <c r="AA16" s="2">
        <f ca="1"/>
        <v>5</v>
      </c>
      <c r="AB16" s="38">
        <f ca="1"/>
        <v>24.8</v>
      </c>
      <c r="AE16" s="58">
        <f t="shared" si="0"/>
        <v>92</v>
      </c>
      <c r="AF16" s="58">
        <f t="shared" si="1"/>
        <v>101</v>
      </c>
      <c r="AG16" s="38" t="e">
        <f>IFERROR(AVERAGEIFS(data_brute!M:M,data_brute!J:J,"&gt;="&amp;AE16,data_brute!J:J,"&lt;="&amp;AF16),NA())</f>
        <v>#N/A</v>
      </c>
      <c r="AH16" s="58" t="e">
        <f t="shared" si="2"/>
        <v>#N/A</v>
      </c>
      <c r="AK16" s="58">
        <f t="shared" si="3"/>
        <v>92</v>
      </c>
      <c r="AL16" s="58">
        <f t="shared" si="4"/>
        <v>101</v>
      </c>
      <c r="AM16" s="38">
        <f ca="1">IFERROR(AVERAGEIFS(data_brute!M:M,data_brute!J:J,"&lt;="&amp;AL16),NA())</f>
        <v>24.686363636363652</v>
      </c>
      <c r="AN16" s="58">
        <f t="shared" ca="1" si="5"/>
        <v>100</v>
      </c>
      <c r="AO16" s="2"/>
      <c r="AP16" s="2"/>
      <c r="AQ16" s="2"/>
      <c r="AR16" s="2"/>
      <c r="AS16" s="2"/>
      <c r="AT16" s="2"/>
      <c r="AU16" s="2"/>
      <c r="AV16" s="2"/>
      <c r="AW16" s="2"/>
    </row>
    <row r="17" spans="2:49" x14ac:dyDescent="0.2">
      <c r="U17" s="5"/>
      <c r="AE17" s="58">
        <f t="shared" si="0"/>
        <v>102</v>
      </c>
      <c r="AF17" s="58">
        <f t="shared" si="1"/>
        <v>111</v>
      </c>
      <c r="AG17" s="38" t="e">
        <f>IFERROR(AVERAGEIFS(data_brute!M:M,data_brute!J:J,"&gt;="&amp;AE17,data_brute!J:J,"&lt;="&amp;AF17),NA())</f>
        <v>#N/A</v>
      </c>
      <c r="AH17" s="58" t="e">
        <f t="shared" si="2"/>
        <v>#N/A</v>
      </c>
      <c r="AK17" s="58">
        <f t="shared" si="3"/>
        <v>102</v>
      </c>
      <c r="AL17" s="58">
        <f t="shared" si="4"/>
        <v>111</v>
      </c>
      <c r="AM17" s="38">
        <f ca="1">IFERROR(AVERAGEIFS(data_brute!M:M,data_brute!J:J,"&lt;="&amp;AL17),NA())</f>
        <v>24.686363636363652</v>
      </c>
      <c r="AN17" s="58">
        <f t="shared" ca="1" si="5"/>
        <v>110</v>
      </c>
      <c r="AO17" s="2"/>
      <c r="AP17" s="2"/>
      <c r="AQ17" s="2"/>
      <c r="AR17" s="2"/>
      <c r="AS17" s="2"/>
      <c r="AT17" s="2"/>
      <c r="AU17" s="2"/>
      <c r="AV17" s="2"/>
      <c r="AW17" s="2"/>
    </row>
    <row r="18" spans="2:49" x14ac:dyDescent="0.2">
      <c r="B18" s="15" t="s">
        <v>5</v>
      </c>
      <c r="C18" s="16" cm="1">
        <f t="array" ref="C18">C4-INDEX($I$10:$I$16,$C$6)</f>
        <v>22.75</v>
      </c>
      <c r="AE18" s="58">
        <f t="shared" si="0"/>
        <v>112</v>
      </c>
      <c r="AF18" s="58">
        <f t="shared" si="1"/>
        <v>121</v>
      </c>
      <c r="AG18" s="38" t="e">
        <f>IFERROR(AVERAGEIFS(data_brute!M:M,data_brute!J:J,"&gt;="&amp;AE18,data_brute!J:J,"&lt;="&amp;AF18),NA())</f>
        <v>#N/A</v>
      </c>
      <c r="AH18" s="58" t="e">
        <f t="shared" si="2"/>
        <v>#N/A</v>
      </c>
      <c r="AK18" s="58">
        <f t="shared" si="3"/>
        <v>112</v>
      </c>
      <c r="AL18" s="58">
        <f t="shared" si="4"/>
        <v>121</v>
      </c>
      <c r="AM18" s="38">
        <f ca="1">IFERROR(AVERAGEIFS(data_brute!M:M,data_brute!J:J,"&lt;="&amp;AL18),NA())</f>
        <v>24.686363636363652</v>
      </c>
      <c r="AN18" s="58">
        <f t="shared" ca="1" si="5"/>
        <v>120</v>
      </c>
      <c r="AO18" s="2"/>
      <c r="AP18" s="2"/>
      <c r="AQ18" s="2"/>
      <c r="AR18" s="2"/>
      <c r="AS18" s="2"/>
      <c r="AT18" s="2"/>
      <c r="AU18" s="2"/>
      <c r="AV18" s="2"/>
      <c r="AW18" s="2"/>
    </row>
    <row r="19" spans="2:49" x14ac:dyDescent="0.2">
      <c r="B19" s="10" t="s">
        <v>9</v>
      </c>
      <c r="C19" s="11" cm="1">
        <f t="array" ref="C19">C4-INDEX($J$10:$J$16,$C$6)</f>
        <v>20.5</v>
      </c>
      <c r="AE19" s="58">
        <f t="shared" si="0"/>
        <v>122</v>
      </c>
      <c r="AF19" s="58">
        <f t="shared" si="1"/>
        <v>131</v>
      </c>
      <c r="AG19" s="38" t="e">
        <f>IFERROR(AVERAGEIFS(data_brute!M:M,data_brute!J:J,"&gt;="&amp;AE19,data_brute!J:J,"&lt;="&amp;AF19),NA())</f>
        <v>#N/A</v>
      </c>
      <c r="AH19" s="58" t="e">
        <f t="shared" si="2"/>
        <v>#N/A</v>
      </c>
      <c r="AK19" s="58">
        <f t="shared" si="3"/>
        <v>122</v>
      </c>
      <c r="AL19" s="58">
        <f t="shared" si="4"/>
        <v>131</v>
      </c>
      <c r="AM19" s="38">
        <f ca="1">IFERROR(AVERAGEIFS(data_brute!M:M,data_brute!J:J,"&lt;="&amp;AL19),NA())</f>
        <v>24.686363636363652</v>
      </c>
      <c r="AN19" s="58">
        <f t="shared" ca="1" si="5"/>
        <v>130</v>
      </c>
      <c r="AO19" s="2"/>
      <c r="AP19" s="2"/>
      <c r="AQ19" s="2"/>
      <c r="AR19" s="2"/>
      <c r="AS19" s="2"/>
      <c r="AT19" s="2"/>
      <c r="AU19" s="2"/>
      <c r="AV19" s="2"/>
      <c r="AW19" s="2"/>
    </row>
    <row r="20" spans="2:49" x14ac:dyDescent="0.2">
      <c r="AE20" s="58">
        <f t="shared" si="0"/>
        <v>132</v>
      </c>
      <c r="AF20" s="58">
        <f t="shared" si="1"/>
        <v>141</v>
      </c>
      <c r="AG20" s="38" t="e">
        <f>IFERROR(AVERAGEIFS(data_brute!M:M,data_brute!J:J,"&gt;="&amp;AE20,data_brute!J:J,"&lt;="&amp;AF20),NA())</f>
        <v>#N/A</v>
      </c>
      <c r="AH20" s="58" t="e">
        <f t="shared" si="2"/>
        <v>#N/A</v>
      </c>
      <c r="AK20" s="58">
        <f t="shared" si="3"/>
        <v>132</v>
      </c>
      <c r="AL20" s="58">
        <f t="shared" si="4"/>
        <v>141</v>
      </c>
      <c r="AM20" s="38">
        <f ca="1">IFERROR(AVERAGEIFS(data_brute!M:M,data_brute!J:J,"&lt;="&amp;AL20),NA())</f>
        <v>24.686363636363652</v>
      </c>
      <c r="AN20" s="58">
        <f t="shared" ca="1" si="5"/>
        <v>140</v>
      </c>
      <c r="AO20" s="2"/>
      <c r="AP20" s="2"/>
      <c r="AQ20" s="2"/>
      <c r="AR20" s="2"/>
      <c r="AS20" s="2"/>
      <c r="AT20" s="2"/>
      <c r="AU20" s="2"/>
      <c r="AV20" s="2"/>
      <c r="AW20" s="2"/>
    </row>
    <row r="21" spans="2:49" x14ac:dyDescent="0.2">
      <c r="B21" s="15" t="s">
        <v>21</v>
      </c>
      <c r="C21" s="16">
        <f>C4-C18</f>
        <v>2.25</v>
      </c>
      <c r="AE21" s="58">
        <f t="shared" si="0"/>
        <v>142</v>
      </c>
      <c r="AF21" s="58">
        <f t="shared" si="1"/>
        <v>151</v>
      </c>
      <c r="AG21" s="38" t="e">
        <f>IFERROR(AVERAGEIFS(data_brute!M:M,data_brute!J:J,"&gt;="&amp;AE21,data_brute!J:J,"&lt;="&amp;AF21),NA())</f>
        <v>#N/A</v>
      </c>
      <c r="AH21" s="58" t="e">
        <f t="shared" si="2"/>
        <v>#N/A</v>
      </c>
      <c r="AK21" s="58">
        <f t="shared" si="3"/>
        <v>142</v>
      </c>
      <c r="AL21" s="58">
        <f t="shared" si="4"/>
        <v>151</v>
      </c>
      <c r="AM21" s="38">
        <f ca="1">IFERROR(AVERAGEIFS(data_brute!M:M,data_brute!J:J,"&lt;="&amp;AL21),NA())</f>
        <v>24.686363636363652</v>
      </c>
      <c r="AN21" s="58">
        <f t="shared" ca="1" si="5"/>
        <v>150</v>
      </c>
      <c r="AO21" s="2"/>
      <c r="AP21" s="2"/>
      <c r="AQ21" s="2"/>
      <c r="AR21" s="2"/>
      <c r="AS21" s="2"/>
      <c r="AT21" s="2"/>
      <c r="AU21" s="2"/>
      <c r="AV21" s="2"/>
      <c r="AW21" s="2"/>
    </row>
    <row r="22" spans="2:49" x14ac:dyDescent="0.2">
      <c r="B22" s="8" t="s">
        <v>23</v>
      </c>
      <c r="C22" s="46">
        <f>1/6</f>
        <v>0.16666666666666666</v>
      </c>
      <c r="AE22" s="58">
        <f t="shared" si="0"/>
        <v>152</v>
      </c>
      <c r="AF22" s="58">
        <f t="shared" si="1"/>
        <v>161</v>
      </c>
      <c r="AG22" s="38" t="e">
        <f>IFERROR(AVERAGEIFS(data_brute!M:M,data_brute!J:J,"&gt;="&amp;AE22,data_brute!J:J,"&lt;="&amp;AF22),NA())</f>
        <v>#N/A</v>
      </c>
      <c r="AH22" s="58" t="e">
        <f t="shared" si="2"/>
        <v>#N/A</v>
      </c>
      <c r="AK22" s="58">
        <f t="shared" si="3"/>
        <v>152</v>
      </c>
      <c r="AL22" s="58">
        <f t="shared" si="4"/>
        <v>161</v>
      </c>
      <c r="AM22" s="38">
        <f ca="1">IFERROR(AVERAGEIFS(data_brute!M:M,data_brute!J:J,"&lt;="&amp;AL22),NA())</f>
        <v>24.686363636363652</v>
      </c>
      <c r="AN22" s="58">
        <f t="shared" ca="1" si="5"/>
        <v>160</v>
      </c>
      <c r="AO22" s="2"/>
      <c r="AP22" s="2"/>
      <c r="AQ22" s="2"/>
      <c r="AR22" s="2"/>
      <c r="AS22" s="2"/>
      <c r="AT22" s="2"/>
      <c r="AU22" s="2"/>
      <c r="AV22" s="2"/>
      <c r="AW22" s="2"/>
    </row>
    <row r="23" spans="2:49" x14ac:dyDescent="0.2">
      <c r="B23" s="10" t="s">
        <v>22</v>
      </c>
      <c r="C23" s="42">
        <f>C21*C22</f>
        <v>0.375</v>
      </c>
      <c r="AE23" s="58">
        <f t="shared" si="0"/>
        <v>162</v>
      </c>
      <c r="AF23" s="58">
        <f t="shared" si="1"/>
        <v>171</v>
      </c>
      <c r="AG23" s="38" t="e">
        <f>IFERROR(AVERAGEIFS(data_brute!M:M,data_brute!J:J,"&gt;="&amp;AE23,data_brute!J:J,"&lt;="&amp;AF23),NA())</f>
        <v>#N/A</v>
      </c>
      <c r="AH23" s="58" t="e">
        <f t="shared" si="2"/>
        <v>#N/A</v>
      </c>
      <c r="AK23" s="58">
        <f t="shared" si="3"/>
        <v>162</v>
      </c>
      <c r="AL23" s="58">
        <f t="shared" si="4"/>
        <v>171</v>
      </c>
      <c r="AM23" s="38">
        <f ca="1">IFERROR(AVERAGEIFS(data_brute!M:M,data_brute!J:J,"&lt;="&amp;AL23),NA())</f>
        <v>24.686363636363652</v>
      </c>
      <c r="AN23" s="58">
        <f t="shared" ca="1" si="5"/>
        <v>170</v>
      </c>
      <c r="AO23" s="2"/>
      <c r="AP23" s="2"/>
      <c r="AQ23" s="2"/>
      <c r="AR23" s="2"/>
      <c r="AS23" s="2"/>
      <c r="AT23" s="2"/>
      <c r="AU23" s="2"/>
      <c r="AV23" s="2"/>
      <c r="AW23" s="2"/>
    </row>
    <row r="24" spans="2:49" x14ac:dyDescent="0.2">
      <c r="AE24" s="58">
        <f t="shared" si="0"/>
        <v>172</v>
      </c>
      <c r="AF24" s="58">
        <f t="shared" si="1"/>
        <v>181</v>
      </c>
      <c r="AG24" s="38" t="e">
        <f>IFERROR(AVERAGEIFS(data_brute!M:M,data_brute!J:J,"&gt;="&amp;AE24,data_brute!J:J,"&lt;="&amp;AF24),NA())</f>
        <v>#N/A</v>
      </c>
      <c r="AH24" s="58" t="e">
        <f t="shared" si="2"/>
        <v>#N/A</v>
      </c>
      <c r="AK24" s="58">
        <f t="shared" si="3"/>
        <v>172</v>
      </c>
      <c r="AL24" s="58">
        <f t="shared" si="4"/>
        <v>181</v>
      </c>
      <c r="AM24" s="38">
        <f ca="1">IFERROR(AVERAGEIFS(data_brute!M:M,data_brute!J:J,"&lt;="&amp;AL24),NA())</f>
        <v>24.686363636363652</v>
      </c>
      <c r="AN24" s="58">
        <f t="shared" ca="1" si="5"/>
        <v>180</v>
      </c>
      <c r="AO24" s="2"/>
      <c r="AP24" s="2"/>
      <c r="AQ24" s="2"/>
      <c r="AR24" s="2"/>
      <c r="AS24" s="2"/>
      <c r="AT24" s="2"/>
      <c r="AU24" s="2"/>
      <c r="AV24" s="2"/>
      <c r="AW24" s="2"/>
    </row>
    <row r="25" spans="2:49" x14ac:dyDescent="0.2">
      <c r="B25" s="15" t="s">
        <v>24</v>
      </c>
      <c r="C25" s="17">
        <f>C4-C23</f>
        <v>24.625</v>
      </c>
      <c r="AE25" s="58">
        <f t="shared" si="0"/>
        <v>182</v>
      </c>
      <c r="AF25" s="58">
        <f t="shared" si="1"/>
        <v>191</v>
      </c>
      <c r="AG25" s="38" t="e">
        <f>IFERROR(AVERAGEIFS(data_brute!M:M,data_brute!J:J,"&gt;="&amp;AE25,data_brute!J:J,"&lt;="&amp;AF25),NA())</f>
        <v>#N/A</v>
      </c>
      <c r="AH25" s="58" t="e">
        <f t="shared" si="2"/>
        <v>#N/A</v>
      </c>
      <c r="AK25" s="58">
        <f t="shared" si="3"/>
        <v>182</v>
      </c>
      <c r="AL25" s="58">
        <f t="shared" si="4"/>
        <v>191</v>
      </c>
      <c r="AM25" s="38">
        <f ca="1">IFERROR(AVERAGEIFS(data_brute!M:M,data_brute!J:J,"&lt;="&amp;AL25),NA())</f>
        <v>24.686363636363652</v>
      </c>
      <c r="AN25" s="58">
        <f t="shared" ca="1" si="5"/>
        <v>190</v>
      </c>
      <c r="AO25" s="2"/>
      <c r="AP25" s="2"/>
      <c r="AQ25" s="2"/>
      <c r="AR25" s="2"/>
      <c r="AS25" s="2"/>
      <c r="AT25" s="2"/>
      <c r="AU25" s="2"/>
      <c r="AV25" s="2"/>
      <c r="AW25" s="2"/>
    </row>
    <row r="26" spans="2:49" x14ac:dyDescent="0.2">
      <c r="B26" s="10" t="s">
        <v>25</v>
      </c>
      <c r="C26" s="42">
        <f>C4+C23</f>
        <v>25.375</v>
      </c>
      <c r="AE26" s="58">
        <f t="shared" si="0"/>
        <v>192</v>
      </c>
      <c r="AF26" s="58">
        <f t="shared" si="1"/>
        <v>201</v>
      </c>
      <c r="AG26" s="38" t="e">
        <f>IFERROR(AVERAGEIFS(data_brute!M:M,data_brute!J:J,"&gt;="&amp;AE26,data_brute!J:J,"&lt;="&amp;AF26),NA())</f>
        <v>#N/A</v>
      </c>
      <c r="AH26" s="58" t="e">
        <f t="shared" si="2"/>
        <v>#N/A</v>
      </c>
      <c r="AK26" s="58">
        <f t="shared" si="3"/>
        <v>192</v>
      </c>
      <c r="AL26" s="58">
        <f t="shared" si="4"/>
        <v>201</v>
      </c>
      <c r="AM26" s="38">
        <f ca="1">IFERROR(AVERAGEIFS(data_brute!M:M,data_brute!J:J,"&lt;="&amp;AL26),NA())</f>
        <v>24.686363636363652</v>
      </c>
      <c r="AN26" s="58">
        <f t="shared" ca="1" si="5"/>
        <v>200</v>
      </c>
      <c r="AO26" s="2"/>
      <c r="AP26" s="2"/>
      <c r="AQ26" s="2"/>
      <c r="AR26" s="2"/>
      <c r="AS26" s="2"/>
      <c r="AT26" s="2"/>
      <c r="AU26" s="2"/>
      <c r="AV26" s="2"/>
      <c r="AW26" s="2"/>
    </row>
    <row r="27" spans="2:49" x14ac:dyDescent="0.2">
      <c r="AE27" s="58">
        <f t="shared" si="0"/>
        <v>202</v>
      </c>
      <c r="AF27" s="58">
        <f t="shared" si="1"/>
        <v>211</v>
      </c>
      <c r="AG27" s="38" t="e">
        <f>IFERROR(AVERAGEIFS(data_brute!M:M,data_brute!J:J,"&gt;="&amp;AE27,data_brute!J:J,"&lt;="&amp;AF27),NA())</f>
        <v>#N/A</v>
      </c>
      <c r="AH27" s="58" t="e">
        <f t="shared" si="2"/>
        <v>#N/A</v>
      </c>
      <c r="AK27" s="58">
        <f t="shared" si="3"/>
        <v>202</v>
      </c>
      <c r="AL27" s="58">
        <f t="shared" si="4"/>
        <v>211</v>
      </c>
      <c r="AM27" s="38">
        <f ca="1">IFERROR(AVERAGEIFS(data_brute!M:M,data_brute!J:J,"&lt;="&amp;AL27),NA())</f>
        <v>24.686363636363652</v>
      </c>
      <c r="AN27" s="58">
        <f t="shared" ca="1" si="5"/>
        <v>210</v>
      </c>
      <c r="AO27" s="2"/>
      <c r="AP27" s="2"/>
      <c r="AQ27" s="2"/>
      <c r="AR27" s="2"/>
      <c r="AS27" s="2"/>
      <c r="AT27" s="2"/>
      <c r="AU27" s="2"/>
      <c r="AV27" s="2"/>
      <c r="AW27" s="2"/>
    </row>
    <row r="28" spans="2:49" x14ac:dyDescent="0.2">
      <c r="B28" s="2"/>
      <c r="C28" s="2"/>
      <c r="AE28" s="58">
        <f t="shared" si="0"/>
        <v>212</v>
      </c>
      <c r="AF28" s="58">
        <f t="shared" si="1"/>
        <v>221</v>
      </c>
      <c r="AG28" s="38" t="e">
        <f>IFERROR(AVERAGEIFS(data_brute!M:M,data_brute!J:J,"&gt;="&amp;AE28,data_brute!J:J,"&lt;="&amp;AF28),NA())</f>
        <v>#N/A</v>
      </c>
      <c r="AH28" s="58" t="e">
        <f t="shared" si="2"/>
        <v>#N/A</v>
      </c>
      <c r="AK28" s="58">
        <f t="shared" si="3"/>
        <v>212</v>
      </c>
      <c r="AL28" s="58">
        <f t="shared" si="4"/>
        <v>221</v>
      </c>
      <c r="AM28" s="38">
        <f ca="1">IFERROR(AVERAGEIFS(data_brute!M:M,data_brute!J:J,"&lt;="&amp;AL28),NA())</f>
        <v>24.686363636363652</v>
      </c>
      <c r="AN28" s="58">
        <f t="shared" ca="1" si="5"/>
        <v>220</v>
      </c>
      <c r="AO28" s="2"/>
      <c r="AP28" s="2"/>
      <c r="AQ28" s="2"/>
      <c r="AR28" s="2"/>
      <c r="AS28" s="2"/>
      <c r="AT28" s="2"/>
      <c r="AU28" s="2"/>
      <c r="AV28" s="2"/>
      <c r="AW28" s="2"/>
    </row>
    <row r="29" spans="2:49" x14ac:dyDescent="0.2">
      <c r="B29" s="2"/>
      <c r="C29" s="2"/>
      <c r="AE29" s="58">
        <f t="shared" si="0"/>
        <v>222</v>
      </c>
      <c r="AF29" s="58">
        <f t="shared" si="1"/>
        <v>231</v>
      </c>
      <c r="AG29" s="38" t="e">
        <f>IFERROR(AVERAGEIFS(data_brute!M:M,data_brute!J:J,"&gt;="&amp;AE29,data_brute!J:J,"&lt;="&amp;AF29),NA())</f>
        <v>#N/A</v>
      </c>
      <c r="AH29" s="58" t="e">
        <f t="shared" si="2"/>
        <v>#N/A</v>
      </c>
      <c r="AK29" s="58">
        <f t="shared" si="3"/>
        <v>222</v>
      </c>
      <c r="AL29" s="58">
        <f t="shared" si="4"/>
        <v>231</v>
      </c>
      <c r="AM29" s="38">
        <f ca="1">IFERROR(AVERAGEIFS(data_brute!M:M,data_brute!J:J,"&lt;="&amp;AL29),NA())</f>
        <v>24.686363636363652</v>
      </c>
      <c r="AN29" s="58">
        <f t="shared" ca="1" si="5"/>
        <v>230</v>
      </c>
      <c r="AO29" s="2"/>
      <c r="AP29" s="2"/>
      <c r="AQ29" s="2"/>
      <c r="AR29" s="2"/>
      <c r="AS29" s="2"/>
      <c r="AT29" s="2"/>
      <c r="AU29" s="2"/>
      <c r="AV29" s="2"/>
      <c r="AW29" s="2"/>
    </row>
    <row r="30" spans="2:49" x14ac:dyDescent="0.2">
      <c r="AE30" s="58">
        <f t="shared" si="0"/>
        <v>232</v>
      </c>
      <c r="AF30" s="58">
        <f t="shared" si="1"/>
        <v>241</v>
      </c>
      <c r="AG30" s="38" t="e">
        <f>IFERROR(AVERAGEIFS(data_brute!M:M,data_brute!J:J,"&gt;="&amp;AE30,data_brute!J:J,"&lt;="&amp;AF30),NA())</f>
        <v>#N/A</v>
      </c>
      <c r="AH30" s="58" t="e">
        <f t="shared" si="2"/>
        <v>#N/A</v>
      </c>
      <c r="AK30" s="58">
        <f t="shared" si="3"/>
        <v>232</v>
      </c>
      <c r="AL30" s="58">
        <f t="shared" si="4"/>
        <v>241</v>
      </c>
      <c r="AM30" s="38">
        <f ca="1">IFERROR(AVERAGEIFS(data_brute!M:M,data_brute!J:J,"&lt;="&amp;AL30),NA())</f>
        <v>24.686363636363652</v>
      </c>
      <c r="AN30" s="58">
        <f t="shared" ca="1" si="5"/>
        <v>240</v>
      </c>
      <c r="AO30" s="2"/>
      <c r="AP30" s="2"/>
      <c r="AQ30" s="2"/>
      <c r="AR30" s="2"/>
      <c r="AS30" s="2"/>
      <c r="AT30" s="2"/>
      <c r="AU30" s="2"/>
      <c r="AV30" s="2"/>
      <c r="AW30" s="2"/>
    </row>
    <row r="31" spans="2:49" x14ac:dyDescent="0.2">
      <c r="B31" s="31"/>
      <c r="AE31" s="58">
        <f t="shared" si="0"/>
        <v>242</v>
      </c>
      <c r="AF31" s="58">
        <f t="shared" si="1"/>
        <v>251</v>
      </c>
      <c r="AG31" s="38" t="e">
        <f>IFERROR(AVERAGEIFS(data_brute!M:M,data_brute!J:J,"&gt;="&amp;AE31,data_brute!J:J,"&lt;="&amp;AF31),NA())</f>
        <v>#N/A</v>
      </c>
      <c r="AH31" s="58" t="e">
        <f t="shared" si="2"/>
        <v>#N/A</v>
      </c>
      <c r="AK31" s="58">
        <f t="shared" si="3"/>
        <v>242</v>
      </c>
      <c r="AL31" s="58">
        <f t="shared" si="4"/>
        <v>251</v>
      </c>
      <c r="AM31" s="38">
        <f ca="1">IFERROR(AVERAGEIFS(data_brute!M:M,data_brute!J:J,"&lt;="&amp;AL31),NA())</f>
        <v>24.686363636363652</v>
      </c>
      <c r="AN31" s="58">
        <f t="shared" ca="1" si="5"/>
        <v>250</v>
      </c>
      <c r="AO31" s="2"/>
      <c r="AP31" s="2"/>
      <c r="AQ31" s="2"/>
      <c r="AR31" s="2"/>
      <c r="AS31" s="2"/>
      <c r="AT31" s="2"/>
      <c r="AU31" s="2"/>
      <c r="AV31" s="2"/>
      <c r="AW31" s="2"/>
    </row>
    <row r="32" spans="2:49" x14ac:dyDescent="0.2">
      <c r="AE32" s="58">
        <f t="shared" si="0"/>
        <v>252</v>
      </c>
      <c r="AF32" s="58">
        <f t="shared" si="1"/>
        <v>261</v>
      </c>
      <c r="AG32" s="38" t="e">
        <f>IFERROR(AVERAGEIFS(data_brute!M:M,data_brute!J:J,"&gt;="&amp;AE32,data_brute!J:J,"&lt;="&amp;AF32),NA())</f>
        <v>#N/A</v>
      </c>
      <c r="AH32" s="58" t="e">
        <f t="shared" si="2"/>
        <v>#N/A</v>
      </c>
      <c r="AK32" s="58">
        <f t="shared" si="3"/>
        <v>252</v>
      </c>
      <c r="AL32" s="58">
        <f t="shared" si="4"/>
        <v>261</v>
      </c>
      <c r="AM32" s="38">
        <f ca="1">IFERROR(AVERAGEIFS(data_brute!M:M,data_brute!J:J,"&lt;="&amp;AL32),NA())</f>
        <v>24.686363636363652</v>
      </c>
      <c r="AN32" s="58">
        <f t="shared" ca="1" si="5"/>
        <v>260</v>
      </c>
      <c r="AO32" s="2"/>
      <c r="AP32" s="2"/>
      <c r="AQ32" s="2"/>
      <c r="AR32" s="2"/>
      <c r="AS32" s="2"/>
      <c r="AT32" s="2"/>
      <c r="AU32" s="2"/>
      <c r="AV32" s="2"/>
      <c r="AW32" s="2"/>
    </row>
    <row r="33" spans="11:49" x14ac:dyDescent="0.2">
      <c r="AE33" s="58">
        <f t="shared" si="0"/>
        <v>262</v>
      </c>
      <c r="AF33" s="58">
        <f t="shared" si="1"/>
        <v>271</v>
      </c>
      <c r="AG33" s="38" t="e">
        <f>IFERROR(AVERAGEIFS(data_brute!M:M,data_brute!J:J,"&gt;="&amp;AE33,data_brute!J:J,"&lt;="&amp;AF33),NA())</f>
        <v>#N/A</v>
      </c>
      <c r="AH33" s="58" t="e">
        <f t="shared" si="2"/>
        <v>#N/A</v>
      </c>
      <c r="AK33" s="58">
        <f t="shared" si="3"/>
        <v>262</v>
      </c>
      <c r="AL33" s="58">
        <f t="shared" si="4"/>
        <v>271</v>
      </c>
      <c r="AM33" s="38">
        <f ca="1">IFERROR(AVERAGEIFS(data_brute!M:M,data_brute!J:J,"&lt;="&amp;AL33),NA())</f>
        <v>24.686363636363652</v>
      </c>
      <c r="AN33" s="58">
        <f t="shared" ca="1" si="5"/>
        <v>270</v>
      </c>
      <c r="AO33" s="2"/>
      <c r="AP33" s="2"/>
      <c r="AQ33" s="2"/>
      <c r="AR33" s="2"/>
      <c r="AS33" s="2"/>
      <c r="AT33" s="2"/>
      <c r="AU33" s="2"/>
      <c r="AV33" s="2"/>
      <c r="AW33" s="2"/>
    </row>
    <row r="34" spans="11:49" s="2" customFormat="1" x14ac:dyDescent="0.2">
      <c r="K34" s="9"/>
      <c r="S34" s="9"/>
      <c r="AB34" s="38"/>
      <c r="AC34" s="9"/>
      <c r="AE34" s="58">
        <f t="shared" si="0"/>
        <v>272</v>
      </c>
      <c r="AF34" s="58">
        <f t="shared" si="1"/>
        <v>281</v>
      </c>
      <c r="AG34" s="38" t="e">
        <f>IFERROR(AVERAGEIFS(data_brute!M:M,data_brute!J:J,"&gt;="&amp;AE34,data_brute!J:J,"&lt;="&amp;AF34),NA())</f>
        <v>#N/A</v>
      </c>
      <c r="AH34" s="58" t="e">
        <f t="shared" si="2"/>
        <v>#N/A</v>
      </c>
      <c r="AI34" s="9"/>
      <c r="AK34" s="58">
        <f t="shared" si="3"/>
        <v>272</v>
      </c>
      <c r="AL34" s="58">
        <f t="shared" si="4"/>
        <v>281</v>
      </c>
      <c r="AM34" s="38">
        <f ca="1">IFERROR(AVERAGEIFS(data_brute!M:M,data_brute!J:J,"&lt;="&amp;AL34),NA())</f>
        <v>24.686363636363652</v>
      </c>
      <c r="AN34" s="58">
        <f t="shared" ca="1" si="5"/>
        <v>280</v>
      </c>
    </row>
    <row r="35" spans="11:49" x14ac:dyDescent="0.2">
      <c r="AE35" s="58">
        <f t="shared" si="0"/>
        <v>282</v>
      </c>
      <c r="AF35" s="58">
        <f t="shared" si="1"/>
        <v>291</v>
      </c>
      <c r="AG35" s="38" t="e">
        <f>IFERROR(AVERAGEIFS(data_brute!M:M,data_brute!J:J,"&gt;="&amp;AE35,data_brute!J:J,"&lt;="&amp;AF35),NA())</f>
        <v>#N/A</v>
      </c>
      <c r="AH35" s="58" t="e">
        <f t="shared" si="2"/>
        <v>#N/A</v>
      </c>
      <c r="AK35" s="58">
        <f t="shared" si="3"/>
        <v>282</v>
      </c>
      <c r="AL35" s="58">
        <f t="shared" si="4"/>
        <v>291</v>
      </c>
      <c r="AM35" s="38">
        <f ca="1">IFERROR(AVERAGEIFS(data_brute!M:M,data_brute!J:J,"&lt;="&amp;AL35),NA())</f>
        <v>24.686363636363652</v>
      </c>
      <c r="AN35" s="58">
        <f t="shared" ca="1" si="5"/>
        <v>290</v>
      </c>
      <c r="AO35" s="2"/>
      <c r="AP35" s="2"/>
      <c r="AQ35" s="2"/>
      <c r="AR35" s="2"/>
      <c r="AS35" s="2"/>
      <c r="AT35" s="2"/>
      <c r="AU35" s="2"/>
      <c r="AV35" s="2"/>
      <c r="AW35" s="2"/>
    </row>
    <row r="36" spans="11:49" x14ac:dyDescent="0.2">
      <c r="AE36" s="58">
        <f t="shared" si="0"/>
        <v>292</v>
      </c>
      <c r="AF36" s="58">
        <f t="shared" si="1"/>
        <v>301</v>
      </c>
      <c r="AG36" s="38" t="e">
        <f>IFERROR(AVERAGEIFS(data_brute!M:M,data_brute!J:J,"&gt;="&amp;AE36,data_brute!J:J,"&lt;="&amp;AF36),NA())</f>
        <v>#N/A</v>
      </c>
      <c r="AH36" s="58" t="e">
        <f t="shared" si="2"/>
        <v>#N/A</v>
      </c>
      <c r="AK36" s="58">
        <f t="shared" si="3"/>
        <v>292</v>
      </c>
      <c r="AL36" s="58">
        <f t="shared" si="4"/>
        <v>301</v>
      </c>
      <c r="AM36" s="38">
        <f ca="1">IFERROR(AVERAGEIFS(data_brute!M:M,data_brute!J:J,"&lt;="&amp;AL36),NA())</f>
        <v>24.686363636363652</v>
      </c>
      <c r="AN36" s="58">
        <f t="shared" ca="1" si="5"/>
        <v>300</v>
      </c>
      <c r="AO36" s="2"/>
      <c r="AP36" s="2"/>
      <c r="AQ36" s="2"/>
      <c r="AR36" s="2"/>
      <c r="AS36" s="2"/>
      <c r="AT36" s="2"/>
      <c r="AU36" s="2"/>
      <c r="AV36" s="2"/>
      <c r="AW36" s="2"/>
    </row>
    <row r="37" spans="11:49" x14ac:dyDescent="0.2">
      <c r="AE37" s="58">
        <f t="shared" si="0"/>
        <v>302</v>
      </c>
      <c r="AF37" s="58">
        <f t="shared" si="1"/>
        <v>311</v>
      </c>
      <c r="AG37" s="38" t="e">
        <f>IFERROR(AVERAGEIFS(data_brute!M:M,data_brute!J:J,"&gt;="&amp;AE37,data_brute!J:J,"&lt;="&amp;AF37),NA())</f>
        <v>#N/A</v>
      </c>
      <c r="AH37" s="58" t="e">
        <f t="shared" si="2"/>
        <v>#N/A</v>
      </c>
      <c r="AK37" s="58">
        <f t="shared" si="3"/>
        <v>302</v>
      </c>
      <c r="AL37" s="58">
        <f t="shared" si="4"/>
        <v>311</v>
      </c>
      <c r="AM37" s="38">
        <f ca="1">IFERROR(AVERAGEIFS(data_brute!M:M,data_brute!J:J,"&lt;="&amp;AL37),NA())</f>
        <v>24.686363636363652</v>
      </c>
      <c r="AN37" s="58">
        <f t="shared" ca="1" si="5"/>
        <v>310</v>
      </c>
      <c r="AO37" s="2"/>
      <c r="AP37" s="2"/>
      <c r="AQ37" s="2"/>
      <c r="AR37" s="2"/>
      <c r="AS37" s="2"/>
      <c r="AT37" s="2"/>
      <c r="AU37" s="2"/>
      <c r="AV37" s="2"/>
      <c r="AW37" s="2"/>
    </row>
    <row r="38" spans="11:49" x14ac:dyDescent="0.2">
      <c r="AE38" s="58">
        <f t="shared" si="0"/>
        <v>312</v>
      </c>
      <c r="AF38" s="58">
        <f t="shared" si="1"/>
        <v>321</v>
      </c>
      <c r="AG38" s="38" t="e">
        <f>IFERROR(AVERAGEIFS(data_brute!M:M,data_brute!J:J,"&gt;="&amp;AE38,data_brute!J:J,"&lt;="&amp;AF38),NA())</f>
        <v>#N/A</v>
      </c>
      <c r="AH38" s="58" t="e">
        <f t="shared" si="2"/>
        <v>#N/A</v>
      </c>
      <c r="AK38" s="58">
        <f t="shared" si="3"/>
        <v>312</v>
      </c>
      <c r="AL38" s="58">
        <f t="shared" si="4"/>
        <v>321</v>
      </c>
      <c r="AM38" s="38">
        <f ca="1">IFERROR(AVERAGEIFS(data_brute!M:M,data_brute!J:J,"&lt;="&amp;AL38),NA())</f>
        <v>24.686363636363652</v>
      </c>
      <c r="AN38" s="58">
        <f t="shared" ca="1" si="5"/>
        <v>320</v>
      </c>
      <c r="AO38" s="2"/>
      <c r="AP38" s="2"/>
      <c r="AQ38" s="2"/>
      <c r="AR38" s="2"/>
      <c r="AS38" s="2"/>
      <c r="AT38" s="2"/>
      <c r="AU38" s="2"/>
      <c r="AV38" s="2"/>
      <c r="AW38" s="2"/>
    </row>
    <row r="39" spans="11:49" x14ac:dyDescent="0.2">
      <c r="AE39" s="58">
        <f t="shared" si="0"/>
        <v>322</v>
      </c>
      <c r="AF39" s="58">
        <f t="shared" si="1"/>
        <v>331</v>
      </c>
      <c r="AG39" s="38" t="e">
        <f>IFERROR(AVERAGEIFS(data_brute!M:M,data_brute!J:J,"&gt;="&amp;AE39,data_brute!J:J,"&lt;="&amp;AF39),NA())</f>
        <v>#N/A</v>
      </c>
      <c r="AH39" s="58" t="e">
        <f t="shared" si="2"/>
        <v>#N/A</v>
      </c>
      <c r="AK39" s="58">
        <f t="shared" si="3"/>
        <v>322</v>
      </c>
      <c r="AL39" s="58">
        <f t="shared" si="4"/>
        <v>331</v>
      </c>
      <c r="AM39" s="38">
        <f ca="1">IFERROR(AVERAGEIFS(data_brute!M:M,data_brute!J:J,"&lt;="&amp;AL39),NA())</f>
        <v>24.686363636363652</v>
      </c>
      <c r="AN39" s="58">
        <f t="shared" ca="1" si="5"/>
        <v>330</v>
      </c>
    </row>
    <row r="40" spans="11:49" x14ac:dyDescent="0.2">
      <c r="AE40" s="58">
        <f t="shared" si="0"/>
        <v>332</v>
      </c>
      <c r="AF40" s="58">
        <f t="shared" si="1"/>
        <v>341</v>
      </c>
      <c r="AG40" s="38" t="e">
        <f>IFERROR(AVERAGEIFS(data_brute!M:M,data_brute!J:J,"&gt;="&amp;AE40,data_brute!J:J,"&lt;="&amp;AF40),NA())</f>
        <v>#N/A</v>
      </c>
      <c r="AH40" s="58" t="e">
        <f t="shared" si="2"/>
        <v>#N/A</v>
      </c>
      <c r="AK40" s="58">
        <f t="shared" si="3"/>
        <v>332</v>
      </c>
      <c r="AL40" s="58">
        <f t="shared" si="4"/>
        <v>341</v>
      </c>
      <c r="AM40" s="38">
        <f ca="1">IFERROR(AVERAGEIFS(data_brute!M:M,data_brute!J:J,"&lt;="&amp;AL40),NA())</f>
        <v>24.686363636363652</v>
      </c>
      <c r="AN40" s="58">
        <f t="shared" ca="1" si="5"/>
        <v>340</v>
      </c>
    </row>
    <row r="41" spans="11:49" x14ac:dyDescent="0.2">
      <c r="AE41" s="58">
        <f t="shared" si="0"/>
        <v>342</v>
      </c>
      <c r="AF41" s="58">
        <f t="shared" si="1"/>
        <v>351</v>
      </c>
      <c r="AG41" s="38" t="e">
        <f>IFERROR(AVERAGEIFS(data_brute!M:M,data_brute!J:J,"&gt;="&amp;AE41,data_brute!J:J,"&lt;="&amp;AF41),NA())</f>
        <v>#N/A</v>
      </c>
      <c r="AH41" s="58" t="e">
        <f t="shared" si="2"/>
        <v>#N/A</v>
      </c>
      <c r="AK41" s="58">
        <f t="shared" si="3"/>
        <v>342</v>
      </c>
      <c r="AL41" s="58">
        <f t="shared" si="4"/>
        <v>351</v>
      </c>
      <c r="AM41" s="38">
        <f ca="1">IFERROR(AVERAGEIFS(data_brute!M:M,data_brute!J:J,"&lt;="&amp;AL41),NA())</f>
        <v>24.686363636363652</v>
      </c>
      <c r="AN41" s="58">
        <f t="shared" ca="1" si="5"/>
        <v>350</v>
      </c>
    </row>
    <row r="42" spans="11:49" x14ac:dyDescent="0.2">
      <c r="AE42" s="58">
        <f t="shared" si="0"/>
        <v>352</v>
      </c>
      <c r="AF42" s="58">
        <f t="shared" si="1"/>
        <v>361</v>
      </c>
      <c r="AG42" s="38" t="e">
        <f>IFERROR(AVERAGEIFS(data_brute!M:M,data_brute!J:J,"&gt;="&amp;AE42,data_brute!J:J,"&lt;="&amp;AF42),NA())</f>
        <v>#N/A</v>
      </c>
      <c r="AH42" s="58" t="e">
        <f t="shared" si="2"/>
        <v>#N/A</v>
      </c>
      <c r="AK42" s="58">
        <f t="shared" si="3"/>
        <v>352</v>
      </c>
      <c r="AL42" s="58">
        <f t="shared" si="4"/>
        <v>361</v>
      </c>
      <c r="AM42" s="38">
        <f ca="1">IFERROR(AVERAGEIFS(data_brute!M:M,data_brute!J:J,"&lt;="&amp;AL42),NA())</f>
        <v>24.686363636363652</v>
      </c>
      <c r="AN42" s="58">
        <f t="shared" ca="1" si="5"/>
        <v>360</v>
      </c>
    </row>
    <row r="43" spans="11:49" x14ac:dyDescent="0.2">
      <c r="AE43" s="2"/>
      <c r="AF43" s="2"/>
      <c r="AG43" s="38"/>
      <c r="AH43" s="58"/>
    </row>
    <row r="44" spans="11:49" x14ac:dyDescent="0.2">
      <c r="AE44" s="2"/>
      <c r="AF44" s="2"/>
      <c r="AG44" s="38"/>
      <c r="AH44" s="58"/>
    </row>
    <row r="45" spans="11:49" x14ac:dyDescent="0.2">
      <c r="AE45" s="2"/>
      <c r="AF45" s="2"/>
      <c r="AG45" s="38"/>
      <c r="AH45" s="58"/>
    </row>
    <row r="46" spans="11:49" x14ac:dyDescent="0.2">
      <c r="AE46" s="2"/>
      <c r="AF46" s="2"/>
      <c r="AG46" s="38"/>
      <c r="AH46" s="58"/>
    </row>
    <row r="47" spans="11:49" x14ac:dyDescent="0.2">
      <c r="AE47" s="2"/>
      <c r="AF47" s="2"/>
      <c r="AG47" s="38"/>
      <c r="AH47" s="58"/>
    </row>
    <row r="48" spans="11:49" x14ac:dyDescent="0.2">
      <c r="AE48" s="2"/>
      <c r="AF48" s="2"/>
      <c r="AG48" s="38"/>
      <c r="AH48" s="58"/>
    </row>
    <row r="49" spans="31:34" x14ac:dyDescent="0.2">
      <c r="AE49" s="2"/>
      <c r="AF49" s="2"/>
      <c r="AG49" s="38"/>
      <c r="AH49" s="58"/>
    </row>
    <row r="50" spans="31:34" x14ac:dyDescent="0.2">
      <c r="AE50" s="2"/>
      <c r="AF50" s="2"/>
      <c r="AG50" s="38"/>
      <c r="AH50" s="58"/>
    </row>
    <row r="51" spans="31:34" x14ac:dyDescent="0.2">
      <c r="AE51" s="2"/>
      <c r="AF51" s="2"/>
      <c r="AG51" s="38"/>
      <c r="AH51" s="58"/>
    </row>
    <row r="52" spans="31:34" x14ac:dyDescent="0.2">
      <c r="AE52" s="2"/>
      <c r="AF52" s="2"/>
      <c r="AG52" s="38"/>
      <c r="AH52" s="58"/>
    </row>
    <row r="53" spans="31:34" x14ac:dyDescent="0.2">
      <c r="AE53" s="2"/>
      <c r="AF53" s="2"/>
      <c r="AG53" s="38"/>
      <c r="AH53" s="58"/>
    </row>
    <row r="54" spans="31:34" x14ac:dyDescent="0.2">
      <c r="AE54" s="2"/>
      <c r="AF54" s="2"/>
      <c r="AG54" s="38"/>
      <c r="AH54" s="58"/>
    </row>
    <row r="55" spans="31:34" x14ac:dyDescent="0.2">
      <c r="AE55" s="2"/>
      <c r="AF55" s="2"/>
      <c r="AG55" s="38"/>
      <c r="AH55" s="58"/>
    </row>
    <row r="56" spans="31:34" x14ac:dyDescent="0.2">
      <c r="AE56" s="2"/>
      <c r="AF56" s="2"/>
      <c r="AG56" s="38"/>
      <c r="AH56" s="58"/>
    </row>
    <row r="57" spans="31:34" x14ac:dyDescent="0.2">
      <c r="AE57" s="2"/>
      <c r="AF57" s="2"/>
      <c r="AG57" s="38"/>
      <c r="AH57" s="58"/>
    </row>
    <row r="58" spans="31:34" x14ac:dyDescent="0.2">
      <c r="AE58" s="2"/>
      <c r="AF58" s="2"/>
      <c r="AG58" s="38"/>
      <c r="AH58" s="58"/>
    </row>
    <row r="59" spans="31:34" x14ac:dyDescent="0.2">
      <c r="AE59" s="2"/>
      <c r="AF59" s="2"/>
      <c r="AG59" s="38"/>
      <c r="AH59" s="58"/>
    </row>
    <row r="60" spans="31:34" x14ac:dyDescent="0.2">
      <c r="AE60" s="2"/>
      <c r="AF60" s="2"/>
      <c r="AG60" s="38"/>
      <c r="AH60" s="58"/>
    </row>
    <row r="61" spans="31:34" x14ac:dyDescent="0.2">
      <c r="AE61" s="2"/>
      <c r="AF61" s="2"/>
      <c r="AG61" s="38"/>
      <c r="AH61" s="58"/>
    </row>
    <row r="62" spans="31:34" x14ac:dyDescent="0.2">
      <c r="AE62" s="2"/>
      <c r="AF62" s="2"/>
      <c r="AG62" s="38"/>
      <c r="AH62" s="58"/>
    </row>
    <row r="63" spans="31:34" x14ac:dyDescent="0.2">
      <c r="AE63" s="2"/>
      <c r="AF63" s="2"/>
      <c r="AG63" s="38"/>
      <c r="AH63" s="58"/>
    </row>
    <row r="64" spans="31:34" x14ac:dyDescent="0.2">
      <c r="AE64" s="2"/>
      <c r="AF64" s="2"/>
      <c r="AG64" s="38"/>
      <c r="AH64" s="58"/>
    </row>
    <row r="65" spans="31:34" x14ac:dyDescent="0.2">
      <c r="AE65" s="2"/>
      <c r="AF65" s="2"/>
      <c r="AG65" s="38"/>
      <c r="AH65" s="58"/>
    </row>
    <row r="66" spans="31:34" x14ac:dyDescent="0.2">
      <c r="AE66" s="2"/>
      <c r="AF66" s="2"/>
      <c r="AG66" s="38"/>
      <c r="AH66" s="58"/>
    </row>
    <row r="67" spans="31:34" x14ac:dyDescent="0.2">
      <c r="AE67" s="2"/>
      <c r="AF67" s="2"/>
      <c r="AG67" s="38"/>
      <c r="AH67" s="58"/>
    </row>
    <row r="68" spans="31:34" x14ac:dyDescent="0.2">
      <c r="AE68" s="2"/>
      <c r="AF68" s="2"/>
      <c r="AG68" s="38"/>
      <c r="AH68" s="58"/>
    </row>
    <row r="69" spans="31:34" x14ac:dyDescent="0.2">
      <c r="AE69" s="2"/>
      <c r="AF69" s="2"/>
      <c r="AG69" s="38"/>
      <c r="AH69" s="58"/>
    </row>
    <row r="70" spans="31:34" x14ac:dyDescent="0.2">
      <c r="AE70" s="2"/>
      <c r="AF70" s="2"/>
      <c r="AG70" s="38"/>
      <c r="AH70" s="58"/>
    </row>
    <row r="71" spans="31:34" x14ac:dyDescent="0.2">
      <c r="AE71" s="2"/>
      <c r="AF71" s="2"/>
      <c r="AG71" s="38"/>
      <c r="AH71" s="58"/>
    </row>
    <row r="72" spans="31:34" x14ac:dyDescent="0.2">
      <c r="AE72" s="2"/>
      <c r="AF72" s="2"/>
      <c r="AG72" s="38"/>
      <c r="AH72" s="58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B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9" t="s">
        <v>30</v>
      </c>
      <c r="C2" s="49" t="s">
        <v>31</v>
      </c>
      <c r="D2" s="49" t="s">
        <v>32</v>
      </c>
      <c r="E2" s="49" t="s">
        <v>33</v>
      </c>
      <c r="F2" s="49" t="s">
        <v>51</v>
      </c>
      <c r="G2" s="49" t="s">
        <v>52</v>
      </c>
      <c r="H2" s="49" t="s">
        <v>59</v>
      </c>
      <c r="I2" s="50" t="s">
        <v>60</v>
      </c>
      <c r="J2" s="50" t="s">
        <v>61</v>
      </c>
      <c r="K2" s="50" t="s">
        <v>62</v>
      </c>
      <c r="L2" s="50" t="s">
        <v>63</v>
      </c>
      <c r="M2" s="50" t="s">
        <v>64</v>
      </c>
    </row>
    <row r="3" spans="2:13" s="28" customFormat="1" ht="409.6" x14ac:dyDescent="0.2">
      <c r="B3" s="28" t="s">
        <v>84</v>
      </c>
      <c r="C3" s="28" t="s">
        <v>77</v>
      </c>
      <c r="D3" s="47" t="s">
        <v>35</v>
      </c>
      <c r="E3" s="47" t="s">
        <v>34</v>
      </c>
      <c r="F3" s="47" t="s">
        <v>57</v>
      </c>
      <c r="G3" s="47" t="s">
        <v>53</v>
      </c>
      <c r="H3" s="47" t="s">
        <v>89</v>
      </c>
      <c r="I3" s="47" t="s">
        <v>90</v>
      </c>
      <c r="J3" s="47" t="s">
        <v>90</v>
      </c>
      <c r="K3" s="47" t="s">
        <v>91</v>
      </c>
      <c r="L3" s="47" t="s">
        <v>92</v>
      </c>
      <c r="M3" s="47" t="s">
        <v>65</v>
      </c>
    </row>
    <row r="4" spans="2:13" s="28" customFormat="1" ht="17" x14ac:dyDescent="0.2">
      <c r="B4" s="28" t="s">
        <v>29</v>
      </c>
      <c r="C4" s="47" t="s">
        <v>55</v>
      </c>
      <c r="D4" s="47"/>
      <c r="E4" s="47"/>
      <c r="F4" s="47" t="s">
        <v>85</v>
      </c>
      <c r="G4" s="47"/>
      <c r="H4" s="47"/>
      <c r="I4" s="47"/>
      <c r="J4" s="47"/>
      <c r="K4" s="47"/>
      <c r="L4" s="47"/>
      <c r="M4" s="47"/>
    </row>
    <row r="5" spans="2:13" s="28" customFormat="1" ht="17" x14ac:dyDescent="0.2">
      <c r="B5" s="47" t="s">
        <v>54</v>
      </c>
      <c r="C5" s="28" t="s">
        <v>78</v>
      </c>
      <c r="D5" s="47"/>
      <c r="E5" s="47"/>
      <c r="F5" s="47" t="s">
        <v>86</v>
      </c>
      <c r="G5" s="47"/>
      <c r="H5" s="47"/>
      <c r="I5" s="47"/>
      <c r="J5" s="47"/>
      <c r="K5" s="47"/>
      <c r="L5" s="47"/>
      <c r="M5" s="47"/>
    </row>
    <row r="6" spans="2:13" s="28" customFormat="1" ht="17" x14ac:dyDescent="0.2">
      <c r="B6" s="47"/>
      <c r="C6" s="47" t="s">
        <v>79</v>
      </c>
      <c r="D6" s="47"/>
      <c r="E6" s="47"/>
      <c r="F6" s="47" t="s">
        <v>87</v>
      </c>
      <c r="G6" s="47"/>
      <c r="H6" s="47"/>
      <c r="I6" s="47"/>
      <c r="J6" s="47"/>
      <c r="K6" s="47"/>
      <c r="L6" s="47"/>
      <c r="M6" s="47"/>
    </row>
    <row r="7" spans="2:13" s="28" customFormat="1" ht="17" x14ac:dyDescent="0.2">
      <c r="B7" s="47"/>
      <c r="C7" s="28" t="s">
        <v>93</v>
      </c>
      <c r="D7" s="47"/>
      <c r="E7" s="47"/>
      <c r="F7" s="47" t="s">
        <v>75</v>
      </c>
      <c r="G7" s="47"/>
      <c r="H7" s="47"/>
      <c r="I7" s="47"/>
      <c r="J7" s="47"/>
      <c r="K7" s="47"/>
      <c r="L7" s="47"/>
      <c r="M7" s="47"/>
    </row>
    <row r="8" spans="2:13" s="28" customFormat="1" ht="18" customHeight="1" x14ac:dyDescent="0.2">
      <c r="B8" s="47"/>
      <c r="C8" s="47" t="s">
        <v>94</v>
      </c>
      <c r="D8" s="47"/>
      <c r="F8" s="47" t="s">
        <v>76</v>
      </c>
      <c r="G8" s="47"/>
      <c r="H8" s="47"/>
      <c r="I8" s="47"/>
      <c r="J8" s="47"/>
      <c r="K8" s="47"/>
      <c r="L8" s="47"/>
      <c r="M8" s="47"/>
    </row>
    <row r="9" spans="2:13" s="28" customFormat="1" ht="17" x14ac:dyDescent="0.2">
      <c r="B9" s="47"/>
      <c r="C9" s="48" t="s">
        <v>56</v>
      </c>
      <c r="D9" s="47"/>
      <c r="E9" s="47"/>
      <c r="F9" s="47" t="s">
        <v>58</v>
      </c>
      <c r="G9" s="47"/>
      <c r="H9" s="47"/>
      <c r="I9" s="47"/>
      <c r="J9" s="47"/>
      <c r="K9" s="47"/>
      <c r="L9" s="47"/>
      <c r="M9" s="47"/>
    </row>
    <row r="10" spans="2:13" s="28" customFormat="1" ht="34" x14ac:dyDescent="0.2">
      <c r="F10" s="47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zoomScale="21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1">
        <v>9</v>
      </c>
      <c r="D2" s="40"/>
      <c r="E2" s="40"/>
      <c r="F2" s="40"/>
      <c r="G2" s="40"/>
      <c r="H2" s="52">
        <v>11</v>
      </c>
    </row>
    <row r="3" spans="2:8" x14ac:dyDescent="0.2">
      <c r="B3" s="8" t="s">
        <v>66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68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67</v>
      </c>
      <c r="C9" s="2" t="b">
        <f>C3&lt;C2</f>
        <v>0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F9D77-C3B8-6E49-A35C-5E92C5080F81}">
  <sheetPr codeName="Sheet3"/>
  <dimension ref="A1:G3"/>
  <sheetViews>
    <sheetView workbookViewId="0">
      <selection activeCell="D13" sqref="D13"/>
    </sheetView>
  </sheetViews>
  <sheetFormatPr baseColWidth="10" defaultRowHeight="16" x14ac:dyDescent="0.2"/>
  <sheetData>
    <row r="1" spans="1:7" x14ac:dyDescent="0.2">
      <c r="A1" s="67">
        <v>45691</v>
      </c>
      <c r="B1" s="68">
        <v>0.42537037037037034</v>
      </c>
      <c r="C1" s="69" t="s">
        <v>80</v>
      </c>
      <c r="D1" s="69" t="s">
        <v>81</v>
      </c>
      <c r="E1" s="69"/>
      <c r="F1" s="69" t="s">
        <v>82</v>
      </c>
      <c r="G1" s="69" t="s">
        <v>83</v>
      </c>
    </row>
    <row r="2" spans="1:7" x14ac:dyDescent="0.2">
      <c r="A2" s="67">
        <v>45691</v>
      </c>
      <c r="B2" s="68">
        <v>0.4254398148148148</v>
      </c>
      <c r="C2" s="69" t="s">
        <v>80</v>
      </c>
      <c r="D2" s="69" t="s">
        <v>81</v>
      </c>
      <c r="E2" s="69"/>
      <c r="F2" s="69" t="s">
        <v>82</v>
      </c>
      <c r="G2" s="69" t="s">
        <v>83</v>
      </c>
    </row>
    <row r="3" spans="1:7" x14ac:dyDescent="0.2">
      <c r="A3" s="67">
        <v>45691</v>
      </c>
      <c r="B3" s="68">
        <v>0.42549768518518516</v>
      </c>
      <c r="C3" s="69" t="s">
        <v>80</v>
      </c>
      <c r="D3" s="69" t="s">
        <v>81</v>
      </c>
      <c r="E3" s="69"/>
      <c r="F3" s="69" t="s">
        <v>82</v>
      </c>
      <c r="G3" s="69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data_brute</vt:lpstr>
      <vt:lpstr>interface</vt:lpstr>
      <vt:lpstr>calculs_intermediaires</vt:lpstr>
      <vt:lpstr>pop_up</vt:lpstr>
      <vt:lpstr>test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2025-02-04T13:28:05Z</dcterms:modified>
</cp:coreProperties>
</file>