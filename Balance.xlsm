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D90AE494-2DFE-A64D-8FAC-BDD7FFEA210E}" xr6:coauthVersionLast="47" xr6:coauthVersionMax="47" xr10:uidLastSave="{00000000-0000-0000-0000-000000000000}"/>
  <bookViews>
    <workbookView xWindow="-3220" yWindow="-20460" windowWidth="19740" windowHeight="20140" xr2:uid="{FD83D089-3997-4046-BEF2-0815FA6C96D0}"/>
    <workbookView xWindow="8880" yWindow="-18360" windowWidth="24860" windowHeight="17520" activeTab="1" xr2:uid="{0FB36A1A-37BE-8E4B-9356-9267C663DEC9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0" l="1" a="1"/>
  <c r="I2" i="10" s="1"/>
  <c r="BR7" i="3" l="1"/>
  <c r="BS7" i="3"/>
  <c r="BT7" i="3"/>
  <c r="M2" i="10" a="1"/>
  <c r="M2" i="10" l="1"/>
  <c r="BU7" i="3"/>
  <c r="BV7" i="3"/>
  <c r="BN7" i="3"/>
  <c r="BC3" i="3" l="1"/>
  <c r="M4" i="1" s="1"/>
  <c r="BL3" i="3"/>
  <c r="M5" i="1" s="1"/>
  <c r="BK7" i="3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2" i="10" l="1" a="1"/>
  <c r="A2" i="10" s="1"/>
  <c r="F3" i="3"/>
  <c r="C22" i="3"/>
  <c r="AJ7" i="3" l="1"/>
  <c r="U7" i="3"/>
  <c r="V7" i="3" s="1"/>
  <c r="U8" i="3" s="1"/>
  <c r="J2" i="10" a="1"/>
  <c r="J2" i="10" s="1"/>
  <c r="AE7" i="3"/>
  <c r="C4" i="3"/>
  <c r="AR6" i="3" s="1"/>
  <c r="V8" i="3" l="1"/>
  <c r="W7" i="3"/>
  <c r="X7" i="3" s="1"/>
  <c r="AK7" i="3"/>
  <c r="AU6" i="3"/>
  <c r="AF7" i="3"/>
  <c r="AE8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O7" i="3" l="1"/>
  <c r="Z7" i="3"/>
  <c r="Y7" i="3"/>
  <c r="AN7" i="3"/>
  <c r="Z8" i="3"/>
  <c r="AF8" i="3"/>
  <c r="AE9" i="3" s="1"/>
  <c r="AF9" i="3" s="1"/>
  <c r="AE10" i="3" s="1"/>
  <c r="AF10" i="3" s="1"/>
  <c r="AE11" i="3" s="1"/>
  <c r="AF11" i="3" s="1"/>
  <c r="AE12" i="3" s="1"/>
  <c r="AF12" i="3" s="1"/>
  <c r="AE13" i="3" s="1"/>
  <c r="AG8" i="3"/>
  <c r="Y8" i="3"/>
  <c r="AL7" i="3"/>
  <c r="AJ8" i="3"/>
  <c r="AK8" i="3" s="1"/>
  <c r="AJ9" i="3" s="1"/>
  <c r="AK9" i="3" s="1"/>
  <c r="AJ10" i="3" s="1"/>
  <c r="AK10" i="3" s="1"/>
  <c r="AJ11" i="3" s="1"/>
  <c r="AK11" i="3" s="1"/>
  <c r="AJ12" i="3" s="1"/>
  <c r="AK12" i="3" s="1"/>
  <c r="AJ13" i="3" s="1"/>
  <c r="AK13" i="3" s="1"/>
  <c r="AJ14" i="3" s="1"/>
  <c r="AK14" i="3" s="1"/>
  <c r="AJ15" i="3" s="1"/>
  <c r="AK15" i="3" s="1"/>
  <c r="U9" i="3"/>
  <c r="W8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N12" i="3" l="1"/>
  <c r="AO12" i="3"/>
  <c r="AO10" i="3"/>
  <c r="AN14" i="3"/>
  <c r="AO11" i="3"/>
  <c r="AN15" i="3"/>
  <c r="AN10" i="3"/>
  <c r="AO9" i="3"/>
  <c r="AN9" i="3"/>
  <c r="AO13" i="3"/>
  <c r="AO15" i="3"/>
  <c r="AO14" i="3"/>
  <c r="AN8" i="3"/>
  <c r="AN11" i="3"/>
  <c r="AN13" i="3"/>
  <c r="AO8" i="3"/>
  <c r="X8" i="3"/>
  <c r="V9" i="3"/>
  <c r="Y9" i="3" s="1"/>
  <c r="AJ16" i="3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6" i="3" l="1"/>
  <c r="AO16" i="3"/>
  <c r="AN16" i="3"/>
  <c r="Z9" i="3"/>
  <c r="U10" i="3"/>
  <c r="W9" i="3"/>
  <c r="X9" i="3" s="1"/>
  <c r="AJ17" i="3"/>
  <c r="C18" i="3" a="1"/>
  <c r="C18" i="3" s="1"/>
  <c r="L4" i="1" s="1"/>
  <c r="AF14" i="3"/>
  <c r="AE15" i="3" s="1"/>
  <c r="C19" i="3" a="1"/>
  <c r="C19" i="3" s="1"/>
  <c r="AK17" i="3" l="1"/>
  <c r="AO17" i="3" s="1"/>
  <c r="AN17" i="3"/>
  <c r="V10" i="3"/>
  <c r="Y10" i="3" s="1"/>
  <c r="BJ2" i="3"/>
  <c r="L5" i="1"/>
  <c r="C21" i="3"/>
  <c r="C23" i="3" s="1"/>
  <c r="C25" i="3" s="1"/>
  <c r="AS9" i="3" s="1"/>
  <c r="BA2" i="3"/>
  <c r="AJ18" i="3"/>
  <c r="AF15" i="3"/>
  <c r="AE16" i="3" s="1"/>
  <c r="AK18" i="3" l="1"/>
  <c r="AO18" i="3"/>
  <c r="AN18" i="3"/>
  <c r="Z10" i="3"/>
  <c r="U11" i="3"/>
  <c r="W10" i="3"/>
  <c r="AB3" i="3" s="1"/>
  <c r="C26" i="3"/>
  <c r="AT10" i="3" s="1"/>
  <c r="AT13" i="3" s="1"/>
  <c r="AJ19" i="3"/>
  <c r="AF16" i="3"/>
  <c r="AE17" i="3" s="1"/>
  <c r="C2" i="1"/>
  <c r="AK19" i="3" l="1"/>
  <c r="AO19" i="3"/>
  <c r="AN19" i="3"/>
  <c r="X10" i="3"/>
  <c r="M2" i="1"/>
  <c r="V11" i="3"/>
  <c r="Y11" i="3" s="1"/>
  <c r="AJ20" i="3"/>
  <c r="AF17" i="3"/>
  <c r="AE18" i="3" s="1"/>
  <c r="AK20" i="3" l="1"/>
  <c r="AN20" i="3" s="1"/>
  <c r="AO20" i="3"/>
  <c r="Z11" i="3"/>
  <c r="U12" i="3"/>
  <c r="W11" i="3"/>
  <c r="X11" i="3" s="1"/>
  <c r="AJ21" i="3"/>
  <c r="AF18" i="3"/>
  <c r="AE19" i="3" s="1"/>
  <c r="AK21" i="3" l="1"/>
  <c r="AN21" i="3" s="1"/>
  <c r="AO21" i="3"/>
  <c r="V12" i="3"/>
  <c r="Y12" i="3" s="1"/>
  <c r="AF19" i="3"/>
  <c r="AE20" i="3" s="1"/>
  <c r="AG18" i="3"/>
  <c r="AH18" i="3" s="1"/>
  <c r="AJ22" i="3" l="1"/>
  <c r="Z12" i="3"/>
  <c r="U13" i="3"/>
  <c r="W12" i="3"/>
  <c r="X12" i="3" s="1"/>
  <c r="AF20" i="3"/>
  <c r="AE21" i="3" s="1"/>
  <c r="AG19" i="3"/>
  <c r="AH19" i="3" s="1"/>
  <c r="AK22" i="3" l="1"/>
  <c r="AJ23" i="3" s="1"/>
  <c r="AN22" i="3"/>
  <c r="AO22" i="3"/>
  <c r="V13" i="3"/>
  <c r="Y13" i="3" s="1"/>
  <c r="AF21" i="3"/>
  <c r="AE22" i="3" s="1"/>
  <c r="AG20" i="3"/>
  <c r="AH20" i="3" s="1"/>
  <c r="AK23" i="3" l="1"/>
  <c r="AJ24" i="3" s="1"/>
  <c r="AN23" i="3"/>
  <c r="AO23" i="3"/>
  <c r="Z13" i="3"/>
  <c r="U14" i="3"/>
  <c r="W13" i="3"/>
  <c r="AF22" i="3"/>
  <c r="AE23" i="3" s="1"/>
  <c r="AG21" i="3"/>
  <c r="AH21" i="3" s="1"/>
  <c r="AK24" i="3" l="1"/>
  <c r="AJ25" i="3" s="1"/>
  <c r="X13" i="3"/>
  <c r="V14" i="3"/>
  <c r="Y14" i="3" s="1"/>
  <c r="AF23" i="3"/>
  <c r="AE24" i="3" s="1"/>
  <c r="AG22" i="3"/>
  <c r="AH22" i="3" s="1"/>
  <c r="AO24" i="3" l="1"/>
  <c r="AN24" i="3"/>
  <c r="AK25" i="3"/>
  <c r="AJ26" i="3" s="1"/>
  <c r="AN25" i="3"/>
  <c r="AO25" i="3"/>
  <c r="Z14" i="3"/>
  <c r="W14" i="3"/>
  <c r="X14" i="3" s="1"/>
  <c r="U15" i="3"/>
  <c r="AF24" i="3"/>
  <c r="AE25" i="3" s="1"/>
  <c r="AG23" i="3"/>
  <c r="AH23" i="3" s="1"/>
  <c r="AK26" i="3" l="1"/>
  <c r="AJ27" i="3" s="1"/>
  <c r="AO26" i="3"/>
  <c r="AN26" i="3"/>
  <c r="V15" i="3"/>
  <c r="Y15" i="3" s="1"/>
  <c r="AF25" i="3"/>
  <c r="AE26" i="3" s="1"/>
  <c r="AG24" i="3"/>
  <c r="AH24" i="3" s="1"/>
  <c r="AK27" i="3" l="1"/>
  <c r="AJ28" i="3" s="1"/>
  <c r="AN27" i="3"/>
  <c r="AO27" i="3"/>
  <c r="Z15" i="3"/>
  <c r="W15" i="3"/>
  <c r="X15" i="3" s="1"/>
  <c r="U16" i="3"/>
  <c r="AF26" i="3"/>
  <c r="AE27" i="3" s="1"/>
  <c r="AG25" i="3"/>
  <c r="AH25" i="3" s="1"/>
  <c r="AK28" i="3" l="1"/>
  <c r="AJ29" i="3" s="1"/>
  <c r="AO28" i="3"/>
  <c r="AN28" i="3"/>
  <c r="V16" i="3"/>
  <c r="Y16" i="3" s="1"/>
  <c r="AF27" i="3"/>
  <c r="AE28" i="3" s="1"/>
  <c r="AG26" i="3"/>
  <c r="AH26" i="3" s="1"/>
  <c r="AK29" i="3" l="1"/>
  <c r="AJ30" i="3" s="1"/>
  <c r="AO29" i="3"/>
  <c r="AN29" i="3"/>
  <c r="Z16" i="3"/>
  <c r="U17" i="3"/>
  <c r="W16" i="3"/>
  <c r="X16" i="3" s="1"/>
  <c r="AF28" i="3"/>
  <c r="AE29" i="3" s="1"/>
  <c r="AG27" i="3"/>
  <c r="AH27" i="3" s="1"/>
  <c r="AK30" i="3" l="1"/>
  <c r="AJ31" i="3" s="1"/>
  <c r="AO30" i="3"/>
  <c r="AN30" i="3"/>
  <c r="V17" i="3"/>
  <c r="Y17" i="3" s="1"/>
  <c r="AF29" i="3"/>
  <c r="AE30" i="3" s="1"/>
  <c r="AG28" i="3"/>
  <c r="AH28" i="3" s="1"/>
  <c r="AK31" i="3" l="1"/>
  <c r="AJ32" i="3" s="1"/>
  <c r="AN31" i="3"/>
  <c r="AO31" i="3"/>
  <c r="Z17" i="3"/>
  <c r="W17" i="3"/>
  <c r="X17" i="3" s="1"/>
  <c r="U18" i="3"/>
  <c r="AF30" i="3"/>
  <c r="AE31" i="3" s="1"/>
  <c r="AG29" i="3"/>
  <c r="AH29" i="3" s="1"/>
  <c r="AK32" i="3" l="1"/>
  <c r="AJ33" i="3" s="1"/>
  <c r="AO32" i="3"/>
  <c r="AN32" i="3"/>
  <c r="V18" i="3"/>
  <c r="Y18" i="3" s="1"/>
  <c r="AF31" i="3"/>
  <c r="AE32" i="3" s="1"/>
  <c r="AG30" i="3"/>
  <c r="AH30" i="3" s="1"/>
  <c r="AK33" i="3" l="1"/>
  <c r="AJ34" i="3" s="1"/>
  <c r="AO33" i="3"/>
  <c r="AN33" i="3"/>
  <c r="Z18" i="3"/>
  <c r="U19" i="3"/>
  <c r="W18" i="3"/>
  <c r="X18" i="3" s="1"/>
  <c r="AF32" i="3"/>
  <c r="AE33" i="3" s="1"/>
  <c r="AG31" i="3"/>
  <c r="AH31" i="3" s="1"/>
  <c r="AK34" i="3" l="1"/>
  <c r="AJ35" i="3" s="1"/>
  <c r="AN34" i="3"/>
  <c r="AO34" i="3"/>
  <c r="V19" i="3"/>
  <c r="Y19" i="3" s="1"/>
  <c r="AF33" i="3"/>
  <c r="AE34" i="3" s="1"/>
  <c r="AG32" i="3"/>
  <c r="AH32" i="3" s="1"/>
  <c r="AK35" i="3" l="1"/>
  <c r="AJ36" i="3" s="1"/>
  <c r="AN35" i="3"/>
  <c r="AO35" i="3"/>
  <c r="Z19" i="3"/>
  <c r="W19" i="3"/>
  <c r="X19" i="3" s="1"/>
  <c r="U20" i="3"/>
  <c r="AF34" i="3"/>
  <c r="AE35" i="3" s="1"/>
  <c r="AG33" i="3"/>
  <c r="AH33" i="3" s="1"/>
  <c r="AK36" i="3" l="1"/>
  <c r="AJ37" i="3" s="1"/>
  <c r="AN36" i="3"/>
  <c r="AO36" i="3"/>
  <c r="V20" i="3"/>
  <c r="Y20" i="3" s="1"/>
  <c r="AF35" i="3"/>
  <c r="AE36" i="3" s="1"/>
  <c r="AG34" i="3"/>
  <c r="AH34" i="3" s="1"/>
  <c r="AK37" i="3" l="1"/>
  <c r="AJ38" i="3" s="1"/>
  <c r="AO37" i="3"/>
  <c r="AN37" i="3"/>
  <c r="Z20" i="3"/>
  <c r="W20" i="3"/>
  <c r="X20" i="3" s="1"/>
  <c r="U21" i="3"/>
  <c r="AF36" i="3"/>
  <c r="AE37" i="3" s="1"/>
  <c r="AG35" i="3"/>
  <c r="AH35" i="3" s="1"/>
  <c r="AK38" i="3" l="1"/>
  <c r="AJ39" i="3" s="1"/>
  <c r="AO38" i="3"/>
  <c r="AN38" i="3"/>
  <c r="V21" i="3"/>
  <c r="Y21" i="3" s="1"/>
  <c r="AF37" i="3"/>
  <c r="AE38" i="3" s="1"/>
  <c r="AG36" i="3"/>
  <c r="AH36" i="3" s="1"/>
  <c r="AK39" i="3" l="1"/>
  <c r="AJ40" i="3" s="1"/>
  <c r="AO39" i="3"/>
  <c r="AN39" i="3"/>
  <c r="Z21" i="3"/>
  <c r="W21" i="3"/>
  <c r="X21" i="3" s="1"/>
  <c r="U22" i="3"/>
  <c r="AF38" i="3"/>
  <c r="AE39" i="3" s="1"/>
  <c r="AG37" i="3"/>
  <c r="AH37" i="3" s="1"/>
  <c r="AK40" i="3" l="1"/>
  <c r="AJ41" i="3" s="1"/>
  <c r="AO40" i="3"/>
  <c r="AN40" i="3"/>
  <c r="V22" i="3"/>
  <c r="Y22" i="3" s="1"/>
  <c r="AF39" i="3"/>
  <c r="AE40" i="3" s="1"/>
  <c r="AG38" i="3"/>
  <c r="AH38" i="3" s="1"/>
  <c r="AK41" i="3" l="1"/>
  <c r="AJ42" i="3" s="1"/>
  <c r="AO41" i="3"/>
  <c r="AN41" i="3"/>
  <c r="Z22" i="3"/>
  <c r="U23" i="3"/>
  <c r="W22" i="3"/>
  <c r="X22" i="3" s="1"/>
  <c r="AG39" i="3"/>
  <c r="AH39" i="3" s="1"/>
  <c r="AF40" i="3"/>
  <c r="AE41" i="3" s="1"/>
  <c r="AK42" i="3" l="1"/>
  <c r="AJ43" i="3" s="1"/>
  <c r="AN42" i="3"/>
  <c r="AO42" i="3"/>
  <c r="V23" i="3"/>
  <c r="Y23" i="3" s="1"/>
  <c r="AF41" i="3"/>
  <c r="AE42" i="3" s="1"/>
  <c r="AG40" i="3"/>
  <c r="AH40" i="3" s="1"/>
  <c r="AK43" i="3" l="1"/>
  <c r="AO43" i="3"/>
  <c r="AN43" i="3"/>
  <c r="Z23" i="3"/>
  <c r="U24" i="3"/>
  <c r="W23" i="3"/>
  <c r="X23" i="3" s="1"/>
  <c r="AF42" i="3"/>
  <c r="AG41" i="3"/>
  <c r="AH41" i="3" s="1"/>
  <c r="AL43" i="3" l="1"/>
  <c r="AM43" i="3" s="1"/>
  <c r="AJ44" i="3"/>
  <c r="V24" i="3"/>
  <c r="Y24" i="3" s="1"/>
  <c r="AG42" i="3"/>
  <c r="AH42" i="3" s="1"/>
  <c r="AE43" i="3"/>
  <c r="K2" i="10" a="1"/>
  <c r="K2" i="10" s="1"/>
  <c r="AK44" i="3" l="1"/>
  <c r="AO44" i="3" s="1"/>
  <c r="AN44" i="3"/>
  <c r="Z24" i="3"/>
  <c r="U25" i="3"/>
  <c r="W24" i="3"/>
  <c r="X24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H8" i="3"/>
  <c r="AJ45" i="3" l="1"/>
  <c r="AL44" i="3"/>
  <c r="AM44" i="3" s="1"/>
  <c r="AG43" i="3"/>
  <c r="AH43" i="3" s="1"/>
  <c r="V25" i="3"/>
  <c r="Y25" i="3" s="1"/>
  <c r="AF44" i="3"/>
  <c r="AE45" i="3" s="1"/>
  <c r="AX8" i="3" a="1"/>
  <c r="AX8" i="3" s="1"/>
  <c r="BA8" i="3" a="1"/>
  <c r="BG8" i="3" a="1"/>
  <c r="BG8" i="3" s="1"/>
  <c r="BJ8" i="3" a="1"/>
  <c r="BJ8" i="3" s="1"/>
  <c r="AM7" i="3"/>
  <c r="AL8" i="3"/>
  <c r="AM8" i="3" s="1"/>
  <c r="AL9" i="3"/>
  <c r="AM9" i="3" s="1"/>
  <c r="AL10" i="3"/>
  <c r="AL11" i="3"/>
  <c r="AM11" i="3" s="1"/>
  <c r="AL12" i="3"/>
  <c r="AM12" i="3" s="1"/>
  <c r="AL13" i="3"/>
  <c r="AM13" i="3" s="1"/>
  <c r="AL14" i="3"/>
  <c r="AM14" i="3" s="1"/>
  <c r="AL15" i="3"/>
  <c r="AM15" i="3" s="1"/>
  <c r="AL16" i="3"/>
  <c r="AM16" i="3" s="1"/>
  <c r="AL17" i="3"/>
  <c r="AM17" i="3" s="1"/>
  <c r="AL18" i="3"/>
  <c r="AM18" i="3" s="1"/>
  <c r="AL19" i="3"/>
  <c r="AM19" i="3" s="1"/>
  <c r="AL20" i="3"/>
  <c r="AM20" i="3" s="1"/>
  <c r="AL21" i="3"/>
  <c r="AM21" i="3" s="1"/>
  <c r="AL22" i="3"/>
  <c r="AM22" i="3" s="1"/>
  <c r="AL23" i="3"/>
  <c r="AM23" i="3" s="1"/>
  <c r="AL24" i="3"/>
  <c r="AM24" i="3" s="1"/>
  <c r="AL25" i="3"/>
  <c r="AM25" i="3" s="1"/>
  <c r="AL26" i="3"/>
  <c r="AM26" i="3" s="1"/>
  <c r="AL27" i="3"/>
  <c r="AM27" i="3" s="1"/>
  <c r="AL28" i="3"/>
  <c r="AM28" i="3" s="1"/>
  <c r="AL29" i="3"/>
  <c r="AM29" i="3" s="1"/>
  <c r="AL30" i="3"/>
  <c r="AM30" i="3" s="1"/>
  <c r="AL31" i="3"/>
  <c r="AM31" i="3" s="1"/>
  <c r="AL32" i="3"/>
  <c r="AM32" i="3" s="1"/>
  <c r="AL33" i="3"/>
  <c r="AM33" i="3" s="1"/>
  <c r="AL34" i="3"/>
  <c r="AM34" i="3" s="1"/>
  <c r="AL35" i="3"/>
  <c r="AM35" i="3" s="1"/>
  <c r="AL36" i="3"/>
  <c r="AM36" i="3" s="1"/>
  <c r="AL37" i="3"/>
  <c r="AM37" i="3" s="1"/>
  <c r="AL38" i="3"/>
  <c r="AM38" i="3" s="1"/>
  <c r="AL39" i="3"/>
  <c r="AM39" i="3" s="1"/>
  <c r="AL40" i="3"/>
  <c r="AM40" i="3" s="1"/>
  <c r="AL41" i="3"/>
  <c r="AM41" i="3" s="1"/>
  <c r="AL42" i="3"/>
  <c r="AM42" i="3" s="1"/>
  <c r="AG7" i="3"/>
  <c r="AH7" i="3" s="1"/>
  <c r="AK45" i="3" l="1"/>
  <c r="AN45" i="3" s="1"/>
  <c r="AO45" i="3"/>
  <c r="AM10" i="3"/>
  <c r="AB5" i="3"/>
  <c r="M3" i="1" s="1"/>
  <c r="G3" i="5" s="1"/>
  <c r="Z25" i="3"/>
  <c r="AG44" i="3"/>
  <c r="AH44" i="3" s="1"/>
  <c r="U26" i="3"/>
  <c r="W25" i="3"/>
  <c r="X25" i="3" s="1"/>
  <c r="AF45" i="3"/>
  <c r="AE46" i="3" s="1"/>
  <c r="BJ3" i="3"/>
  <c r="BJ4" i="3" s="1"/>
  <c r="BA8" i="3"/>
  <c r="BA3" i="3"/>
  <c r="AJ46" i="3" l="1"/>
  <c r="AL45" i="3"/>
  <c r="AM45" i="3" s="1"/>
  <c r="E3" i="5"/>
  <c r="AG45" i="3"/>
  <c r="AH45" i="3" s="1"/>
  <c r="V26" i="3"/>
  <c r="Y26" i="3" s="1"/>
  <c r="AF46" i="3"/>
  <c r="AE47" i="3" s="1"/>
  <c r="BA4" i="3"/>
  <c r="AK46" i="3" l="1"/>
  <c r="AN46" i="3" s="1"/>
  <c r="AO46" i="3"/>
  <c r="Z26" i="3"/>
  <c r="W26" i="3"/>
  <c r="X26" i="3" s="1"/>
  <c r="U27" i="3"/>
  <c r="AG46" i="3"/>
  <c r="AH46" i="3" s="1"/>
  <c r="AF47" i="3"/>
  <c r="AE48" i="3" s="1"/>
  <c r="AJ47" i="3" l="1"/>
  <c r="AL46" i="3"/>
  <c r="AM46" i="3" s="1"/>
  <c r="AG47" i="3"/>
  <c r="AH47" i="3" s="1"/>
  <c r="V27" i="3"/>
  <c r="Y27" i="3" s="1"/>
  <c r="AF48" i="3"/>
  <c r="AE49" i="3" s="1"/>
  <c r="AK47" i="3" l="1"/>
  <c r="AN47" i="3" s="1"/>
  <c r="Z27" i="3"/>
  <c r="U28" i="3"/>
  <c r="W27" i="3"/>
  <c r="X27" i="3" s="1"/>
  <c r="AG48" i="3"/>
  <c r="AH48" i="3" s="1"/>
  <c r="AF49" i="3"/>
  <c r="AE50" i="3" s="1"/>
  <c r="AO47" i="3" l="1"/>
  <c r="AJ48" i="3"/>
  <c r="AL47" i="3"/>
  <c r="AM47" i="3" s="1"/>
  <c r="V28" i="3"/>
  <c r="Y28" i="3" s="1"/>
  <c r="AF50" i="3"/>
  <c r="AE51" i="3" s="1"/>
  <c r="AG49" i="3"/>
  <c r="AH49" i="3" s="1"/>
  <c r="AK48" i="3" l="1"/>
  <c r="AN48" i="3"/>
  <c r="AO48" i="3"/>
  <c r="AG50" i="3"/>
  <c r="AH50" i="3" s="1"/>
  <c r="Z28" i="3"/>
  <c r="U29" i="3"/>
  <c r="W28" i="3"/>
  <c r="X28" i="3" s="1"/>
  <c r="AF51" i="3"/>
  <c r="AE52" i="3" s="1"/>
  <c r="AL48" i="3" l="1"/>
  <c r="AM48" i="3" s="1"/>
  <c r="AJ49" i="3"/>
  <c r="AG51" i="3"/>
  <c r="AH51" i="3" s="1"/>
  <c r="V29" i="3"/>
  <c r="Y29" i="3" s="1"/>
  <c r="AF52" i="3"/>
  <c r="AE53" i="3" s="1"/>
  <c r="AK49" i="3" l="1"/>
  <c r="AO49" i="3"/>
  <c r="AN49" i="3"/>
  <c r="Z29" i="3"/>
  <c r="AG52" i="3"/>
  <c r="AH52" i="3" s="1"/>
  <c r="W29" i="3"/>
  <c r="X29" i="3" s="1"/>
  <c r="U30" i="3"/>
  <c r="AF53" i="3"/>
  <c r="AE54" i="3" s="1"/>
  <c r="AJ50" i="3" l="1"/>
  <c r="AL49" i="3"/>
  <c r="AM49" i="3" s="1"/>
  <c r="V30" i="3"/>
  <c r="Y30" i="3" s="1"/>
  <c r="AG53" i="3"/>
  <c r="AH53" i="3" s="1"/>
  <c r="AF54" i="3"/>
  <c r="AE55" i="3" s="1"/>
  <c r="AK50" i="3" l="1"/>
  <c r="AO50" i="3"/>
  <c r="AN50" i="3"/>
  <c r="Z30" i="3"/>
  <c r="W30" i="3"/>
  <c r="X30" i="3" s="1"/>
  <c r="U31" i="3"/>
  <c r="AG54" i="3"/>
  <c r="AH54" i="3" s="1"/>
  <c r="AF55" i="3"/>
  <c r="AE56" i="3" s="1"/>
  <c r="AJ51" i="3" l="1"/>
  <c r="AL50" i="3"/>
  <c r="AM50" i="3" s="1"/>
  <c r="AG55" i="3"/>
  <c r="AH55" i="3" s="1"/>
  <c r="V31" i="3"/>
  <c r="Y31" i="3" s="1"/>
  <c r="AF56" i="3"/>
  <c r="AE57" i="3" s="1"/>
  <c r="AG56" i="3"/>
  <c r="AH56" i="3" s="1"/>
  <c r="AK51" i="3" l="1"/>
  <c r="AO51" i="3"/>
  <c r="AN51" i="3"/>
  <c r="Z31" i="3"/>
  <c r="W31" i="3"/>
  <c r="X31" i="3" s="1"/>
  <c r="U32" i="3"/>
  <c r="AF57" i="3"/>
  <c r="AE58" i="3" s="1"/>
  <c r="AL51" i="3" l="1"/>
  <c r="AM51" i="3" s="1"/>
  <c r="AJ52" i="3"/>
  <c r="AG57" i="3"/>
  <c r="AH57" i="3" s="1"/>
  <c r="V32" i="3"/>
  <c r="Y32" i="3" s="1"/>
  <c r="AF58" i="3"/>
  <c r="AE59" i="3" s="1"/>
  <c r="AG58" i="3"/>
  <c r="AH58" i="3" s="1"/>
  <c r="AK52" i="3" l="1"/>
  <c r="AO52" i="3" s="1"/>
  <c r="Z32" i="3"/>
  <c r="W32" i="3"/>
  <c r="X32" i="3" s="1"/>
  <c r="U33" i="3"/>
  <c r="AF59" i="3"/>
  <c r="AE60" i="3" s="1"/>
  <c r="AG59" i="3"/>
  <c r="AH59" i="3" s="1"/>
  <c r="AN52" i="3" l="1"/>
  <c r="AJ53" i="3"/>
  <c r="AL52" i="3"/>
  <c r="AM52" i="3" s="1"/>
  <c r="V33" i="3"/>
  <c r="Y33" i="3" s="1"/>
  <c r="AF60" i="3"/>
  <c r="AE61" i="3" s="1"/>
  <c r="AK53" i="3" l="1"/>
  <c r="AO53" i="3"/>
  <c r="AN53" i="3"/>
  <c r="Z33" i="3"/>
  <c r="AG60" i="3"/>
  <c r="AH60" i="3" s="1"/>
  <c r="U34" i="3"/>
  <c r="W33" i="3"/>
  <c r="X33" i="3" s="1"/>
  <c r="AF61" i="3"/>
  <c r="AE62" i="3" s="1"/>
  <c r="AL53" i="3" l="1"/>
  <c r="AM53" i="3" s="1"/>
  <c r="AJ54" i="3"/>
  <c r="AG61" i="3"/>
  <c r="AH61" i="3" s="1"/>
  <c r="V34" i="3"/>
  <c r="Y34" i="3" s="1"/>
  <c r="AF62" i="3"/>
  <c r="AE63" i="3" s="1"/>
  <c r="AK54" i="3" l="1"/>
  <c r="AO54" i="3"/>
  <c r="AN54" i="3"/>
  <c r="Z34" i="3"/>
  <c r="W34" i="3"/>
  <c r="X34" i="3" s="1"/>
  <c r="U35" i="3"/>
  <c r="AG62" i="3"/>
  <c r="AH62" i="3" s="1"/>
  <c r="AF63" i="3"/>
  <c r="AE64" i="3" s="1"/>
  <c r="AL54" i="3" l="1"/>
  <c r="AM54" i="3" s="1"/>
  <c r="AJ55" i="3"/>
  <c r="AG63" i="3"/>
  <c r="AH63" i="3" s="1"/>
  <c r="V35" i="3"/>
  <c r="Y35" i="3" s="1"/>
  <c r="AF64" i="3"/>
  <c r="AE65" i="3" s="1"/>
  <c r="AK55" i="3" l="1"/>
  <c r="AN55" i="3"/>
  <c r="AO55" i="3"/>
  <c r="Z35" i="3"/>
  <c r="AG64" i="3"/>
  <c r="AH64" i="3" s="1"/>
  <c r="U36" i="3"/>
  <c r="W35" i="3"/>
  <c r="X35" i="3" s="1"/>
  <c r="AF65" i="3"/>
  <c r="AE66" i="3" s="1"/>
  <c r="AL55" i="3" l="1"/>
  <c r="AM55" i="3" s="1"/>
  <c r="AJ56" i="3"/>
  <c r="AG65" i="3"/>
  <c r="AH65" i="3" s="1"/>
  <c r="V36" i="3"/>
  <c r="Y36" i="3" s="1"/>
  <c r="AF66" i="3"/>
  <c r="AE67" i="3" s="1"/>
  <c r="AG66" i="3"/>
  <c r="AH66" i="3" s="1"/>
  <c r="AK56" i="3" l="1"/>
  <c r="AN56" i="3"/>
  <c r="AO56" i="3"/>
  <c r="Z36" i="3"/>
  <c r="U37" i="3"/>
  <c r="W36" i="3"/>
  <c r="X36" i="3" s="1"/>
  <c r="AF67" i="3"/>
  <c r="AE68" i="3" s="1"/>
  <c r="AG67" i="3"/>
  <c r="AH67" i="3" s="1"/>
  <c r="AL56" i="3" l="1"/>
  <c r="AM56" i="3" s="1"/>
  <c r="AJ57" i="3"/>
  <c r="V37" i="3"/>
  <c r="Y37" i="3" s="1"/>
  <c r="AF68" i="3"/>
  <c r="AE69" i="3" s="1"/>
  <c r="AK57" i="3" l="1"/>
  <c r="AN57" i="3"/>
  <c r="AO57" i="3"/>
  <c r="Z37" i="3"/>
  <c r="W37" i="3"/>
  <c r="X37" i="3" s="1"/>
  <c r="U38" i="3"/>
  <c r="AG68" i="3"/>
  <c r="AH68" i="3" s="1"/>
  <c r="AF69" i="3"/>
  <c r="AE70" i="3" s="1"/>
  <c r="AJ58" i="3" l="1"/>
  <c r="AL57" i="3"/>
  <c r="AM57" i="3" s="1"/>
  <c r="AG69" i="3"/>
  <c r="AH69" i="3" s="1"/>
  <c r="V38" i="3"/>
  <c r="Y38" i="3" s="1"/>
  <c r="AF70" i="3"/>
  <c r="AE71" i="3" s="1"/>
  <c r="AK58" i="3" l="1"/>
  <c r="AN58" i="3"/>
  <c r="AO58" i="3"/>
  <c r="Z38" i="3"/>
  <c r="AG70" i="3"/>
  <c r="AH70" i="3" s="1"/>
  <c r="U39" i="3"/>
  <c r="W38" i="3"/>
  <c r="X38" i="3" s="1"/>
  <c r="AF71" i="3"/>
  <c r="AE72" i="3" s="1"/>
  <c r="AL58" i="3" l="1"/>
  <c r="AM58" i="3" s="1"/>
  <c r="AJ59" i="3"/>
  <c r="AG71" i="3"/>
  <c r="AH71" i="3" s="1"/>
  <c r="V39" i="3"/>
  <c r="Y39" i="3" s="1"/>
  <c r="AF72" i="3"/>
  <c r="AE73" i="3" s="1"/>
  <c r="AG72" i="3"/>
  <c r="AH72" i="3" s="1"/>
  <c r="AK59" i="3" l="1"/>
  <c r="AN59" i="3"/>
  <c r="AO59" i="3"/>
  <c r="Z39" i="3"/>
  <c r="W39" i="3"/>
  <c r="X39" i="3" s="1"/>
  <c r="U40" i="3"/>
  <c r="AF73" i="3"/>
  <c r="AE74" i="3" s="1"/>
  <c r="AG73" i="3"/>
  <c r="AH73" i="3" s="1"/>
  <c r="AJ60" i="3" l="1"/>
  <c r="AL59" i="3"/>
  <c r="AM59" i="3" s="1"/>
  <c r="V40" i="3"/>
  <c r="Y40" i="3" s="1"/>
  <c r="AF74" i="3"/>
  <c r="AE75" i="3" s="1"/>
  <c r="AK60" i="3" l="1"/>
  <c r="AN60" i="3"/>
  <c r="AO60" i="3"/>
  <c r="Z40" i="3"/>
  <c r="AG74" i="3"/>
  <c r="AH74" i="3" s="1"/>
  <c r="U41" i="3"/>
  <c r="W40" i="3"/>
  <c r="X40" i="3" s="1"/>
  <c r="AF75" i="3"/>
  <c r="AE76" i="3" s="1"/>
  <c r="AL60" i="3" l="1"/>
  <c r="AM60" i="3" s="1"/>
  <c r="AJ61" i="3"/>
  <c r="AG75" i="3"/>
  <c r="AH75" i="3" s="1"/>
  <c r="V41" i="3"/>
  <c r="Y41" i="3" s="1"/>
  <c r="AF76" i="3"/>
  <c r="AE77" i="3" s="1"/>
  <c r="AK61" i="3" l="1"/>
  <c r="AO61" i="3"/>
  <c r="AN61" i="3"/>
  <c r="Z41" i="3"/>
  <c r="AG76" i="3"/>
  <c r="AH76" i="3" s="1"/>
  <c r="W41" i="3"/>
  <c r="X41" i="3" s="1"/>
  <c r="U42" i="3"/>
  <c r="AF77" i="3"/>
  <c r="AE78" i="3" s="1"/>
  <c r="AL61" i="3" l="1"/>
  <c r="AM61" i="3" s="1"/>
  <c r="AJ62" i="3"/>
  <c r="AG77" i="3"/>
  <c r="AH77" i="3" s="1"/>
  <c r="V42" i="3"/>
  <c r="Y42" i="3" s="1"/>
  <c r="AF78" i="3"/>
  <c r="AE79" i="3" s="1"/>
  <c r="AK62" i="3" l="1"/>
  <c r="AO62" i="3" s="1"/>
  <c r="Z42" i="3"/>
  <c r="AG78" i="3"/>
  <c r="AH78" i="3" s="1"/>
  <c r="W42" i="3"/>
  <c r="X42" i="3" s="1"/>
  <c r="U43" i="3"/>
  <c r="AF79" i="3"/>
  <c r="AE80" i="3" s="1"/>
  <c r="AN62" i="3" l="1"/>
  <c r="AJ63" i="3"/>
  <c r="AL62" i="3"/>
  <c r="AM62" i="3" s="1"/>
  <c r="V43" i="3"/>
  <c r="Y43" i="3" s="1"/>
  <c r="AF80" i="3"/>
  <c r="AE81" i="3" s="1"/>
  <c r="AG79" i="3"/>
  <c r="AH79" i="3" s="1"/>
  <c r="AK63" i="3" l="1"/>
  <c r="AO63" i="3"/>
  <c r="AN63" i="3"/>
  <c r="Z43" i="3"/>
  <c r="AG80" i="3"/>
  <c r="AH80" i="3" s="1"/>
  <c r="U44" i="3"/>
  <c r="W43" i="3"/>
  <c r="X43" i="3" s="1"/>
  <c r="AF81" i="3"/>
  <c r="AE82" i="3" s="1"/>
  <c r="AL63" i="3" l="1"/>
  <c r="AM63" i="3" s="1"/>
  <c r="AJ64" i="3"/>
  <c r="AG81" i="3"/>
  <c r="AH81" i="3" s="1"/>
  <c r="V44" i="3"/>
  <c r="Y44" i="3" s="1"/>
  <c r="AF82" i="3"/>
  <c r="AE83" i="3" s="1"/>
  <c r="AK64" i="3" l="1"/>
  <c r="AO64" i="3"/>
  <c r="AN64" i="3"/>
  <c r="Z44" i="3"/>
  <c r="AG82" i="3"/>
  <c r="AH82" i="3" s="1"/>
  <c r="U45" i="3"/>
  <c r="W44" i="3"/>
  <c r="X44" i="3" s="1"/>
  <c r="AF83" i="3"/>
  <c r="AE84" i="3" s="1"/>
  <c r="AJ65" i="3" l="1"/>
  <c r="AL64" i="3"/>
  <c r="AM64" i="3" s="1"/>
  <c r="V45" i="3"/>
  <c r="Y45" i="3" s="1"/>
  <c r="AF84" i="3"/>
  <c r="AE85" i="3" s="1"/>
  <c r="AG84" i="3"/>
  <c r="AH84" i="3" s="1"/>
  <c r="AG83" i="3"/>
  <c r="AH83" i="3" s="1"/>
  <c r="AK65" i="3" l="1"/>
  <c r="AO65" i="3" s="1"/>
  <c r="Z45" i="3"/>
  <c r="W45" i="3"/>
  <c r="X45" i="3" s="1"/>
  <c r="U46" i="3"/>
  <c r="AF85" i="3"/>
  <c r="AE86" i="3" s="1"/>
  <c r="AG85" i="3"/>
  <c r="AH85" i="3" s="1"/>
  <c r="AN65" i="3" l="1"/>
  <c r="AJ66" i="3"/>
  <c r="AL65" i="3"/>
  <c r="AM65" i="3" s="1"/>
  <c r="V46" i="3"/>
  <c r="Y46" i="3" s="1"/>
  <c r="AF86" i="3"/>
  <c r="AE87" i="3" s="1"/>
  <c r="AK66" i="3" l="1"/>
  <c r="AO66" i="3"/>
  <c r="AN66" i="3"/>
  <c r="Z46" i="3"/>
  <c r="AG86" i="3"/>
  <c r="AH86" i="3" s="1"/>
  <c r="W46" i="3"/>
  <c r="X46" i="3" s="1"/>
  <c r="U47" i="3"/>
  <c r="AF87" i="3"/>
  <c r="AE88" i="3" s="1"/>
  <c r="AJ67" i="3" l="1"/>
  <c r="AL66" i="3"/>
  <c r="AM66" i="3" s="1"/>
  <c r="AG87" i="3"/>
  <c r="AH87" i="3" s="1"/>
  <c r="V47" i="3"/>
  <c r="Y47" i="3" s="1"/>
  <c r="AF88" i="3"/>
  <c r="AE89" i="3" s="1"/>
  <c r="AK67" i="3" l="1"/>
  <c r="AN67" i="3" s="1"/>
  <c r="Z47" i="3"/>
  <c r="AG88" i="3"/>
  <c r="AH88" i="3" s="1"/>
  <c r="W47" i="3"/>
  <c r="X47" i="3" s="1"/>
  <c r="U48" i="3"/>
  <c r="AF89" i="3"/>
  <c r="AE90" i="3" s="1"/>
  <c r="AO67" i="3" l="1"/>
  <c r="AJ68" i="3"/>
  <c r="AL67" i="3"/>
  <c r="AM67" i="3" s="1"/>
  <c r="AG89" i="3"/>
  <c r="AH89" i="3" s="1"/>
  <c r="V48" i="3"/>
  <c r="Y48" i="3" s="1"/>
  <c r="AF90" i="3"/>
  <c r="AE91" i="3" s="1"/>
  <c r="AK68" i="3" l="1"/>
  <c r="AN68" i="3" s="1"/>
  <c r="AO68" i="3"/>
  <c r="Z48" i="3"/>
  <c r="AG90" i="3"/>
  <c r="AH90" i="3" s="1"/>
  <c r="W48" i="3"/>
  <c r="X48" i="3" s="1"/>
  <c r="U49" i="3"/>
  <c r="AF91" i="3"/>
  <c r="AE92" i="3" s="1"/>
  <c r="AG91" i="3" l="1"/>
  <c r="AH91" i="3" s="1"/>
  <c r="AJ69" i="3"/>
  <c r="AL68" i="3"/>
  <c r="AM68" i="3" s="1"/>
  <c r="V49" i="3"/>
  <c r="Y49" i="3" s="1"/>
  <c r="AF92" i="3"/>
  <c r="AE93" i="3" s="1"/>
  <c r="AK69" i="3" l="1"/>
  <c r="AN69" i="3"/>
  <c r="AO69" i="3"/>
  <c r="Z49" i="3"/>
  <c r="W49" i="3"/>
  <c r="X49" i="3" s="1"/>
  <c r="U50" i="3"/>
  <c r="AG92" i="3"/>
  <c r="AH92" i="3" s="1"/>
  <c r="AF93" i="3"/>
  <c r="AE94" i="3" s="1"/>
  <c r="AL69" i="3" l="1"/>
  <c r="AM69" i="3" s="1"/>
  <c r="AJ70" i="3"/>
  <c r="AG93" i="3"/>
  <c r="AH93" i="3" s="1"/>
  <c r="V50" i="3"/>
  <c r="Y50" i="3" s="1"/>
  <c r="AF94" i="3"/>
  <c r="AE95" i="3" s="1"/>
  <c r="AK70" i="3" l="1"/>
  <c r="AN70" i="3"/>
  <c r="AO70" i="3"/>
  <c r="Z50" i="3"/>
  <c r="AG94" i="3"/>
  <c r="AH94" i="3" s="1"/>
  <c r="W50" i="3"/>
  <c r="X50" i="3" s="1"/>
  <c r="U51" i="3"/>
  <c r="AF95" i="3"/>
  <c r="AE96" i="3" s="1"/>
  <c r="AL70" i="3" l="1"/>
  <c r="AM70" i="3" s="1"/>
  <c r="AJ71" i="3"/>
  <c r="V51" i="3"/>
  <c r="Y51" i="3" s="1"/>
  <c r="AG95" i="3"/>
  <c r="AH95" i="3" s="1"/>
  <c r="AF96" i="3"/>
  <c r="AE97" i="3" s="1"/>
  <c r="AK71" i="3" l="1"/>
  <c r="AN71" i="3" s="1"/>
  <c r="Z51" i="3"/>
  <c r="AG96" i="3"/>
  <c r="AH96" i="3" s="1"/>
  <c r="W51" i="3"/>
  <c r="X51" i="3" s="1"/>
  <c r="U52" i="3"/>
  <c r="AF97" i="3"/>
  <c r="AE98" i="3" s="1"/>
  <c r="AO71" i="3" l="1"/>
  <c r="AL71" i="3"/>
  <c r="AM71" i="3" s="1"/>
  <c r="AJ72" i="3"/>
  <c r="V52" i="3"/>
  <c r="Y52" i="3" s="1"/>
  <c r="AG97" i="3"/>
  <c r="AH97" i="3" s="1"/>
  <c r="AF98" i="3"/>
  <c r="AE99" i="3" s="1"/>
  <c r="AK72" i="3" l="1"/>
  <c r="AN72" i="3"/>
  <c r="AO72" i="3"/>
  <c r="Z52" i="3"/>
  <c r="AG98" i="3"/>
  <c r="AH98" i="3" s="1"/>
  <c r="U53" i="3"/>
  <c r="W52" i="3"/>
  <c r="X52" i="3" s="1"/>
  <c r="AF99" i="3"/>
  <c r="AE100" i="3" s="1"/>
  <c r="AF100" i="3" s="1"/>
  <c r="AG100" i="3" s="1"/>
  <c r="AH100" i="3" s="1"/>
  <c r="AL72" i="3" l="1"/>
  <c r="AM72" i="3" s="1"/>
  <c r="AJ73" i="3"/>
  <c r="AG99" i="3"/>
  <c r="AH99" i="3" s="1"/>
  <c r="R2" i="10" s="1" a="1"/>
  <c r="R2" i="10" s="1"/>
  <c r="V53" i="3"/>
  <c r="Y53" i="3" s="1"/>
  <c r="AK73" i="3" l="1"/>
  <c r="AO73" i="3" s="1"/>
  <c r="Z53" i="3"/>
  <c r="O2" i="10" a="1"/>
  <c r="O2" i="10" s="1"/>
  <c r="BV8" i="3" a="1"/>
  <c r="BV8" i="3" s="1"/>
  <c r="BV9" i="3" a="1"/>
  <c r="BV9" i="3" s="1"/>
  <c r="P2" i="10" a="1"/>
  <c r="P2" i="10" s="1"/>
  <c r="U54" i="3"/>
  <c r="W53" i="3"/>
  <c r="X53" i="3" s="1"/>
  <c r="AN73" i="3" l="1"/>
  <c r="AL73" i="3"/>
  <c r="AM73" i="3" s="1"/>
  <c r="AJ74" i="3"/>
  <c r="BT9" i="3" a="1"/>
  <c r="BT9" i="3" s="1"/>
  <c r="BX9" i="3" s="1"/>
  <c r="BT8" i="3" a="1"/>
  <c r="BT8" i="3" s="1"/>
  <c r="BS8" i="3" a="1"/>
  <c r="BS8" i="3" s="1"/>
  <c r="BX8" i="3" s="1"/>
  <c r="BS9" i="3" a="1"/>
  <c r="BS9" i="3" s="1"/>
  <c r="V54" i="3"/>
  <c r="Y54" i="3" s="1"/>
  <c r="AK74" i="3" l="1"/>
  <c r="AO74" i="3" s="1"/>
  <c r="Z54" i="3"/>
  <c r="W54" i="3"/>
  <c r="X54" i="3" s="1"/>
  <c r="U55" i="3"/>
  <c r="AN74" i="3" l="1"/>
  <c r="AL74" i="3"/>
  <c r="AM74" i="3" s="1"/>
  <c r="AJ75" i="3"/>
  <c r="V55" i="3"/>
  <c r="Y55" i="3" s="1"/>
  <c r="AK75" i="3" l="1"/>
  <c r="AO75" i="3" s="1"/>
  <c r="AN75" i="3"/>
  <c r="Z55" i="3"/>
  <c r="U56" i="3"/>
  <c r="W55" i="3"/>
  <c r="X55" i="3" s="1"/>
  <c r="AL75" i="3" l="1"/>
  <c r="AM75" i="3" s="1"/>
  <c r="AJ76" i="3"/>
  <c r="V56" i="3"/>
  <c r="Y56" i="3" s="1"/>
  <c r="AK76" i="3" l="1"/>
  <c r="AO76" i="3" s="1"/>
  <c r="AN76" i="3"/>
  <c r="Z56" i="3"/>
  <c r="W56" i="3"/>
  <c r="X56" i="3" s="1"/>
  <c r="U57" i="3"/>
  <c r="AL76" i="3" l="1"/>
  <c r="AM76" i="3" s="1"/>
  <c r="AJ77" i="3"/>
  <c r="V57" i="3"/>
  <c r="Y57" i="3" s="1"/>
  <c r="AK77" i="3" l="1"/>
  <c r="AN77" i="3"/>
  <c r="AO77" i="3"/>
  <c r="Z57" i="3"/>
  <c r="W57" i="3"/>
  <c r="X57" i="3" s="1"/>
  <c r="U58" i="3"/>
  <c r="AJ78" i="3" l="1"/>
  <c r="AL77" i="3"/>
  <c r="AM77" i="3" s="1"/>
  <c r="V58" i="3"/>
  <c r="Y58" i="3" s="1"/>
  <c r="AK78" i="3" l="1"/>
  <c r="AN78" i="3"/>
  <c r="AO78" i="3"/>
  <c r="Z58" i="3"/>
  <c r="U59" i="3"/>
  <c r="W58" i="3"/>
  <c r="X58" i="3" s="1"/>
  <c r="AL78" i="3" l="1"/>
  <c r="AM78" i="3" s="1"/>
  <c r="AJ79" i="3"/>
  <c r="V59" i="3"/>
  <c r="Y59" i="3" s="1"/>
  <c r="AK79" i="3" l="1"/>
  <c r="AN79" i="3"/>
  <c r="AO79" i="3"/>
  <c r="Z59" i="3"/>
  <c r="W59" i="3"/>
  <c r="X59" i="3" s="1"/>
  <c r="U60" i="3"/>
  <c r="AL79" i="3" l="1"/>
  <c r="AM79" i="3" s="1"/>
  <c r="AJ80" i="3"/>
  <c r="V60" i="3"/>
  <c r="Y60" i="3" s="1"/>
  <c r="AK80" i="3" l="1"/>
  <c r="AN80" i="3"/>
  <c r="AO80" i="3"/>
  <c r="Z60" i="3"/>
  <c r="W60" i="3"/>
  <c r="X60" i="3" s="1"/>
  <c r="U61" i="3"/>
  <c r="AL80" i="3" l="1"/>
  <c r="AM80" i="3" s="1"/>
  <c r="AJ81" i="3"/>
  <c r="V61" i="3"/>
  <c r="Y61" i="3" s="1"/>
  <c r="AK81" i="3" l="1"/>
  <c r="AO81" i="3"/>
  <c r="AN81" i="3"/>
  <c r="Z61" i="3"/>
  <c r="W61" i="3"/>
  <c r="X61" i="3" s="1"/>
  <c r="U62" i="3"/>
  <c r="AL81" i="3" l="1"/>
  <c r="AM81" i="3" s="1"/>
  <c r="AJ82" i="3"/>
  <c r="V62" i="3"/>
  <c r="Y62" i="3" s="1"/>
  <c r="AK82" i="3" l="1"/>
  <c r="AN82" i="3"/>
  <c r="AO82" i="3"/>
  <c r="Z62" i="3"/>
  <c r="U63" i="3"/>
  <c r="W62" i="3"/>
  <c r="X62" i="3" s="1"/>
  <c r="AJ83" i="3" l="1"/>
  <c r="AL82" i="3"/>
  <c r="AM82" i="3" s="1"/>
  <c r="V63" i="3"/>
  <c r="Y63" i="3" s="1"/>
  <c r="AK83" i="3" l="1"/>
  <c r="AN83" i="3"/>
  <c r="AO83" i="3"/>
  <c r="Z63" i="3"/>
  <c r="U64" i="3"/>
  <c r="W63" i="3"/>
  <c r="X63" i="3" s="1"/>
  <c r="AL83" i="3" l="1"/>
  <c r="AM83" i="3" s="1"/>
  <c r="AJ84" i="3"/>
  <c r="V64" i="3"/>
  <c r="Y64" i="3" s="1"/>
  <c r="AK84" i="3" l="1"/>
  <c r="AO84" i="3"/>
  <c r="AN84" i="3"/>
  <c r="Z64" i="3"/>
  <c r="W64" i="3"/>
  <c r="X64" i="3" s="1"/>
  <c r="U65" i="3"/>
  <c r="AJ85" i="3" l="1"/>
  <c r="AL84" i="3"/>
  <c r="AM84" i="3" s="1"/>
  <c r="V65" i="3"/>
  <c r="Y65" i="3" s="1"/>
  <c r="AK85" i="3" l="1"/>
  <c r="AN85" i="3" s="1"/>
  <c r="Z65" i="3"/>
  <c r="U66" i="3"/>
  <c r="W65" i="3"/>
  <c r="X65" i="3" s="1"/>
  <c r="AO85" i="3" l="1"/>
  <c r="AJ86" i="3"/>
  <c r="AL85" i="3"/>
  <c r="AM85" i="3" s="1"/>
  <c r="V66" i="3"/>
  <c r="Y66" i="3" s="1"/>
  <c r="AK86" i="3" l="1"/>
  <c r="AN86" i="3"/>
  <c r="AO86" i="3"/>
  <c r="Z66" i="3"/>
  <c r="W66" i="3"/>
  <c r="X66" i="3" s="1"/>
  <c r="U67" i="3"/>
  <c r="AL86" i="3" l="1"/>
  <c r="AM86" i="3" s="1"/>
  <c r="AJ87" i="3"/>
  <c r="V67" i="3"/>
  <c r="Y67" i="3" s="1"/>
  <c r="AK87" i="3" l="1"/>
  <c r="AN87" i="3"/>
  <c r="AO87" i="3"/>
  <c r="Z67" i="3"/>
  <c r="W67" i="3"/>
  <c r="X67" i="3" s="1"/>
  <c r="U68" i="3"/>
  <c r="AL87" i="3" l="1"/>
  <c r="AM87" i="3" s="1"/>
  <c r="AJ88" i="3"/>
  <c r="V68" i="3"/>
  <c r="Y68" i="3" s="1"/>
  <c r="AK88" i="3" l="1"/>
  <c r="AN88" i="3"/>
  <c r="AO88" i="3"/>
  <c r="Z68" i="3"/>
  <c r="W68" i="3"/>
  <c r="X68" i="3" s="1"/>
  <c r="U69" i="3"/>
  <c r="AL88" i="3" l="1"/>
  <c r="AM88" i="3" s="1"/>
  <c r="AJ89" i="3"/>
  <c r="V69" i="3"/>
  <c r="Y69" i="3" s="1"/>
  <c r="AK89" i="3" l="1"/>
  <c r="AN89" i="3"/>
  <c r="AO89" i="3"/>
  <c r="Z69" i="3"/>
  <c r="W69" i="3"/>
  <c r="X69" i="3" s="1"/>
  <c r="U70" i="3"/>
  <c r="AL89" i="3" l="1"/>
  <c r="AM89" i="3" s="1"/>
  <c r="AJ90" i="3"/>
  <c r="V70" i="3"/>
  <c r="Y70" i="3" s="1"/>
  <c r="AK90" i="3" l="1"/>
  <c r="AN90" i="3"/>
  <c r="AO90" i="3"/>
  <c r="Z70" i="3"/>
  <c r="W70" i="3"/>
  <c r="X70" i="3" s="1"/>
  <c r="U71" i="3"/>
  <c r="AL90" i="3" l="1"/>
  <c r="AM90" i="3" s="1"/>
  <c r="AJ91" i="3"/>
  <c r="V71" i="3"/>
  <c r="Y71" i="3" s="1"/>
  <c r="AK91" i="3" l="1"/>
  <c r="AN91" i="3" s="1"/>
  <c r="Z71" i="3"/>
  <c r="W71" i="3"/>
  <c r="X71" i="3" s="1"/>
  <c r="U72" i="3"/>
  <c r="AO91" i="3" l="1"/>
  <c r="AL91" i="3"/>
  <c r="AM91" i="3" s="1"/>
  <c r="AJ92" i="3"/>
  <c r="V72" i="3"/>
  <c r="Y72" i="3" s="1"/>
  <c r="AK92" i="3" l="1"/>
  <c r="AO92" i="3" s="1"/>
  <c r="AN92" i="3"/>
  <c r="Z72" i="3"/>
  <c r="W72" i="3"/>
  <c r="X72" i="3" s="1"/>
  <c r="U73" i="3"/>
  <c r="AJ93" i="3" l="1"/>
  <c r="AL92" i="3"/>
  <c r="AM92" i="3" s="1"/>
  <c r="V73" i="3"/>
  <c r="Y73" i="3" s="1"/>
  <c r="AK93" i="3" l="1"/>
  <c r="AN93" i="3"/>
  <c r="AO93" i="3"/>
  <c r="Z73" i="3"/>
  <c r="U74" i="3"/>
  <c r="W73" i="3"/>
  <c r="X73" i="3" s="1"/>
  <c r="AL93" i="3" l="1"/>
  <c r="AM93" i="3" s="1"/>
  <c r="AJ94" i="3"/>
  <c r="V74" i="3"/>
  <c r="Y74" i="3" s="1"/>
  <c r="AK94" i="3" l="1"/>
  <c r="AO94" i="3"/>
  <c r="AN94" i="3"/>
  <c r="Z74" i="3"/>
  <c r="W74" i="3"/>
  <c r="X74" i="3" s="1"/>
  <c r="U75" i="3"/>
  <c r="AL94" i="3" l="1"/>
  <c r="AM94" i="3" s="1"/>
  <c r="AJ95" i="3"/>
  <c r="V75" i="3"/>
  <c r="Y75" i="3" s="1"/>
  <c r="AK95" i="3" l="1"/>
  <c r="AO95" i="3"/>
  <c r="AN95" i="3"/>
  <c r="Z75" i="3"/>
  <c r="W75" i="3"/>
  <c r="X75" i="3" s="1"/>
  <c r="U76" i="3"/>
  <c r="AJ96" i="3" l="1"/>
  <c r="AL95" i="3"/>
  <c r="AM95" i="3" s="1"/>
  <c r="V76" i="3"/>
  <c r="Y76" i="3" s="1"/>
  <c r="AK96" i="3" l="1"/>
  <c r="AO96" i="3"/>
  <c r="AN96" i="3"/>
  <c r="Z76" i="3"/>
  <c r="W76" i="3"/>
  <c r="X76" i="3" s="1"/>
  <c r="U77" i="3"/>
  <c r="AL96" i="3" l="1"/>
  <c r="AM96" i="3" s="1"/>
  <c r="AJ97" i="3"/>
  <c r="V77" i="3"/>
  <c r="Y77" i="3" s="1"/>
  <c r="AK97" i="3" l="1"/>
  <c r="AO97" i="3"/>
  <c r="AN97" i="3"/>
  <c r="Z77" i="3"/>
  <c r="W77" i="3"/>
  <c r="X77" i="3" s="1"/>
  <c r="U78" i="3"/>
  <c r="AJ98" i="3" l="1"/>
  <c r="AL97" i="3"/>
  <c r="AM97" i="3" s="1"/>
  <c r="V78" i="3"/>
  <c r="Y78" i="3" s="1"/>
  <c r="AK98" i="3" l="1"/>
  <c r="AN98" i="3"/>
  <c r="AO98" i="3"/>
  <c r="Z78" i="3"/>
  <c r="U79" i="3"/>
  <c r="W78" i="3"/>
  <c r="X78" i="3" s="1"/>
  <c r="AJ99" i="3" l="1"/>
  <c r="AL98" i="3"/>
  <c r="AM98" i="3" s="1"/>
  <c r="V79" i="3"/>
  <c r="Y79" i="3" s="1"/>
  <c r="AK99" i="3" l="1"/>
  <c r="AO99" i="3"/>
  <c r="AN99" i="3"/>
  <c r="Z79" i="3"/>
  <c r="U80" i="3"/>
  <c r="W79" i="3"/>
  <c r="X79" i="3" s="1"/>
  <c r="AL99" i="3" l="1"/>
  <c r="AM99" i="3" s="1"/>
  <c r="AJ100" i="3"/>
  <c r="V80" i="3"/>
  <c r="Y80" i="3" s="1"/>
  <c r="AK100" i="3" l="1"/>
  <c r="AL100" i="3" s="1"/>
  <c r="AM100" i="3" s="1"/>
  <c r="Q2" i="10" s="1" a="1"/>
  <c r="Q2" i="10" s="1"/>
  <c r="AN100" i="3"/>
  <c r="AB4" i="3" s="1"/>
  <c r="AU8" i="3" s="1"/>
  <c r="AU13" i="3" s="1"/>
  <c r="Z80" i="3"/>
  <c r="U81" i="3"/>
  <c r="W80" i="3"/>
  <c r="X80" i="3" s="1"/>
  <c r="AO100" i="3" l="1"/>
  <c r="N2" i="10" a="1"/>
  <c r="N2" i="10" s="1"/>
  <c r="BU8" i="3" a="1"/>
  <c r="BU8" i="3" s="1"/>
  <c r="BU9" i="3" a="1"/>
  <c r="BU9" i="3" s="1"/>
  <c r="V81" i="3"/>
  <c r="Y81" i="3" s="1"/>
  <c r="BR8" i="3" l="1" a="1"/>
  <c r="BR8" i="3" s="1"/>
  <c r="BY8" i="3" s="1"/>
  <c r="BR9" i="3" a="1"/>
  <c r="BR9" i="3" s="1"/>
  <c r="BY9" i="3" s="1"/>
  <c r="Z81" i="3"/>
  <c r="W81" i="3"/>
  <c r="X81" i="3" s="1"/>
  <c r="U82" i="3"/>
  <c r="V82" i="3" l="1"/>
  <c r="Y82" i="3" s="1"/>
  <c r="Z82" i="3" l="1"/>
  <c r="W82" i="3"/>
  <c r="X82" i="3" s="1"/>
  <c r="U83" i="3"/>
  <c r="V83" i="3" l="1"/>
  <c r="Y83" i="3" s="1"/>
  <c r="Z83" i="3" l="1"/>
  <c r="U84" i="3"/>
  <c r="W83" i="3"/>
  <c r="X83" i="3" s="1"/>
  <c r="V84" i="3" l="1"/>
  <c r="Y84" i="3" s="1"/>
  <c r="Z84" i="3" l="1"/>
  <c r="U85" i="3"/>
  <c r="W84" i="3"/>
  <c r="X84" i="3" s="1"/>
  <c r="V85" i="3" l="1"/>
  <c r="Y85" i="3" s="1"/>
  <c r="Z85" i="3" l="1"/>
  <c r="U86" i="3"/>
  <c r="W85" i="3"/>
  <c r="X85" i="3" s="1"/>
  <c r="V86" i="3" l="1"/>
  <c r="Y86" i="3" s="1"/>
  <c r="Z86" i="3" l="1"/>
  <c r="U87" i="3"/>
  <c r="W86" i="3"/>
  <c r="X86" i="3" s="1"/>
  <c r="V87" i="3" l="1"/>
  <c r="Y87" i="3" s="1"/>
  <c r="Z87" i="3" l="1"/>
  <c r="W87" i="3"/>
  <c r="X87" i="3" s="1"/>
  <c r="U88" i="3"/>
  <c r="V88" i="3" l="1"/>
  <c r="Y88" i="3" s="1"/>
  <c r="Z88" i="3" l="1"/>
  <c r="U89" i="3"/>
  <c r="W88" i="3"/>
  <c r="X88" i="3" s="1"/>
  <c r="V89" i="3" l="1"/>
  <c r="Y89" i="3" s="1"/>
  <c r="Z89" i="3" l="1"/>
  <c r="W89" i="3"/>
  <c r="X89" i="3" s="1"/>
  <c r="U90" i="3"/>
  <c r="V90" i="3" l="1"/>
  <c r="Y90" i="3" s="1"/>
  <c r="Z90" i="3" l="1"/>
  <c r="W90" i="3"/>
  <c r="X90" i="3" s="1"/>
  <c r="U91" i="3"/>
  <c r="V91" i="3" l="1"/>
  <c r="Y91" i="3" s="1"/>
  <c r="Z91" i="3" l="1"/>
  <c r="W91" i="3"/>
  <c r="X91" i="3" s="1"/>
  <c r="U92" i="3"/>
  <c r="V92" i="3" l="1"/>
  <c r="Y92" i="3" s="1"/>
  <c r="Z92" i="3" l="1"/>
  <c r="W92" i="3"/>
  <c r="X92" i="3" s="1"/>
  <c r="U93" i="3"/>
  <c r="V93" i="3" l="1"/>
  <c r="Y93" i="3" s="1"/>
  <c r="Z93" i="3" l="1"/>
  <c r="U94" i="3"/>
  <c r="W93" i="3"/>
  <c r="X93" i="3" s="1"/>
  <c r="V94" i="3" l="1"/>
  <c r="Y94" i="3" s="1"/>
  <c r="Z94" i="3" l="1"/>
  <c r="W94" i="3"/>
  <c r="X94" i="3" s="1"/>
  <c r="U95" i="3"/>
  <c r="V95" i="3" l="1"/>
  <c r="Y95" i="3" s="1"/>
  <c r="Z95" i="3" l="1"/>
  <c r="W95" i="3"/>
  <c r="X95" i="3" s="1"/>
  <c r="U96" i="3"/>
  <c r="V96" i="3" l="1"/>
  <c r="Y96" i="3" s="1"/>
  <c r="Z96" i="3" l="1"/>
  <c r="W96" i="3"/>
  <c r="X96" i="3" s="1"/>
  <c r="U97" i="3"/>
  <c r="V97" i="3" l="1"/>
  <c r="Y97" i="3" s="1"/>
  <c r="Z97" i="3" l="1"/>
  <c r="W97" i="3"/>
  <c r="X97" i="3" s="1"/>
  <c r="U98" i="3"/>
  <c r="V98" i="3" l="1"/>
  <c r="Y98" i="3" s="1"/>
  <c r="Z98" i="3" l="1"/>
  <c r="U99" i="3"/>
  <c r="W98" i="3"/>
  <c r="X98" i="3" s="1"/>
  <c r="V99" i="3" l="1"/>
  <c r="Y99" i="3" s="1"/>
  <c r="Z99" i="3" l="1"/>
  <c r="W99" i="3"/>
  <c r="X99" i="3" s="1"/>
  <c r="U100" i="3"/>
  <c r="V100" i="3" l="1"/>
  <c r="W100" i="3" s="1"/>
  <c r="X100" i="3" s="1"/>
  <c r="Z100" i="3" l="1"/>
  <c r="Y100" i="3"/>
  <c r="AB2" i="3" l="1"/>
  <c r="AR7" i="3" l="1"/>
  <c r="AR13" i="3" s="1"/>
  <c r="AS7" i="3"/>
  <c r="AS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<sst xmlns="http://schemas.openxmlformats.org/spreadsheetml/2006/main" count="266" uniqueCount="112">
  <si>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</si>
  <si>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</si>
  <si>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</si>
  <si>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</si>
  <si>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</si>
  <si>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</si>
  <si>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</si>
  <si>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</si>
  <si>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</si>
  <si>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</si>
  <si>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</si>
  <si>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</si>
  <si>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</si>
  <si>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</si>
  <si>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</si>
  <si>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</si>
  <si>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</si>
  <si>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</si>
  <si>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</si>
  <si>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</si>
  <si>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</si>
  <si>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</si>
  <si>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</si>
  <si>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</si>
  <si>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</si>
  <si>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</si>
  <si>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</si>
  <si>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</si>
  <si>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</si>
  <si>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</si>
  <si>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</si>
  <si>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</si>
  <si>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</si>
  <si>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</si>
  <si>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</si>
  <si>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</si>
  <si>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</si>
  <si>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</si>
  <si>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</si>
  <si>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</si>
  <si>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</si>
  <si>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</si>
  <si>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</si>
  <si>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</si>
  <si>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</si>
  <si>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</si>
  <si>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</si>
  <si>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</si>
  <si>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</si>
  <si>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</si>
  <si>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</si>
  <si>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</si>
  <si>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</si>
  <si>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</si>
  <si>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</si>
  <si>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</si>
  <si>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</si>
  <si>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</si>
  <si>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</si>
  <si>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</si>
  <si>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</si>
  <si>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</si>
  <si>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</si>
  <si>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</si>
  <si>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</si>
  <si>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</si>
  <si>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</si>
  <si>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</si>
  <si>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</si>
  <si>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</si>
  <si>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</si>
  <si>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</si>
  <si>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</si>
  <si>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</si>
  <si>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</si>
  <si>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</si>
  <si>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</si>
  <si>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</si>
  <si>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Enregistrement serveur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</si>
  <si>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</si>
  <si>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</si>
  <si>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</si>
  <si>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</si>
  <si>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</si>
  <si>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</si>
  <si>
    <t>S:\Conditionnement\Récupération des données\Dosettes</t>
  </si>
  <si>
    <t>Appuyer sur bouton Debut OF pour commencer un nouvel OF.</t>
  </si>
  <si>
    <t>Debut OF, confirmer que vous voulez supprimer donnees dans feuille data_brute.</t>
  </si>
  <si>
    <t>delta</t>
  </si>
  <si>
    <t xml:space="preserve">N         </t>
  </si>
  <si>
    <t>o</t>
  </si>
  <si>
    <t xml:space="preserve">28,1 ( 4 ) </t>
  </si>
  <si>
    <t>g</t>
  </si>
  <si>
    <t xml:space="preserve">28,1 ( 2 ) </t>
  </si>
  <si>
    <t xml:space="preserve">28,1 ( 3 ) </t>
  </si>
  <si>
    <t xml:space="preserve">28,8 ( 4 ) </t>
  </si>
  <si>
    <t xml:space="preserve">28,8 ( 3 ) </t>
  </si>
  <si>
    <t xml:space="preserve">28,5 ( 9 ) </t>
  </si>
  <si>
    <t xml:space="preserve">28,6 ( 0 ) </t>
  </si>
  <si>
    <t xml:space="preserve">9,2 ( 7 ) </t>
  </si>
  <si>
    <t xml:space="preserve">23,8 ( 4 ) </t>
  </si>
  <si>
    <t>recentrer axe</t>
  </si>
  <si>
    <t>vue globale</t>
  </si>
  <si>
    <t>Active alerte</t>
  </si>
  <si>
    <t>Active affichage</t>
  </si>
  <si>
    <t>moyenne courte interface:</t>
  </si>
  <si>
    <t>moyenne courte alerte:</t>
  </si>
  <si>
    <t>moyenne longue alerte:</t>
  </si>
  <si>
    <t>moyenne longue interface :</t>
  </si>
  <si>
    <t>produit_a</t>
  </si>
  <si>
    <t>lot_a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</si>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</sst>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color rgb="FFFF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24.625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25.375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25.375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25.375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28.378500000000003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27.88000000000001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28.391999999999996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26.882999999999999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29.891999999999996"/>
          <c:min val="23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1447800</xdr:colOff>
          <xdr:row>3</xdr:row>
          <xdr:rowOff>127000</xdr:rowOff>
        </xdr:from>
        <xdr:to>
          <xdr:col>9</xdr:col>
          <xdr:colOff>1193800</xdr:colOff>
          <xdr:row>5</xdr:row>
          <xdr:rowOff>165100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RECENTRER 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76200</xdr:rowOff>
        </xdr:from>
        <xdr:to>
          <xdr:col>14</xdr:col>
          <xdr:colOff>787400</xdr:colOff>
          <xdr:row>2</xdr:row>
          <xdr:rowOff>114300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1422400</xdr:colOff>
          <xdr:row>1</xdr:row>
          <xdr:rowOff>25400</xdr:rowOff>
        </xdr:from>
        <xdr:to>
          <xdr:col>9</xdr:col>
          <xdr:colOff>1181100</xdr:colOff>
          <xdr:row>3</xdr:row>
          <xdr:rowOff>76200</xdr:rowOff>
        </xdr:to>
        <xdr:sp macro="" textlink="">
          <xdr:nvSpPr>
            <xdr:cNvPr id="1064" name="Button 40" descr="TAR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VUE GLOBALE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4" sqref="B34"/>
    </sheetView>
    <sheetView workbookViewId="1"/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56</v>
      </c>
      <c r="R1" s="48" t="s">
        <v>68</v>
      </c>
    </row>
    <row r="2" spans="1:26" x14ac:dyDescent="0.2">
      <c r="A2" s="25" cm="1">
        <f t="array" ref="A2:A33">_xlfn.SEQUENCE(calculs_intermediaires!F4)</f>
        <v>1</v>
      </c>
      <c r="B2" s="65">
        <v>45708</v>
      </c>
      <c r="C2" s="70">
        <v>0.3396527777777778</v>
      </c>
      <c r="D2" s="66" t="s">
        <v>89</v>
      </c>
      <c r="E2" s="66" t="s">
        <v>90</v>
      </c>
      <c r="F2" s="75"/>
      <c r="G2" s="66" t="s">
        <v>91</v>
      </c>
      <c r="H2" s="66" t="s">
        <v>92</v>
      </c>
      <c r="I2" s="2" t="str" cm="1">
        <f t="array" aca="1" ref="I2:I33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28,14</v>
      </c>
      <c r="J2" s="25" cm="1">
        <f t="array" ref="J2:J33">IF(_xlfn.ANCHORARRAY(A2)&lt;&gt;0,ROW(_xlfn.ANCHORARRAY(A2)))</f>
        <v>2</v>
      </c>
      <c r="K2" s="25" t="str" cm="1">
        <f t="array" ref="K2:K33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33" ca="1">IFERROR(_xlfn.ANCHORARRAY(I2)-0,"")</f>
        <v>28.14</v>
      </c>
      <c r="N2" s="25" t="e" cm="1">
        <f t="array" aca="1" ref="N2:N33" ca="1">IF(ISERROR(y_moyenne_longue),NA(),IF(_xlfn.SEQUENCE(calculs_intermediaires!F4,1,1), interface!C5, ""))</f>
        <v>#N/A</v>
      </c>
      <c r="O2" s="25" t="e" cm="1">
        <f t="array" aca="1" ref="O2:O33" ca="1">IF(ISERROR(y_moyenne_courte),NA(),IF(_xlfn.SEQUENCE(calculs_intermediaires!F4,1,1),calculs_intermediaires!C25,""))</f>
        <v>#N/A</v>
      </c>
      <c r="P2" s="25" t="e" cm="1">
        <f t="array" aca="1" ref="P2:P33" ca="1">IF(ISERROR(y_moyenne_courte),NA(),IF(_xlfn.SEQUENCE(calculs_intermediaires!F4,1,1),calculs_intermediaires!C26,""))</f>
        <v>#N/A</v>
      </c>
      <c r="Q2" s="31" t="e" cm="1">
        <f t="array" aca="1" ref="Q2:Q33" ca="1">INDEX(calculs_intermediaires!AL:AL,MATCH(_xlfn.ANCHORARRAY(A2),calculs_intermediaires!AM:AM,0))</f>
        <v>#N/A</v>
      </c>
      <c r="R2" s="31" t="e" cm="1">
        <f t="array" aca="1" ref="R2:R33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45708</v>
      </c>
      <c r="C3" s="70">
        <v>0.33991898148148147</v>
      </c>
      <c r="D3" s="66" t="s">
        <v>89</v>
      </c>
      <c r="E3" s="66" t="s">
        <v>90</v>
      </c>
      <c r="F3" s="75"/>
      <c r="G3" s="66" t="s">
        <v>93</v>
      </c>
      <c r="H3" s="66" t="s">
        <v>92</v>
      </c>
      <c r="I3" s="31" t="str">
        <f ca="1"/>
        <v>28,12</v>
      </c>
      <c r="J3" s="25">
        <v>3</v>
      </c>
      <c r="K3" s="25" t="str">
        <v>No Match</v>
      </c>
      <c r="L3" s="25"/>
      <c r="M3" s="31">
        <f ca="1"/>
        <v>28.12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45708</v>
      </c>
      <c r="C4" s="70">
        <v>0.34001157407407406</v>
      </c>
      <c r="D4" s="66" t="s">
        <v>89</v>
      </c>
      <c r="E4" s="66" t="s">
        <v>90</v>
      </c>
      <c r="F4" s="75"/>
      <c r="G4" s="66" t="s">
        <v>94</v>
      </c>
      <c r="H4" s="66" t="s">
        <v>92</v>
      </c>
      <c r="I4" s="31" t="str">
        <f ca="1"/>
        <v>28,13</v>
      </c>
      <c r="J4" s="25">
        <v>4</v>
      </c>
      <c r="K4" s="25" t="str">
        <v>No Match</v>
      </c>
      <c r="L4" s="25"/>
      <c r="M4" s="31">
        <f ca="1"/>
        <v>28.13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45708</v>
      </c>
      <c r="C5" s="70">
        <v>0.34008101851851852</v>
      </c>
      <c r="D5" s="66" t="s">
        <v>89</v>
      </c>
      <c r="E5" s="66" t="s">
        <v>90</v>
      </c>
      <c r="F5" s="75"/>
      <c r="G5" s="66" t="s">
        <v>91</v>
      </c>
      <c r="H5" s="66" t="s">
        <v>92</v>
      </c>
      <c r="I5" s="31" t="str">
        <f ca="1"/>
        <v>28,14</v>
      </c>
      <c r="J5" s="25">
        <v>5</v>
      </c>
      <c r="K5" s="25" t="str">
        <v>No Match</v>
      </c>
      <c r="L5" s="25"/>
      <c r="M5" s="31">
        <f ca="1"/>
        <v>28.14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>
        <v>5</v>
      </c>
      <c r="B6" s="65">
        <v>45708</v>
      </c>
      <c r="C6" s="70">
        <v>0.34016203703703701</v>
      </c>
      <c r="D6" s="66" t="s">
        <v>89</v>
      </c>
      <c r="E6" s="66" t="s">
        <v>90</v>
      </c>
      <c r="F6" s="75"/>
      <c r="G6" s="66" t="s">
        <v>94</v>
      </c>
      <c r="H6" s="66" t="s">
        <v>92</v>
      </c>
      <c r="I6" s="31" t="str">
        <f ca="1"/>
        <v>28,13</v>
      </c>
      <c r="J6" s="25">
        <v>6</v>
      </c>
      <c r="K6" s="25" t="str">
        <v>No Match</v>
      </c>
      <c r="L6" s="25"/>
      <c r="M6" s="31">
        <f ca="1"/>
        <v>28.13</v>
      </c>
      <c r="N6" s="25" t="e">
        <f ca="1"/>
        <v>#N/A</v>
      </c>
      <c r="O6" s="25" t="e">
        <f ca="1"/>
        <v>#N/A</v>
      </c>
      <c r="P6" s="25" t="e">
        <f ca="1"/>
        <v>#N/A</v>
      </c>
      <c r="Q6" s="31" t="e">
        <f ca="1"/>
        <v>#N/A</v>
      </c>
      <c r="R6" s="31" t="e">
        <f ca="1"/>
        <v>#N/A</v>
      </c>
    </row>
    <row r="7" spans="1:26" x14ac:dyDescent="0.2">
      <c r="A7" s="25">
        <v>6</v>
      </c>
      <c r="B7" s="65">
        <v>45708</v>
      </c>
      <c r="C7" s="70">
        <v>0.34020833333333333</v>
      </c>
      <c r="D7" s="66" t="s">
        <v>89</v>
      </c>
      <c r="E7" s="66" t="s">
        <v>90</v>
      </c>
      <c r="F7" s="75"/>
      <c r="G7" s="66" t="s">
        <v>91</v>
      </c>
      <c r="H7" s="66" t="s">
        <v>92</v>
      </c>
      <c r="I7" s="31" t="str">
        <f ca="1"/>
        <v>28,14</v>
      </c>
      <c r="J7" s="25">
        <v>7</v>
      </c>
      <c r="K7" s="25" t="str">
        <v>No Match</v>
      </c>
      <c r="L7" s="25"/>
      <c r="M7" s="31">
        <f ca="1"/>
        <v>28.14</v>
      </c>
      <c r="N7" s="25" t="e">
        <f ca="1"/>
        <v>#N/A</v>
      </c>
      <c r="O7" s="25" t="e">
        <f ca="1"/>
        <v>#N/A</v>
      </c>
      <c r="P7" s="25" t="e">
        <f ca="1"/>
        <v>#N/A</v>
      </c>
      <c r="Q7" s="31" t="e">
        <f ca="1"/>
        <v>#N/A</v>
      </c>
      <c r="R7" s="31" t="e">
        <f ca="1"/>
        <v>#N/A</v>
      </c>
    </row>
    <row r="8" spans="1:26" x14ac:dyDescent="0.2">
      <c r="A8" s="25">
        <v>7</v>
      </c>
      <c r="B8" s="65">
        <v>45708</v>
      </c>
      <c r="C8" s="70">
        <v>0.34028935185185183</v>
      </c>
      <c r="D8" s="66" t="s">
        <v>89</v>
      </c>
      <c r="E8" s="66" t="s">
        <v>90</v>
      </c>
      <c r="F8" s="75"/>
      <c r="G8" s="66" t="s">
        <v>95</v>
      </c>
      <c r="H8" s="66" t="s">
        <v>92</v>
      </c>
      <c r="I8" s="31" t="str">
        <f ca="1"/>
        <v>28,84</v>
      </c>
      <c r="J8" s="25">
        <v>8</v>
      </c>
      <c r="K8" s="25" t="str">
        <v>No Match</v>
      </c>
      <c r="L8" s="25"/>
      <c r="M8" s="31">
        <f ca="1"/>
        <v>28.84</v>
      </c>
      <c r="N8" s="25" t="e">
        <f ca="1"/>
        <v>#N/A</v>
      </c>
      <c r="O8" s="25" t="e">
        <f ca="1"/>
        <v>#N/A</v>
      </c>
      <c r="P8" s="25" t="e">
        <f ca="1"/>
        <v>#N/A</v>
      </c>
      <c r="Q8" s="31" t="e">
        <f ca="1"/>
        <v>#N/A</v>
      </c>
      <c r="R8" s="31" t="e">
        <f ca="1"/>
        <v>#N/A</v>
      </c>
    </row>
    <row r="9" spans="1:26" x14ac:dyDescent="0.2">
      <c r="A9" s="25">
        <v>8</v>
      </c>
      <c r="B9" s="65">
        <v>45708</v>
      </c>
      <c r="C9" s="70">
        <v>0.34034722222222225</v>
      </c>
      <c r="D9" s="66" t="s">
        <v>89</v>
      </c>
      <c r="E9" s="66" t="s">
        <v>90</v>
      </c>
      <c r="F9" s="75"/>
      <c r="G9" s="66" t="s">
        <v>96</v>
      </c>
      <c r="H9" s="66" t="s">
        <v>92</v>
      </c>
      <c r="I9" s="31" t="str">
        <f ca="1"/>
        <v>28,83</v>
      </c>
      <c r="J9" s="25">
        <v>9</v>
      </c>
      <c r="K9" s="25" t="str">
        <v>No Match</v>
      </c>
      <c r="L9" s="25"/>
      <c r="M9" s="31">
        <f ca="1"/>
        <v>28.83</v>
      </c>
      <c r="N9" s="25" t="e">
        <f ca="1"/>
        <v>#N/A</v>
      </c>
      <c r="O9" s="25" t="e">
        <f ca="1"/>
        <v>#N/A</v>
      </c>
      <c r="P9" s="25" t="e">
        <f ca="1"/>
        <v>#N/A</v>
      </c>
      <c r="Q9" s="31" t="e">
        <f ca="1"/>
        <v>#N/A</v>
      </c>
      <c r="R9" s="31" t="e">
        <f ca="1"/>
        <v>#N/A</v>
      </c>
    </row>
    <row r="10" spans="1:26" x14ac:dyDescent="0.2">
      <c r="A10" s="25">
        <v>9</v>
      </c>
      <c r="B10" s="65">
        <v>45708</v>
      </c>
      <c r="C10" s="70">
        <v>0.34040509259259261</v>
      </c>
      <c r="D10" s="66" t="s">
        <v>89</v>
      </c>
      <c r="E10" s="66" t="s">
        <v>90</v>
      </c>
      <c r="F10" s="75"/>
      <c r="G10" s="66" t="s">
        <v>97</v>
      </c>
      <c r="H10" s="66" t="s">
        <v>92</v>
      </c>
      <c r="I10" s="31" t="str">
        <f ca="1"/>
        <v>28,59</v>
      </c>
      <c r="J10" s="25">
        <v>10</v>
      </c>
      <c r="K10" s="25" t="str">
        <v>No Match</v>
      </c>
      <c r="L10" s="25"/>
      <c r="M10" s="31">
        <f ca="1"/>
        <v>28.59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1" t="e">
        <f ca="1"/>
        <v>#N/A</v>
      </c>
      <c r="R10" s="31" t="e">
        <f ca="1"/>
        <v>#N/A</v>
      </c>
    </row>
    <row r="11" spans="1:26" x14ac:dyDescent="0.2">
      <c r="A11" s="25">
        <v>10</v>
      </c>
      <c r="B11" s="65">
        <v>45708</v>
      </c>
      <c r="C11" s="70">
        <v>0.34052083333333333</v>
      </c>
      <c r="D11" s="66" t="s">
        <v>89</v>
      </c>
      <c r="E11" s="66" t="s">
        <v>90</v>
      </c>
      <c r="F11" s="75"/>
      <c r="G11" s="66" t="s">
        <v>97</v>
      </c>
      <c r="H11" s="66" t="s">
        <v>92</v>
      </c>
      <c r="I11" s="31" t="str">
        <f ca="1"/>
        <v>28,59</v>
      </c>
      <c r="J11" s="25">
        <v>11</v>
      </c>
      <c r="K11" s="25" t="str">
        <v>No Match</v>
      </c>
      <c r="L11" s="25"/>
      <c r="M11" s="31">
        <f ca="1"/>
        <v>28.59</v>
      </c>
      <c r="N11" s="25">
        <f ca="1"/>
        <v>25</v>
      </c>
      <c r="O11" s="25">
        <f ca="1"/>
        <v>24.625</v>
      </c>
      <c r="P11" s="25">
        <f ca="1"/>
        <v>25.375</v>
      </c>
      <c r="Q11" s="31">
        <f ca="1"/>
        <v>28.365000000000002</v>
      </c>
      <c r="R11" s="31">
        <f ca="1"/>
        <v>28.365000000000002</v>
      </c>
    </row>
    <row r="12" spans="1:26" x14ac:dyDescent="0.2">
      <c r="A12" s="25">
        <v>11</v>
      </c>
      <c r="B12" s="65">
        <v>45708</v>
      </c>
      <c r="C12" s="70">
        <v>0.34070601851851851</v>
      </c>
      <c r="D12" s="66" t="s">
        <v>89</v>
      </c>
      <c r="E12" s="66" t="s">
        <v>90</v>
      </c>
      <c r="F12" s="75"/>
      <c r="G12" s="66" t="s">
        <v>98</v>
      </c>
      <c r="H12" s="66" t="s">
        <v>92</v>
      </c>
      <c r="I12" s="31" t="str">
        <f ca="1"/>
        <v>28,60</v>
      </c>
      <c r="J12" s="25">
        <v>12</v>
      </c>
      <c r="K12" s="25" t="str">
        <v>No Match</v>
      </c>
      <c r="L12" s="25"/>
      <c r="M12" s="31">
        <f ca="1"/>
        <v>28.6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1" t="e">
        <f ca="1"/>
        <v>#N/A</v>
      </c>
      <c r="R12" s="31" t="e">
        <f ca="1"/>
        <v>#N/A</v>
      </c>
    </row>
    <row r="13" spans="1:26" x14ac:dyDescent="0.2">
      <c r="A13" s="25">
        <v>12</v>
      </c>
      <c r="B13" s="65">
        <v>45708</v>
      </c>
      <c r="C13" s="70">
        <v>0.3396527777777778</v>
      </c>
      <c r="D13" s="66" t="s">
        <v>89</v>
      </c>
      <c r="E13" s="66" t="s">
        <v>90</v>
      </c>
      <c r="F13" s="75"/>
      <c r="G13" s="66" t="s">
        <v>91</v>
      </c>
      <c r="H13" s="66" t="s">
        <v>92</v>
      </c>
      <c r="I13" s="31" t="str">
        <f ca="1"/>
        <v>28,14</v>
      </c>
      <c r="J13" s="25">
        <v>13</v>
      </c>
      <c r="K13" s="25" t="str">
        <v>No Match</v>
      </c>
      <c r="L13" s="25"/>
      <c r="M13" s="31">
        <f ca="1"/>
        <v>28.14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1" t="e">
        <f ca="1"/>
        <v>#N/A</v>
      </c>
      <c r="R13" s="31" t="e">
        <f ca="1"/>
        <v>#N/A</v>
      </c>
    </row>
    <row r="14" spans="1:26" x14ac:dyDescent="0.2">
      <c r="A14" s="25">
        <v>13</v>
      </c>
      <c r="B14" s="65">
        <v>45708</v>
      </c>
      <c r="C14" s="70">
        <v>0.33991898148148147</v>
      </c>
      <c r="D14" s="66" t="s">
        <v>89</v>
      </c>
      <c r="E14" s="66" t="s">
        <v>90</v>
      </c>
      <c r="F14" s="75"/>
      <c r="G14" s="66" t="s">
        <v>93</v>
      </c>
      <c r="H14" s="66" t="s">
        <v>92</v>
      </c>
      <c r="I14" s="31" t="str">
        <f ca="1"/>
        <v>28,12</v>
      </c>
      <c r="J14" s="25">
        <v>14</v>
      </c>
      <c r="K14" s="25" t="str">
        <v>No Match</v>
      </c>
      <c r="L14" s="25"/>
      <c r="M14" s="31">
        <f ca="1"/>
        <v>28.12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1" t="e">
        <f ca="1"/>
        <v>#N/A</v>
      </c>
      <c r="R14" s="31" t="e">
        <f ca="1"/>
        <v>#N/A</v>
      </c>
    </row>
    <row r="15" spans="1:26" x14ac:dyDescent="0.2">
      <c r="A15" s="25">
        <v>14</v>
      </c>
      <c r="B15" s="65">
        <v>45708</v>
      </c>
      <c r="C15" s="70">
        <v>0.34001157407407406</v>
      </c>
      <c r="D15" s="66" t="s">
        <v>89</v>
      </c>
      <c r="E15" s="66" t="s">
        <v>90</v>
      </c>
      <c r="F15" s="75"/>
      <c r="G15" s="66" t="s">
        <v>94</v>
      </c>
      <c r="H15" s="66" t="s">
        <v>92</v>
      </c>
      <c r="I15" s="31" t="str">
        <f ca="1"/>
        <v>28,13</v>
      </c>
      <c r="J15" s="25">
        <v>15</v>
      </c>
      <c r="K15" s="25" t="str">
        <v>No Match</v>
      </c>
      <c r="L15" s="25"/>
      <c r="M15" s="31">
        <f ca="1"/>
        <v>28.13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1" t="e">
        <f ca="1"/>
        <v>#N/A</v>
      </c>
      <c r="R15" s="31" t="e">
        <f ca="1"/>
        <v>#N/A</v>
      </c>
    </row>
    <row r="16" spans="1:26" x14ac:dyDescent="0.2">
      <c r="A16" s="25">
        <v>15</v>
      </c>
      <c r="B16" s="65">
        <v>45708</v>
      </c>
      <c r="C16" s="70">
        <v>0.34008101851851852</v>
      </c>
      <c r="D16" s="66" t="s">
        <v>89</v>
      </c>
      <c r="E16" s="66" t="s">
        <v>90</v>
      </c>
      <c r="F16" s="75"/>
      <c r="G16" s="66" t="s">
        <v>91</v>
      </c>
      <c r="H16" s="66" t="s">
        <v>92</v>
      </c>
      <c r="I16" s="31" t="str">
        <f ca="1"/>
        <v>28,14</v>
      </c>
      <c r="J16" s="25">
        <v>16</v>
      </c>
      <c r="K16" s="25" t="str">
        <v>No Match</v>
      </c>
      <c r="L16" s="25"/>
      <c r="M16" s="31">
        <f ca="1"/>
        <v>28.14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1" t="e">
        <f ca="1"/>
        <v>#N/A</v>
      </c>
      <c r="R16" s="31" t="e">
        <f ca="1"/>
        <v>#N/A</v>
      </c>
    </row>
    <row r="17" spans="1:18" x14ac:dyDescent="0.2">
      <c r="A17" s="25">
        <v>16</v>
      </c>
      <c r="B17" s="65">
        <v>45708</v>
      </c>
      <c r="C17" s="70">
        <v>0.34016203703703701</v>
      </c>
      <c r="D17" s="66" t="s">
        <v>89</v>
      </c>
      <c r="E17" s="66" t="s">
        <v>90</v>
      </c>
      <c r="F17" s="75"/>
      <c r="G17" s="66" t="s">
        <v>94</v>
      </c>
      <c r="H17" s="66" t="s">
        <v>92</v>
      </c>
      <c r="I17" s="31" t="str">
        <f ca="1"/>
        <v>28,13</v>
      </c>
      <c r="J17" s="25">
        <v>17</v>
      </c>
      <c r="K17" s="25" t="str">
        <v>No Match</v>
      </c>
      <c r="L17" s="25"/>
      <c r="M17" s="31">
        <f ca="1"/>
        <v>28.13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1" t="e">
        <f ca="1"/>
        <v>#N/A</v>
      </c>
      <c r="R17" s="31" t="e">
        <f ca="1"/>
        <v>#N/A</v>
      </c>
    </row>
    <row r="18" spans="1:18" x14ac:dyDescent="0.2">
      <c r="A18" s="25">
        <v>17</v>
      </c>
      <c r="B18" s="65">
        <v>45708</v>
      </c>
      <c r="C18" s="70">
        <v>0.34020833333333333</v>
      </c>
      <c r="D18" s="66" t="s">
        <v>89</v>
      </c>
      <c r="E18" s="66" t="s">
        <v>90</v>
      </c>
      <c r="F18" s="75"/>
      <c r="G18" s="66" t="s">
        <v>91</v>
      </c>
      <c r="H18" s="66" t="s">
        <v>92</v>
      </c>
      <c r="I18" s="31" t="str">
        <f ca="1"/>
        <v>28,14</v>
      </c>
      <c r="J18" s="25">
        <v>18</v>
      </c>
      <c r="K18" s="25" t="str">
        <v>No Match</v>
      </c>
      <c r="L18" s="25"/>
      <c r="M18" s="31">
        <f ca="1"/>
        <v>28.14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1" t="e">
        <f ca="1"/>
        <v>#N/A</v>
      </c>
      <c r="R18" s="31" t="e">
        <f ca="1"/>
        <v>#N/A</v>
      </c>
    </row>
    <row r="19" spans="1:18" x14ac:dyDescent="0.2">
      <c r="A19" s="25">
        <v>18</v>
      </c>
      <c r="B19" s="65">
        <v>45708</v>
      </c>
      <c r="C19" s="70">
        <v>0.34028935185185183</v>
      </c>
      <c r="D19" s="66" t="s">
        <v>89</v>
      </c>
      <c r="E19" s="66" t="s">
        <v>90</v>
      </c>
      <c r="F19" s="75"/>
      <c r="G19" s="66" t="s">
        <v>95</v>
      </c>
      <c r="H19" s="66" t="s">
        <v>92</v>
      </c>
      <c r="I19" s="31" t="str">
        <f ca="1"/>
        <v>28,84</v>
      </c>
      <c r="J19" s="25">
        <v>19</v>
      </c>
      <c r="K19" s="25" t="str">
        <v>No Match</v>
      </c>
      <c r="L19" s="25"/>
      <c r="M19" s="31">
        <f ca="1"/>
        <v>28.84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1" t="e">
        <f ca="1"/>
        <v>#N/A</v>
      </c>
      <c r="R19" s="31" t="e">
        <f ca="1"/>
        <v>#N/A</v>
      </c>
    </row>
    <row r="20" spans="1:18" x14ac:dyDescent="0.2">
      <c r="A20" s="25">
        <v>19</v>
      </c>
      <c r="B20" s="65">
        <v>45708</v>
      </c>
      <c r="C20" s="70">
        <v>0.34028935185185183</v>
      </c>
      <c r="D20" s="66" t="s">
        <v>89</v>
      </c>
      <c r="E20" s="66" t="s">
        <v>90</v>
      </c>
      <c r="F20" s="75"/>
      <c r="G20" s="66" t="s">
        <v>95</v>
      </c>
      <c r="H20" s="66" t="s">
        <v>92</v>
      </c>
      <c r="I20" s="31" t="str">
        <f ca="1"/>
        <v>28,84</v>
      </c>
      <c r="J20" s="25">
        <v>20</v>
      </c>
      <c r="K20" s="25" t="str">
        <v>No Match</v>
      </c>
      <c r="L20" s="25"/>
      <c r="M20" s="31">
        <f ca="1"/>
        <v>28.84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1" t="e">
        <f ca="1"/>
        <v>#N/A</v>
      </c>
      <c r="R20" s="31" t="e">
        <f ca="1"/>
        <v>#N/A</v>
      </c>
    </row>
    <row r="21" spans="1:18" x14ac:dyDescent="0.2">
      <c r="A21" s="25">
        <v>20</v>
      </c>
      <c r="B21" s="65">
        <v>45708</v>
      </c>
      <c r="C21" s="70">
        <v>0.34028935185185183</v>
      </c>
      <c r="D21" s="66" t="s">
        <v>89</v>
      </c>
      <c r="E21" s="66" t="s">
        <v>90</v>
      </c>
      <c r="F21" s="75"/>
      <c r="G21" s="66" t="s">
        <v>95</v>
      </c>
      <c r="H21" s="66" t="s">
        <v>92</v>
      </c>
      <c r="I21" s="31" t="str">
        <f ca="1"/>
        <v>28,84</v>
      </c>
      <c r="J21" s="25">
        <v>21</v>
      </c>
      <c r="K21" s="25" t="str">
        <v>No Match</v>
      </c>
      <c r="L21" s="25"/>
      <c r="M21" s="31">
        <f ca="1"/>
        <v>28.84</v>
      </c>
      <c r="N21" s="25">
        <f ca="1"/>
        <v>25</v>
      </c>
      <c r="O21" s="25">
        <f ca="1"/>
        <v>24.625</v>
      </c>
      <c r="P21" s="25">
        <f ca="1"/>
        <v>25.375</v>
      </c>
      <c r="Q21" s="31">
        <f ca="1"/>
        <v>28.378500000000003</v>
      </c>
      <c r="R21" s="31">
        <f ca="1"/>
        <v>28.391999999999996</v>
      </c>
    </row>
    <row r="22" spans="1:18" x14ac:dyDescent="0.2">
      <c r="A22" s="25">
        <v>21</v>
      </c>
      <c r="B22" s="65">
        <v>45708</v>
      </c>
      <c r="C22" s="70">
        <v>0.35135416666666669</v>
      </c>
      <c r="D22" s="66" t="s">
        <v>89</v>
      </c>
      <c r="E22" s="66" t="s">
        <v>90</v>
      </c>
      <c r="F22" s="75"/>
      <c r="G22" s="66" t="s">
        <v>99</v>
      </c>
      <c r="H22" s="66" t="s">
        <v>92</v>
      </c>
      <c r="I22" s="31" t="str">
        <f ca="1"/>
        <v>9,27</v>
      </c>
      <c r="J22" s="25">
        <v>22</v>
      </c>
      <c r="K22" s="25" t="str">
        <v>No Match</v>
      </c>
      <c r="L22" s="25"/>
      <c r="M22" s="31">
        <f ca="1"/>
        <v>9.27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1" t="e">
        <f ca="1"/>
        <v>#N/A</v>
      </c>
      <c r="R22" s="31" t="e">
        <f ca="1"/>
        <v>#N/A</v>
      </c>
    </row>
    <row r="23" spans="1:18" x14ac:dyDescent="0.2">
      <c r="A23" s="25">
        <v>22</v>
      </c>
      <c r="B23" s="65">
        <v>45708</v>
      </c>
      <c r="C23" s="70">
        <v>0.34028935185185183</v>
      </c>
      <c r="D23" s="66" t="s">
        <v>89</v>
      </c>
      <c r="E23" s="66" t="s">
        <v>90</v>
      </c>
      <c r="F23" s="75"/>
      <c r="G23" s="66" t="s">
        <v>95</v>
      </c>
      <c r="H23" s="66" t="s">
        <v>92</v>
      </c>
      <c r="I23" s="31" t="str">
        <f ca="1"/>
        <v>28,84</v>
      </c>
      <c r="J23" s="25">
        <v>23</v>
      </c>
      <c r="K23" s="25" t="str">
        <v>No Match</v>
      </c>
      <c r="L23" s="25"/>
      <c r="M23" s="31">
        <f ca="1"/>
        <v>28.84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1" t="e">
        <f ca="1"/>
        <v>#N/A</v>
      </c>
      <c r="R23" s="31" t="e">
        <f ca="1"/>
        <v>#N/A</v>
      </c>
    </row>
    <row r="24" spans="1:18" x14ac:dyDescent="0.2">
      <c r="A24" s="25">
        <v>23</v>
      </c>
      <c r="B24" s="65">
        <v>45708</v>
      </c>
      <c r="C24" s="70">
        <v>0.34028935185185183</v>
      </c>
      <c r="D24" s="66" t="s">
        <v>89</v>
      </c>
      <c r="E24" s="66" t="s">
        <v>90</v>
      </c>
      <c r="F24" s="75"/>
      <c r="G24" s="66" t="s">
        <v>95</v>
      </c>
      <c r="H24" s="66" t="s">
        <v>92</v>
      </c>
      <c r="I24" s="31" t="str">
        <f ca="1"/>
        <v>28,84</v>
      </c>
      <c r="J24" s="25">
        <v>24</v>
      </c>
      <c r="K24" s="25" t="str">
        <v>No Match</v>
      </c>
      <c r="L24" s="25"/>
      <c r="M24" s="31">
        <f ca="1"/>
        <v>28.84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1" t="e">
        <f ca="1"/>
        <v>#N/A</v>
      </c>
      <c r="R24" s="31" t="e">
        <f ca="1"/>
        <v>#N/A</v>
      </c>
    </row>
    <row r="25" spans="1:18" x14ac:dyDescent="0.2">
      <c r="A25" s="25">
        <v>24</v>
      </c>
      <c r="B25" s="65">
        <v>45708</v>
      </c>
      <c r="C25" s="70">
        <v>0.34028935185185183</v>
      </c>
      <c r="D25" s="66" t="s">
        <v>89</v>
      </c>
      <c r="E25" s="66" t="s">
        <v>90</v>
      </c>
      <c r="F25" s="75"/>
      <c r="G25" s="66" t="s">
        <v>95</v>
      </c>
      <c r="H25" s="66" t="s">
        <v>92</v>
      </c>
      <c r="I25" s="31" t="str">
        <f ca="1"/>
        <v>28,84</v>
      </c>
      <c r="J25" s="25">
        <v>25</v>
      </c>
      <c r="K25" s="25" t="str">
        <v>No Match</v>
      </c>
      <c r="L25" s="25"/>
      <c r="M25" s="31">
        <f ca="1"/>
        <v>28.84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1" t="e">
        <f ca="1"/>
        <v>#N/A</v>
      </c>
      <c r="R25" s="31" t="e">
        <f ca="1"/>
        <v>#N/A</v>
      </c>
    </row>
    <row r="26" spans="1:18" x14ac:dyDescent="0.2">
      <c r="A26" s="25">
        <v>25</v>
      </c>
      <c r="B26" s="65">
        <v>45708</v>
      </c>
      <c r="C26" s="70">
        <v>0.34028935185185183</v>
      </c>
      <c r="D26" s="66" t="s">
        <v>89</v>
      </c>
      <c r="E26" s="66" t="s">
        <v>90</v>
      </c>
      <c r="F26" s="75"/>
      <c r="G26" s="66" t="s">
        <v>95</v>
      </c>
      <c r="H26" s="66" t="s">
        <v>92</v>
      </c>
      <c r="I26" s="31" t="str">
        <f ca="1"/>
        <v>28,84</v>
      </c>
      <c r="J26" s="25">
        <v>26</v>
      </c>
      <c r="K26" s="25" t="str">
        <v>No Match</v>
      </c>
      <c r="L26" s="25"/>
      <c r="M26" s="31">
        <f ca="1"/>
        <v>28.84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1" t="e">
        <f ca="1"/>
        <v>#N/A</v>
      </c>
      <c r="R26" s="31" t="e">
        <f ca="1"/>
        <v>#N/A</v>
      </c>
    </row>
    <row r="27" spans="1:18" x14ac:dyDescent="0.2">
      <c r="A27" s="25">
        <v>26</v>
      </c>
      <c r="B27" s="65">
        <v>45708</v>
      </c>
      <c r="C27" s="70">
        <v>0.34028935185185183</v>
      </c>
      <c r="D27" s="66" t="s">
        <v>89</v>
      </c>
      <c r="E27" s="66" t="s">
        <v>90</v>
      </c>
      <c r="F27" s="75"/>
      <c r="G27" s="66" t="s">
        <v>95</v>
      </c>
      <c r="H27" s="66" t="s">
        <v>92</v>
      </c>
      <c r="I27" s="31" t="str">
        <f ca="1"/>
        <v>28,84</v>
      </c>
      <c r="J27" s="25">
        <v>27</v>
      </c>
      <c r="K27" s="25" t="str">
        <v>No Match</v>
      </c>
      <c r="L27" s="25"/>
      <c r="M27" s="31">
        <f ca="1"/>
        <v>28.84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1" t="e">
        <f ca="1"/>
        <v>#N/A</v>
      </c>
      <c r="R27" s="31" t="e">
        <f ca="1"/>
        <v>#N/A</v>
      </c>
    </row>
    <row r="28" spans="1:18" x14ac:dyDescent="0.2">
      <c r="A28" s="25">
        <v>27</v>
      </c>
      <c r="B28" s="65">
        <v>45708</v>
      </c>
      <c r="C28" s="70">
        <v>0.34028935185185183</v>
      </c>
      <c r="D28" s="66" t="s">
        <v>89</v>
      </c>
      <c r="E28" s="66" t="s">
        <v>90</v>
      </c>
      <c r="F28" s="75"/>
      <c r="G28" s="66" t="s">
        <v>95</v>
      </c>
      <c r="H28" s="66" t="s">
        <v>92</v>
      </c>
      <c r="I28" s="31" t="str">
        <f ca="1"/>
        <v>28,84</v>
      </c>
      <c r="J28" s="25">
        <v>28</v>
      </c>
      <c r="K28" s="25" t="str">
        <v>No Match</v>
      </c>
      <c r="L28" s="25"/>
      <c r="M28" s="31">
        <f ca="1"/>
        <v>28.84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1" t="e">
        <f ca="1"/>
        <v>#N/A</v>
      </c>
      <c r="R28" s="31" t="e">
        <f ca="1"/>
        <v>#N/A</v>
      </c>
    </row>
    <row r="29" spans="1:18" x14ac:dyDescent="0.2">
      <c r="A29" s="25">
        <v>28</v>
      </c>
      <c r="B29" s="65">
        <v>45708</v>
      </c>
      <c r="C29" s="70">
        <v>0.34028935185185183</v>
      </c>
      <c r="D29" s="66" t="s">
        <v>89</v>
      </c>
      <c r="E29" s="66" t="s">
        <v>90</v>
      </c>
      <c r="F29" s="75"/>
      <c r="G29" s="66" t="s">
        <v>95</v>
      </c>
      <c r="H29" s="66" t="s">
        <v>92</v>
      </c>
      <c r="I29" s="31" t="str">
        <f ca="1"/>
        <v>28,84</v>
      </c>
      <c r="J29" s="25">
        <v>29</v>
      </c>
      <c r="K29" s="25" t="str">
        <v>No Match</v>
      </c>
      <c r="L29" s="25"/>
      <c r="M29" s="31">
        <f ca="1"/>
        <v>28.84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1" t="e">
        <f ca="1"/>
        <v>#N/A</v>
      </c>
      <c r="R29" s="31" t="e">
        <f ca="1"/>
        <v>#N/A</v>
      </c>
    </row>
    <row r="30" spans="1:18" x14ac:dyDescent="0.2">
      <c r="A30" s="25">
        <v>29</v>
      </c>
      <c r="B30" s="65">
        <v>45708</v>
      </c>
      <c r="C30" s="70">
        <v>0.34028935185185183</v>
      </c>
      <c r="D30" s="66" t="s">
        <v>89</v>
      </c>
      <c r="E30" s="66" t="s">
        <v>90</v>
      </c>
      <c r="F30" s="75"/>
      <c r="G30" s="66" t="s">
        <v>95</v>
      </c>
      <c r="H30" s="66" t="s">
        <v>92</v>
      </c>
      <c r="I30" s="31" t="str">
        <f ca="1"/>
        <v>28,84</v>
      </c>
      <c r="J30" s="25">
        <v>30</v>
      </c>
      <c r="K30" s="25" t="str">
        <v>No Match</v>
      </c>
      <c r="L30" s="25"/>
      <c r="M30" s="31">
        <f ca="1"/>
        <v>28.84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1" t="e">
        <f ca="1"/>
        <v>#N/A</v>
      </c>
      <c r="R30" s="31" t="e">
        <f ca="1"/>
        <v>#N/A</v>
      </c>
    </row>
    <row r="31" spans="1:18" x14ac:dyDescent="0.2">
      <c r="A31" s="25">
        <v>30</v>
      </c>
      <c r="B31" s="65">
        <v>45708</v>
      </c>
      <c r="C31" s="70">
        <v>0.34028935185185183</v>
      </c>
      <c r="D31" s="66" t="s">
        <v>89</v>
      </c>
      <c r="E31" s="66" t="s">
        <v>90</v>
      </c>
      <c r="F31" s="75"/>
      <c r="G31" s="66" t="s">
        <v>95</v>
      </c>
      <c r="H31" s="66" t="s">
        <v>92</v>
      </c>
      <c r="I31" s="31" t="str">
        <f ca="1"/>
        <v>28,84</v>
      </c>
      <c r="J31" s="25">
        <v>31</v>
      </c>
      <c r="K31" s="25" t="str">
        <v>No Match</v>
      </c>
      <c r="L31" s="25"/>
      <c r="M31" s="31">
        <f ca="1"/>
        <v>28.84</v>
      </c>
      <c r="N31" s="25">
        <f ca="1"/>
        <v>25</v>
      </c>
      <c r="O31" s="25">
        <f ca="1"/>
        <v>24.625</v>
      </c>
      <c r="P31" s="25">
        <f ca="1"/>
        <v>25.375</v>
      </c>
      <c r="Q31" s="31">
        <f ca="1"/>
        <v>27.88000000000001</v>
      </c>
      <c r="R31" s="31">
        <f ca="1"/>
        <v>26.882999999999999</v>
      </c>
    </row>
    <row r="32" spans="1:18" x14ac:dyDescent="0.2">
      <c r="A32" s="25">
        <v>31</v>
      </c>
      <c r="B32" s="65">
        <v>45708</v>
      </c>
      <c r="C32" s="70">
        <v>0.34028935185185183</v>
      </c>
      <c r="D32" s="66" t="s">
        <v>89</v>
      </c>
      <c r="E32" s="66" t="s">
        <v>90</v>
      </c>
      <c r="F32" s="75"/>
      <c r="G32" s="66" t="s">
        <v>100</v>
      </c>
      <c r="H32" s="66" t="s">
        <v>92</v>
      </c>
      <c r="I32" s="31" t="str">
        <f ca="1"/>
        <v>23,84</v>
      </c>
      <c r="J32" s="25">
        <v>32</v>
      </c>
      <c r="K32" s="25" t="str">
        <v>No Match</v>
      </c>
      <c r="L32" s="25"/>
      <c r="M32" s="31">
        <f ca="1"/>
        <v>23.84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1" t="e">
        <f ca="1"/>
        <v>#N/A</v>
      </c>
      <c r="R32" s="31" t="e">
        <f ca="1"/>
        <v>#N/A</v>
      </c>
    </row>
    <row r="33" spans="1:18" x14ac:dyDescent="0.2">
      <c r="A33" s="2">
        <v>32</v>
      </c>
      <c r="B33" s="65">
        <v>45708</v>
      </c>
      <c r="C33" s="70">
        <v>0.34028935185185183</v>
      </c>
      <c r="D33" s="66" t="s">
        <v>89</v>
      </c>
      <c r="E33" s="66" t="s">
        <v>90</v>
      </c>
      <c r="F33" s="75"/>
      <c r="G33" s="66" t="s">
        <v>95</v>
      </c>
      <c r="H33" s="66" t="s">
        <v>92</v>
      </c>
      <c r="I33" s="33" t="str">
        <f ca="1"/>
        <v>28,84</v>
      </c>
      <c r="J33" s="2">
        <v>33</v>
      </c>
      <c r="K33" s="2" t="str">
        <v>No Match</v>
      </c>
      <c r="M33" s="33">
        <f ca="1"/>
        <v>28.84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3" t="e">
        <f ca="1"/>
        <v>#N/A</v>
      </c>
      <c r="R33" s="33" t="e">
        <f ca="1"/>
        <v>#N/A</v>
      </c>
    </row>
    <row r="34" spans="1:18" x14ac:dyDescent="0.2">
      <c r="F34" s="75"/>
    </row>
    <row r="35" spans="1:18" x14ac:dyDescent="0.2">
      <c r="F35" s="75"/>
    </row>
    <row r="36" spans="1:18" x14ac:dyDescent="0.2">
      <c r="F36" s="75"/>
    </row>
    <row r="37" spans="1:18" x14ac:dyDescent="0.2">
      <c r="F37" s="75"/>
    </row>
    <row r="38" spans="1:18" x14ac:dyDescent="0.2">
      <c r="F38" s="75"/>
    </row>
    <row r="39" spans="1:18" x14ac:dyDescent="0.2">
      <c r="F39" s="75"/>
    </row>
    <row r="40" spans="1:18" x14ac:dyDescent="0.2">
      <c r="F40" s="75"/>
    </row>
    <row r="41" spans="1:18" x14ac:dyDescent="0.2">
      <c r="F41" s="75"/>
    </row>
    <row r="42" spans="1:18" x14ac:dyDescent="0.2">
      <c r="F42" s="75"/>
    </row>
    <row r="43" spans="1:18" x14ac:dyDescent="0.2">
      <c r="F43" s="75"/>
    </row>
    <row r="44" spans="1:18" x14ac:dyDescent="0.2">
      <c r="F44" s="75"/>
    </row>
    <row r="45" spans="1:18" x14ac:dyDescent="0.2">
      <c r="F45" s="75"/>
    </row>
    <row r="46" spans="1:18" x14ac:dyDescent="0.2">
      <c r="F46" s="75"/>
    </row>
    <row r="47" spans="1:18" x14ac:dyDescent="0.2">
      <c r="F47" s="75"/>
    </row>
    <row r="48" spans="1:18" x14ac:dyDescent="0.2">
      <c r="F48" s="75"/>
    </row>
    <row r="49" spans="2:7" x14ac:dyDescent="0.2">
      <c r="F49" s="75"/>
    </row>
    <row r="50" spans="2:7" x14ac:dyDescent="0.2">
      <c r="B50" s="73"/>
      <c r="C50" s="74"/>
      <c r="D50" s="75"/>
      <c r="E50" s="75"/>
      <c r="F50" s="75"/>
      <c r="G50" s="75"/>
    </row>
    <row r="51" spans="2:7" x14ac:dyDescent="0.2">
      <c r="B51" s="73"/>
      <c r="C51" s="74"/>
      <c r="D51" s="75"/>
      <c r="E51" s="75"/>
      <c r="F51" s="75"/>
      <c r="G51" s="75"/>
    </row>
    <row r="52" spans="2:7" x14ac:dyDescent="0.2">
      <c r="B52" s="73"/>
      <c r="C52" s="74"/>
      <c r="D52" s="75"/>
      <c r="E52" s="75"/>
      <c r="F52" s="75"/>
      <c r="G52" s="75"/>
    </row>
    <row r="53" spans="2:7" x14ac:dyDescent="0.2">
      <c r="B53" s="73"/>
      <c r="C53" s="74"/>
      <c r="D53" s="75"/>
      <c r="E53" s="75"/>
      <c r="F53" s="75"/>
      <c r="G53" s="75"/>
    </row>
    <row r="54" spans="2:7" x14ac:dyDescent="0.2">
      <c r="B54" s="73"/>
      <c r="C54" s="74"/>
      <c r="D54" s="75"/>
      <c r="E54" s="75"/>
      <c r="F54" s="75"/>
      <c r="G54" s="75"/>
    </row>
    <row r="55" spans="2:7" x14ac:dyDescent="0.2">
      <c r="B55" s="73"/>
      <c r="C55" s="74"/>
      <c r="D55" s="75"/>
      <c r="E55" s="75"/>
      <c r="F55" s="75"/>
      <c r="G55" s="75"/>
    </row>
    <row r="56" spans="2:7" x14ac:dyDescent="0.2">
      <c r="B56" s="73"/>
      <c r="C56" s="74"/>
      <c r="D56" s="75"/>
      <c r="E56" s="75"/>
      <c r="F56" s="75"/>
      <c r="G56" s="75"/>
    </row>
    <row r="57" spans="2:7" x14ac:dyDescent="0.2">
      <c r="B57" s="73"/>
      <c r="C57" s="74"/>
      <c r="D57" s="75"/>
      <c r="E57" s="75"/>
      <c r="F57" s="75"/>
      <c r="G57" s="75"/>
    </row>
    <row r="58" spans="2:7" x14ac:dyDescent="0.2">
      <c r="B58" s="73"/>
      <c r="C58" s="74"/>
      <c r="D58" s="75"/>
      <c r="E58" s="75"/>
      <c r="F58" s="75"/>
      <c r="G58" s="75"/>
    </row>
    <row r="59" spans="2:7" x14ac:dyDescent="0.2">
      <c r="B59" s="73"/>
      <c r="C59" s="74"/>
      <c r="D59" s="75"/>
      <c r="E59" s="75"/>
      <c r="F59" s="75"/>
      <c r="G59" s="75"/>
    </row>
    <row r="60" spans="2:7" x14ac:dyDescent="0.2">
      <c r="B60" s="73"/>
      <c r="C60" s="74"/>
      <c r="D60" s="75"/>
      <c r="E60" s="75"/>
      <c r="G60" s="75"/>
    </row>
    <row r="61" spans="2:7" x14ac:dyDescent="0.2">
      <c r="B61" s="73"/>
      <c r="C61" s="74"/>
      <c r="D61" s="75"/>
      <c r="E61" s="75"/>
      <c r="G61" s="75"/>
    </row>
    <row r="62" spans="2:7" x14ac:dyDescent="0.2">
      <c r="B62" s="73"/>
      <c r="C62" s="74"/>
      <c r="D62" s="75"/>
      <c r="E62" s="75"/>
      <c r="G62" s="75"/>
    </row>
    <row r="63" spans="2:7" x14ac:dyDescent="0.2">
      <c r="B63" s="73"/>
      <c r="C63" s="74"/>
      <c r="D63" s="75"/>
      <c r="E63" s="75"/>
      <c r="G63" s="75"/>
    </row>
    <row r="64" spans="2:7" x14ac:dyDescent="0.2">
      <c r="B64" s="73"/>
      <c r="C64" s="74"/>
      <c r="D64" s="75"/>
      <c r="E64" s="75"/>
      <c r="G64" s="75"/>
    </row>
    <row r="65" spans="2:7" x14ac:dyDescent="0.2">
      <c r="B65" s="73"/>
      <c r="C65" s="74"/>
      <c r="D65" s="75"/>
      <c r="E65" s="75"/>
      <c r="G65" s="75"/>
    </row>
    <row r="66" spans="2:7" x14ac:dyDescent="0.2">
      <c r="B66" s="73"/>
      <c r="C66" s="74"/>
      <c r="D66" s="75"/>
      <c r="E66" s="75"/>
      <c r="G66" s="75"/>
    </row>
    <row r="67" spans="2:7" x14ac:dyDescent="0.2">
      <c r="B67" s="73"/>
      <c r="C67" s="74"/>
      <c r="D67" s="75"/>
      <c r="E67" s="75"/>
      <c r="G67" s="75"/>
    </row>
    <row r="68" spans="2:7" x14ac:dyDescent="0.2">
      <c r="B68" s="73"/>
      <c r="C68" s="74"/>
      <c r="D68" s="75"/>
      <c r="E68" s="75"/>
      <c r="G68" s="75"/>
    </row>
    <row r="69" spans="2:7" x14ac:dyDescent="0.2">
      <c r="B69" s="73"/>
      <c r="C69" s="74"/>
      <c r="D69" s="75"/>
      <c r="E69" s="75"/>
      <c r="G69" s="75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workbookViewId="0"/>
    <sheetView tabSelected="1" workbookViewId="1">
      <selection activeCell="C1" sqref="C1"/>
    </sheetView>
  </sheetViews>
  <sheetFormatPr baseColWidth="10" defaultRowHeight="16" x14ac:dyDescent="0.2"/>
  <cols>
    <col min="1" max="1" width="3.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9.6640625" customWidth="1"/>
    <col min="12" max="13" width="9" customWidth="1"/>
  </cols>
  <sheetData>
    <row r="1" spans="1:14" x14ac:dyDescent="0.2">
      <c r="B1" s="2"/>
      <c r="I1" s="2"/>
      <c r="J1" s="2"/>
      <c r="K1" s="2"/>
      <c r="L1" s="2"/>
      <c r="M1" s="2"/>
      <c r="N1" s="2"/>
    </row>
    <row r="2" spans="1:14" x14ac:dyDescent="0.2">
      <c r="B2" s="2" t="s">
        <v>0</v>
      </c>
      <c r="C2" s="1">
        <f ca="1">NOW()</f>
        <v>45713.904849074075</v>
      </c>
      <c r="E2" s="25"/>
      <c r="F2" s="25"/>
      <c r="H2" s="25"/>
      <c r="I2" s="2"/>
      <c r="K2" s="2" t="s">
        <v>70</v>
      </c>
      <c r="L2" s="2"/>
      <c r="M2" s="49">
        <f ca="1">calculs_intermediaires!AB3</f>
        <v>26.34</v>
      </c>
      <c r="N2" s="30"/>
    </row>
    <row r="3" spans="1:14" x14ac:dyDescent="0.2">
      <c r="B3" s="2" t="s">
        <v>1</v>
      </c>
      <c r="C3" s="77" t="s">
        <v>109</v>
      </c>
      <c r="E3" s="25"/>
      <c r="F3" s="25"/>
      <c r="I3" s="2"/>
      <c r="K3" s="2" t="s">
        <v>69</v>
      </c>
      <c r="L3" s="11"/>
      <c r="M3" s="72">
        <f ca="1">calculs_intermediaires!AB5</f>
        <v>27.783750000000012</v>
      </c>
      <c r="N3" s="33"/>
    </row>
    <row r="4" spans="1:14" x14ac:dyDescent="0.2">
      <c r="B4" s="2" t="s">
        <v>2</v>
      </c>
      <c r="C4" s="78" t="s">
        <v>110</v>
      </c>
      <c r="E4" s="25"/>
      <c r="F4" s="25"/>
      <c r="I4" s="2"/>
      <c r="K4" s="9" t="s">
        <v>5</v>
      </c>
      <c r="L4" s="2">
        <f>calculs_intermediaires!C18</f>
        <v>22.75</v>
      </c>
      <c r="M4" s="9">
        <f ca="1">calculs_intermediaires!BC3</f>
        <v>0</v>
      </c>
      <c r="N4" s="2"/>
    </row>
    <row r="5" spans="1:14" x14ac:dyDescent="0.2">
      <c r="B5" s="2" t="s">
        <v>7</v>
      </c>
      <c r="C5" s="79">
        <v>25</v>
      </c>
      <c r="I5" s="2"/>
      <c r="K5" s="9" t="s">
        <v>9</v>
      </c>
      <c r="L5" s="71">
        <f>calculs_intermediaires!C19</f>
        <v>20.5</v>
      </c>
      <c r="M5" s="11">
        <f ca="1">calculs_intermediaires!BL3</f>
        <v>1</v>
      </c>
      <c r="N5" s="2"/>
    </row>
    <row r="6" spans="1:14" x14ac:dyDescent="0.2">
      <c r="B6" s="25" t="s">
        <v>75</v>
      </c>
      <c r="C6" s="2" t="s">
        <v>76</v>
      </c>
      <c r="I6" s="2"/>
      <c r="K6" s="2"/>
      <c r="M6" s="2"/>
      <c r="N6" s="2"/>
    </row>
    <row r="7" spans="1:14" x14ac:dyDescent="0.2">
      <c r="B7" s="2"/>
      <c r="I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q7oOx1D/UrKSAV5k5lmUMFO9kftYHXrkGPJ4UXQ/3sVDcht4LToPyVXqd4OnfqlUZc8cFojhMI1+9fiNG399kg==" saltValue="3t+SIsZqO45W+OBZ1jt3Wg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CallRecentrer">
                <anchor moveWithCells="1" sizeWithCells="1">
                  <from>
                    <xdr:col>8</xdr:col>
                    <xdr:colOff>1447800</xdr:colOff>
                    <xdr:row>3</xdr:row>
                    <xdr:rowOff>127000</xdr:rowOff>
                  </from>
                  <to>
                    <xdr:col>9</xdr:col>
                    <xdr:colOff>1193800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" altText="Clean">
                <anchor moveWithCells="1" sizeWithCells="1">
                  <from>
                    <xdr:col>13</xdr:col>
                    <xdr:colOff>419100</xdr:colOff>
                    <xdr:row>0</xdr:row>
                    <xdr:rowOff>76200</xdr:rowOff>
                  </from>
                  <to>
                    <xdr:col>14</xdr:col>
                    <xdr:colOff>787400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allVueGlobale" altText="TARE">
                <anchor moveWithCells="1" sizeWithCells="1">
                  <from>
                    <xdr:col>8</xdr:col>
                    <xdr:colOff>1422400</xdr:colOff>
                    <xdr:row>1</xdr:row>
                    <xdr:rowOff>25400</xdr:rowOff>
                  </from>
                  <to>
                    <xdr:col>9</xdr:col>
                    <xdr:colOff>1181100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Y100"/>
  <sheetViews>
    <sheetView workbookViewId="0"/>
    <sheetView workbookViewId="1">
      <selection activeCell="BK3" sqref="BK3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23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15.1640625" bestFit="1" customWidth="1"/>
    <col min="40" max="40" width="11.5" bestFit="1" customWidth="1"/>
    <col min="41" max="41" width="14.5" style="29" bestFit="1" customWidth="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6" width="6" bestFit="1" customWidth="1"/>
    <col min="47" max="47" width="7.33203125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5.33203125" style="2" bestFit="1" customWidth="1"/>
    <col min="76" max="76" width="12" bestFit="1" customWidth="1"/>
    <col min="77" max="77" width="10.1640625" bestFit="1" customWidth="1"/>
  </cols>
  <sheetData>
    <row r="1" spans="2:77" x14ac:dyDescent="0.2">
      <c r="U1"/>
      <c r="V1"/>
      <c r="W1"/>
      <c r="X1"/>
      <c r="Y1"/>
      <c r="Z1"/>
      <c r="AA1"/>
      <c r="AB1" s="32"/>
    </row>
    <row r="2" spans="2:77" x14ac:dyDescent="0.2">
      <c r="B2" s="6" t="s">
        <v>10</v>
      </c>
      <c r="M2" s="27" t="s">
        <v>78</v>
      </c>
      <c r="U2" s="26" t="s">
        <v>55</v>
      </c>
      <c r="V2" s="3">
        <v>10</v>
      </c>
      <c r="Z2"/>
      <c r="AA2" s="2" t="s">
        <v>106</v>
      </c>
      <c r="AB2" s="33" t="e">
        <f>INDEX(W:W,MATCH(TRUE,Y:Y,0))</f>
        <v>#N/A</v>
      </c>
      <c r="AE2" s="6" t="s">
        <v>36</v>
      </c>
      <c r="AG2" s="37">
        <v>10</v>
      </c>
      <c r="AJ2" s="6" t="s">
        <v>56</v>
      </c>
      <c r="AL2" s="46"/>
      <c r="AQ2" s="5" t="s">
        <v>71</v>
      </c>
      <c r="AS2" t="s">
        <v>77</v>
      </c>
      <c r="AT2" s="76" t="b">
        <v>1</v>
      </c>
      <c r="AX2" s="6" t="s">
        <v>73</v>
      </c>
      <c r="AZ2" s="44" t="s">
        <v>5</v>
      </c>
      <c r="BA2" s="22">
        <f>C18</f>
        <v>22.75</v>
      </c>
      <c r="BI2" s="44" t="s">
        <v>9</v>
      </c>
      <c r="BJ2" s="22">
        <f>C19</f>
        <v>20.5</v>
      </c>
    </row>
    <row r="3" spans="2:77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105</v>
      </c>
      <c r="AB3" s="33">
        <f ca="1">INDEX(W:W,MATCH(TRUE,Z:Z,0))</f>
        <v>26.34</v>
      </c>
      <c r="AL3" s="32"/>
      <c r="AZ3" s="44" t="s">
        <v>74</v>
      </c>
      <c r="BA3" s="24">
        <f>COUNTA(BE:BE)-1</f>
        <v>0</v>
      </c>
      <c r="BB3" s="14" t="s">
        <v>111</v>
      </c>
      <c r="BC3" s="99">
        <f ca="1">COUNTIFS(data_brute!M:M,"&lt;="&amp;BA2,data_brute!M:M,"&gt;"&amp;BJ2,data_brute!M:M,"&gt;0")</f>
        <v>0</v>
      </c>
      <c r="BI3" s="44" t="s">
        <v>74</v>
      </c>
      <c r="BJ3" s="24">
        <f>COUNTA(BN:BN)-1</f>
        <v>0</v>
      </c>
      <c r="BK3" s="14" t="s">
        <v>111</v>
      </c>
      <c r="BL3" s="99">
        <f ca="1">COUNTIFS(data_brute!M:M,"&lt;="&amp;BJ2,data_brute!M:M,"&gt;0")</f>
        <v>1</v>
      </c>
    </row>
    <row r="4" spans="2:77" ht="16" customHeight="1" x14ac:dyDescent="0.2">
      <c r="B4" s="2" t="s">
        <v>6</v>
      </c>
      <c r="C4" s="20">
        <f>interface!C5</f>
        <v>25</v>
      </c>
      <c r="E4" s="14" t="s">
        <v>37</v>
      </c>
      <c r="F4" s="36">
        <f>COUNTA(data_brute!B:B)-1</f>
        <v>32</v>
      </c>
      <c r="M4" s="14"/>
      <c r="N4" s="93" t="s">
        <v>75</v>
      </c>
      <c r="O4" s="84" t="s">
        <v>85</v>
      </c>
      <c r="P4" s="85"/>
      <c r="Q4" s="85"/>
      <c r="R4" s="86"/>
      <c r="AA4" s="2" t="s">
        <v>107</v>
      </c>
      <c r="AB4" s="33" t="e">
        <f>INDEX(AL:AL,MATCH(TRUE,AN:AN,0))</f>
        <v>#N/A</v>
      </c>
      <c r="AL4" s="32"/>
      <c r="AQ4" s="2" t="s">
        <v>72</v>
      </c>
      <c r="AR4" t="b">
        <f>IF(calculs_intermediaires!F4&gt;=10,TRUE,FALSE)</f>
        <v>1</v>
      </c>
      <c r="AZ4" s="62" t="s">
        <v>72</v>
      </c>
      <c r="BA4" t="b">
        <f>BA3&gt;0</f>
        <v>0</v>
      </c>
      <c r="BI4" s="44" t="s">
        <v>72</v>
      </c>
      <c r="BJ4" s="2" t="b">
        <f>BJ3&gt;0</f>
        <v>0</v>
      </c>
    </row>
    <row r="5" spans="2:77" x14ac:dyDescent="0.2">
      <c r="E5" s="14" t="s">
        <v>38</v>
      </c>
      <c r="F5" s="2">
        <f>F3+F4-1</f>
        <v>33</v>
      </c>
      <c r="N5" s="93"/>
      <c r="O5" s="87"/>
      <c r="P5" s="88"/>
      <c r="Q5" s="88"/>
      <c r="R5" s="89"/>
      <c r="AA5" s="83" t="s">
        <v>108</v>
      </c>
      <c r="AB5" s="83">
        <f ca="1">INDEX(AL:AL,MATCH(TRUE,AO:AO,0))</f>
        <v>27.783750000000012</v>
      </c>
      <c r="AL5" s="32"/>
      <c r="AY5" s="43"/>
      <c r="AZ5" s="44"/>
    </row>
    <row r="6" spans="2:77" ht="17" thickBot="1" x14ac:dyDescent="0.25">
      <c r="B6" s="26" t="s">
        <v>20</v>
      </c>
      <c r="C6" s="27">
        <f>MATCH(TRUE,$D$10:$D$16,0)</f>
        <v>1</v>
      </c>
      <c r="M6" s="4"/>
      <c r="N6" s="93"/>
      <c r="O6" s="90"/>
      <c r="P6" s="91"/>
      <c r="Q6" s="91"/>
      <c r="R6" s="92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103</v>
      </c>
      <c r="Z6" s="47" t="s">
        <v>104</v>
      </c>
      <c r="AE6" s="45" t="s">
        <v>34</v>
      </c>
      <c r="AF6" s="45" t="s">
        <v>32</v>
      </c>
      <c r="AG6" s="47" t="s">
        <v>33</v>
      </c>
      <c r="AH6" s="45" t="s">
        <v>39</v>
      </c>
      <c r="AJ6" s="45" t="s">
        <v>34</v>
      </c>
      <c r="AK6" s="45" t="s">
        <v>32</v>
      </c>
      <c r="AL6" s="47" t="s">
        <v>33</v>
      </c>
      <c r="AM6" s="45" t="s">
        <v>39</v>
      </c>
      <c r="AN6" s="47" t="s">
        <v>103</v>
      </c>
      <c r="AO6" s="47" t="s">
        <v>104</v>
      </c>
      <c r="AQ6" s="51" t="s">
        <v>6</v>
      </c>
      <c r="AR6" s="52">
        <f>C4</f>
        <v>25</v>
      </c>
      <c r="AS6" s="52"/>
      <c r="AT6" s="52"/>
      <c r="AU6" s="53">
        <f>C4</f>
        <v>25</v>
      </c>
      <c r="BW6" s="2" t="s">
        <v>88</v>
      </c>
      <c r="BX6" s="20">
        <v>1.5</v>
      </c>
    </row>
    <row r="7" spans="2:77" ht="18" thickTop="1" thickBot="1" x14ac:dyDescent="0.25">
      <c r="M7" s="2"/>
      <c r="N7" s="14" t="s">
        <v>84</v>
      </c>
      <c r="O7" s="80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28.365000000000002</v>
      </c>
      <c r="X7" s="46">
        <f ca="1">IF(W7&lt;&gt;"",$AG$2*(ROW()-ROW($AH$6)),NA())</f>
        <v>10</v>
      </c>
      <c r="Y7" s="2" t="b">
        <f>IF(AND($F$5&gt;=U7,$F$5&lt;=V7,V7=$F$5),TRUE,FALSE)</f>
        <v>0</v>
      </c>
      <c r="Z7" s="2" t="b">
        <f>IF(AND($F$5&gt;=U7,$F$5&lt;=V7),TRUE,FALSE)</f>
        <v>0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28.365000000000002</v>
      </c>
      <c r="AH7" s="46">
        <f ca="1">IF(AG7&lt;&gt;"",$AG$2*(ROW()-ROW($AH$6)),NA())</f>
        <v>10</v>
      </c>
      <c r="AJ7" s="2">
        <f>F3</f>
        <v>2</v>
      </c>
      <c r="AK7" s="46">
        <f>AJ7+$AG$2-1</f>
        <v>11</v>
      </c>
      <c r="AL7" s="33">
        <f ca="1">IFERROR(AVERAGEIFS(data_brute!M:M,data_brute!J:J,"&lt;="&amp;AK7),NA())</f>
        <v>28.365000000000002</v>
      </c>
      <c r="AM7" s="46">
        <f ca="1">IF(AL7&lt;&gt;"",$AG$2*(ROW()-ROW($AH$6)),NA())</f>
        <v>10</v>
      </c>
      <c r="AN7" s="46" t="b">
        <f>IF(AND($F$5&gt;=AJ7,$F$5&lt;=AK7,AK7=$F$5),TRUE,FALSE)</f>
        <v>0</v>
      </c>
      <c r="AO7" s="50" t="b">
        <f>IF(AND($F$5&gt;=AJ7,$F$5&lt;=AK7),TRUE,FALSE)</f>
        <v>0</v>
      </c>
      <c r="AP7" s="2"/>
      <c r="AQ7" s="54" t="s">
        <v>52</v>
      </c>
      <c r="AR7" s="31" t="e">
        <f>AB2</f>
        <v>#N/A</v>
      </c>
      <c r="AS7" s="31" t="e">
        <f>AB2</f>
        <v>#N/A</v>
      </c>
      <c r="AT7" s="31">
        <v>25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  <c r="BX7" t="s">
        <v>101</v>
      </c>
      <c r="BY7" t="s">
        <v>102</v>
      </c>
    </row>
    <row r="8" spans="2:77" ht="17" thickTop="1" x14ac:dyDescent="0.2">
      <c r="B8" s="95" t="s">
        <v>6</v>
      </c>
      <c r="C8" s="96"/>
      <c r="D8" s="97" t="s">
        <v>16</v>
      </c>
      <c r="E8" s="95" t="s">
        <v>14</v>
      </c>
      <c r="F8" s="96"/>
      <c r="G8" s="7" t="s">
        <v>17</v>
      </c>
      <c r="H8" s="97" t="s">
        <v>19</v>
      </c>
      <c r="I8" s="95"/>
      <c r="J8" s="96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>
        <f ca="1">IFERROR(AVERAGEIFS(data_brute!M:M,data_brute!J:J,"&lt;="&amp;V8,data_brute!J:J,"&gt;="&amp;U8),NA())</f>
        <v>28.391999999999996</v>
      </c>
      <c r="X8" s="46">
        <f ca="1">IF(W8&lt;&gt;"",$AG$2*(ROW()-ROW($AH$6)),NA())</f>
        <v>20</v>
      </c>
      <c r="Y8" s="2" t="b">
        <f t="shared" ref="Y8:Y71" si="0">IF(AND($F$5&gt;=U8,$F$5&lt;=V8,V8=$F$5),TRUE,FALSE)</f>
        <v>0</v>
      </c>
      <c r="Z8" s="2" t="b">
        <f t="shared" ref="Z8:Z71" si="1">IF(AND($F$5&gt;=U8,$F$5&lt;=V8),TRUE,FALSE)</f>
        <v>0</v>
      </c>
      <c r="AE8" s="46">
        <f>AF7+1</f>
        <v>12</v>
      </c>
      <c r="AF8" s="46">
        <f>AE8+$AG$2-1</f>
        <v>21</v>
      </c>
      <c r="AG8" s="33">
        <f ca="1">IFERROR(AVERAGEIFS(data_brute!M:M,data_brute!J:J,"&gt;="&amp;AE8,data_brute!J:J,"&lt;="&amp;AF8),NA())</f>
        <v>28.391999999999996</v>
      </c>
      <c r="AH8" s="46">
        <f ca="1">IF(AG8&lt;&gt;"",$AG$2*(ROW()-ROW($AH$6)),NA())</f>
        <v>20</v>
      </c>
      <c r="AJ8" s="46">
        <f>AK7+1</f>
        <v>12</v>
      </c>
      <c r="AK8" s="46">
        <f>AJ8+$AG$2-1</f>
        <v>21</v>
      </c>
      <c r="AL8" s="33">
        <f ca="1">IFERROR(AVERAGEIFS(data_brute!M:M,data_brute!J:J,"&lt;="&amp;AK8),NA())</f>
        <v>28.378500000000003</v>
      </c>
      <c r="AM8" s="46">
        <f ca="1">IF(AL8&lt;&gt;"",$AG$2*(ROW()-ROW($AH$6)),NA())</f>
        <v>20</v>
      </c>
      <c r="AN8" s="46" t="b">
        <f t="shared" ref="AN8:AN71" si="2">IF(AND($F$5&gt;=AJ8,$F$5&lt;=AK8,AK8=$F$5),TRUE,FALSE)</f>
        <v>0</v>
      </c>
      <c r="AO8" s="50" t="b">
        <f t="shared" ref="AO8:AO71" si="3">IF(AND($F$5&gt;=AJ8,$F$5&lt;=AK8),TRUE,FALSE)</f>
        <v>0</v>
      </c>
      <c r="AP8" s="2"/>
      <c r="AQ8" s="54" t="s">
        <v>54</v>
      </c>
      <c r="AR8" s="25"/>
      <c r="AS8" s="25"/>
      <c r="AT8" s="25"/>
      <c r="AU8" s="56" t="e">
        <f>AB4</f>
        <v>#N/A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t="str" cm="1">
        <f t="array" aca="1" ref="BG8" ca="1">_xlfn._xlws.FILTER(data_brute!A:C,(data_brute!M:M&lt;=BJ2)*(data_brute!M:M&gt;0)*(data_brute!J:J=$F$5),"")</f>
        <v/>
      </c>
      <c r="BJ8" s="2" t="str" cm="1">
        <f t="array" aca="1" ref="BJ8" ca="1">_xlfn._xlws.FILTER(data_brute!I:M,(data_brute!M:M&lt;=BJ2)*(data_brute!M:M&gt;0)*(data_brute!J:J=$F$5),"")</f>
        <v/>
      </c>
      <c r="BQ8" s="2" t="s">
        <v>12</v>
      </c>
      <c r="BR8" s="2" cm="1">
        <f t="array" aca="1" ref="BR8" ca="1">MIN(IF(ISNUMBER(data_brute!N:N),data_brute!N:N))</f>
        <v>25</v>
      </c>
      <c r="BS8" s="2" cm="1">
        <f t="array" aca="1" ref="BS8" ca="1">MIN(IF(ISNUMBER(data_brute!O:O),data_brute!O:O))</f>
        <v>24.625</v>
      </c>
      <c r="BT8" s="2" cm="1">
        <f t="array" aca="1" ref="BT8" ca="1">MIN(IF(ISNUMBER(data_brute!P:P),data_brute!P:P))</f>
        <v>25.375</v>
      </c>
      <c r="BU8" s="33" cm="1">
        <f t="array" aca="1" ref="BU8" ca="1">MIN(IF(ISNUMBER(data_brute!Q:Q),data_brute!Q:Q))</f>
        <v>27.88000000000001</v>
      </c>
      <c r="BV8" s="33" cm="1">
        <f t="array" aca="1" ref="BV8" ca="1">MIN(IF(ISNUMBER(data_brute!R:R),data_brute!R:R))</f>
        <v>26.882999999999999</v>
      </c>
      <c r="BX8" s="81">
        <f ca="1">BS8-BX6</f>
        <v>23.125</v>
      </c>
      <c r="BY8" s="17">
        <f ca="1">MIN(BR8:BV8)-BX6</f>
        <v>23.125</v>
      </c>
    </row>
    <row r="9" spans="2:77" x14ac:dyDescent="0.2">
      <c r="B9" s="18" t="s">
        <v>11</v>
      </c>
      <c r="C9" s="19" t="s">
        <v>12</v>
      </c>
      <c r="D9" s="98"/>
      <c r="E9" s="18" t="s">
        <v>13</v>
      </c>
      <c r="F9" s="19" t="s">
        <v>15</v>
      </c>
      <c r="G9" s="21" t="s">
        <v>18</v>
      </c>
      <c r="H9" s="98"/>
      <c r="I9" s="18" t="s">
        <v>5</v>
      </c>
      <c r="J9" s="19" t="s">
        <v>9</v>
      </c>
      <c r="M9" s="2"/>
      <c r="N9" s="2"/>
      <c r="O9" s="94"/>
      <c r="P9" s="94"/>
      <c r="Q9" s="94"/>
      <c r="R9" s="94"/>
      <c r="U9" s="46">
        <f t="shared" ref="U9:U72" si="4">V8+1</f>
        <v>22</v>
      </c>
      <c r="V9" s="46">
        <f t="shared" ref="V9:V72" si="5">U9+$AG$2-1</f>
        <v>31</v>
      </c>
      <c r="W9" s="33">
        <f ca="1">IFERROR(AVERAGEIFS(data_brute!M:M,data_brute!J:J,"&lt;="&amp;V9,data_brute!J:J,"&gt;="&amp;U9),NA())</f>
        <v>26.882999999999999</v>
      </c>
      <c r="X9" s="46">
        <f t="shared" ref="X9:X72" ca="1" si="6">IF(W9&lt;&gt;"",$AG$2*(ROW()-ROW($AH$6)),NA())</f>
        <v>30</v>
      </c>
      <c r="Y9" s="2" t="b">
        <f t="shared" si="0"/>
        <v>0</v>
      </c>
      <c r="Z9" s="2" t="b">
        <f t="shared" si="1"/>
        <v>0</v>
      </c>
      <c r="AE9" s="46">
        <f t="shared" ref="AE9:AE42" si="7">AF8+1</f>
        <v>22</v>
      </c>
      <c r="AF9" s="46">
        <f t="shared" ref="AF9:AF42" si="8">AE9+$AG$2-1</f>
        <v>31</v>
      </c>
      <c r="AG9" s="33">
        <f ca="1">IFERROR(AVERAGEIFS(data_brute!M:M,data_brute!J:J,"&gt;="&amp;AE9,data_brute!J:J,"&lt;="&amp;AF9),NA())</f>
        <v>26.882999999999999</v>
      </c>
      <c r="AH9" s="46">
        <f t="shared" ref="AH9:AH42" ca="1" si="9">IF(AG9&lt;&gt;"",$AG$2*(ROW()-ROW($AH$6)),NA())</f>
        <v>30</v>
      </c>
      <c r="AJ9" s="46">
        <f t="shared" ref="AJ9:AJ42" si="10">AK8+1</f>
        <v>22</v>
      </c>
      <c r="AK9" s="46">
        <f t="shared" ref="AK9:AK42" si="11">AJ9+$AG$2-1</f>
        <v>31</v>
      </c>
      <c r="AL9" s="33">
        <f ca="1">IFERROR(AVERAGEIFS(data_brute!M:M,data_brute!J:J,"&lt;="&amp;AK9),NA())</f>
        <v>27.88000000000001</v>
      </c>
      <c r="AM9" s="46">
        <f t="shared" ref="AM9:AM42" ca="1" si="12">IF(AL9&lt;&gt;"",$AG$2*(ROW()-ROW($AH$6)),NA())</f>
        <v>30</v>
      </c>
      <c r="AN9" s="46" t="b">
        <f t="shared" si="2"/>
        <v>0</v>
      </c>
      <c r="AO9" s="50" t="b">
        <f t="shared" si="3"/>
        <v>0</v>
      </c>
      <c r="AP9" s="2"/>
      <c r="AQ9" s="54" t="s">
        <v>24</v>
      </c>
      <c r="AR9" s="25"/>
      <c r="AS9" s="31">
        <f>C25</f>
        <v>24.625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25</v>
      </c>
      <c r="BS9" s="2" cm="1">
        <f t="array" aca="1" ref="BS9" ca="1">MIN(IF(ISNUMBER(data_brute!O:O),data_brute!O:O))</f>
        <v>24.625</v>
      </c>
      <c r="BT9" s="2" cm="1">
        <f t="array" aca="1" ref="BT9" ca="1">MIN(IF(ISNUMBER(data_brute!P:P),data_brute!P:P))</f>
        <v>25.375</v>
      </c>
      <c r="BU9" s="33" cm="1">
        <f t="array" aca="1" ref="BU9" ca="1">MAX(IF(ISNUMBER(data_brute!Q:Q),data_brute!Q:Q))</f>
        <v>28.378500000000003</v>
      </c>
      <c r="BV9" s="2" cm="1">
        <f t="array" aca="1" ref="BV9" ca="1">MAX(IF(ISNUMBER(data_brute!R:R),data_brute!R:R))</f>
        <v>28.391999999999996</v>
      </c>
      <c r="BX9" s="82">
        <f ca="1">BT9+BX6</f>
        <v>26.875</v>
      </c>
      <c r="BY9" s="34">
        <f ca="1">MAX(BR9:BV9)+BX6</f>
        <v>29.891999999999996</v>
      </c>
    </row>
    <row r="10" spans="2:77" x14ac:dyDescent="0.2">
      <c r="B10" s="8">
        <v>5</v>
      </c>
      <c r="C10" s="9">
        <v>50</v>
      </c>
      <c r="D10" s="12" t="b">
        <f t="shared" ref="D10:D16" si="13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46">
        <f t="shared" si="4"/>
        <v>32</v>
      </c>
      <c r="V10" s="46">
        <f t="shared" si="5"/>
        <v>41</v>
      </c>
      <c r="W10" s="33">
        <f ca="1">IFERROR(AVERAGEIFS(data_brute!M:M,data_brute!J:J,"&lt;="&amp;V10,data_brute!J:J,"&gt;="&amp;U10),NA())</f>
        <v>26.34</v>
      </c>
      <c r="X10" s="46">
        <f t="shared" ca="1" si="6"/>
        <v>40</v>
      </c>
      <c r="Y10" s="2" t="b">
        <f t="shared" si="0"/>
        <v>0</v>
      </c>
      <c r="Z10" s="2" t="b">
        <f t="shared" si="1"/>
        <v>1</v>
      </c>
      <c r="AE10" s="46">
        <f t="shared" si="7"/>
        <v>32</v>
      </c>
      <c r="AF10" s="46">
        <f t="shared" si="8"/>
        <v>41</v>
      </c>
      <c r="AG10" s="33">
        <f ca="1">IFERROR(AVERAGEIFS(data_brute!M:M,data_brute!J:J,"&gt;="&amp;AE10,data_brute!J:J,"&lt;="&amp;AF10),NA())</f>
        <v>26.34</v>
      </c>
      <c r="AH10" s="46">
        <f t="shared" ca="1" si="9"/>
        <v>40</v>
      </c>
      <c r="AJ10" s="46">
        <f t="shared" si="10"/>
        <v>32</v>
      </c>
      <c r="AK10" s="46">
        <f t="shared" si="11"/>
        <v>41</v>
      </c>
      <c r="AL10" s="33">
        <f ca="1">IFERROR(AVERAGEIFS(data_brute!M:M,data_brute!J:J,"&lt;="&amp;AK10),NA())</f>
        <v>27.783750000000012</v>
      </c>
      <c r="AM10" s="46">
        <f t="shared" ca="1" si="12"/>
        <v>40</v>
      </c>
      <c r="AN10" s="46" t="b">
        <f t="shared" si="2"/>
        <v>0</v>
      </c>
      <c r="AO10" s="50" t="b">
        <f t="shared" si="3"/>
        <v>1</v>
      </c>
      <c r="AP10" s="2"/>
      <c r="AQ10" s="54" t="s">
        <v>25</v>
      </c>
      <c r="AR10" s="25"/>
      <c r="AS10" s="25"/>
      <c r="AT10" s="31">
        <f>C26</f>
        <v>25.375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7" x14ac:dyDescent="0.2">
      <c r="B11" s="8">
        <v>50</v>
      </c>
      <c r="C11" s="9">
        <v>100</v>
      </c>
      <c r="D11" s="12" t="b">
        <f t="shared" si="13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5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4"/>
        <v>42</v>
      </c>
      <c r="V11" s="46">
        <f t="shared" si="5"/>
        <v>51</v>
      </c>
      <c r="W11" s="33" t="e">
        <f>IFERROR(AVERAGEIFS(data_brute!M:M,data_brute!J:J,"&lt;="&amp;V11,data_brute!J:J,"&gt;="&amp;U11),NA())</f>
        <v>#N/A</v>
      </c>
      <c r="X11" s="46" t="e">
        <f t="shared" si="6"/>
        <v>#N/A</v>
      </c>
      <c r="Y11" s="2" t="b">
        <f t="shared" si="0"/>
        <v>0</v>
      </c>
      <c r="Z11" s="2" t="b">
        <f t="shared" si="1"/>
        <v>0</v>
      </c>
      <c r="AE11" s="46">
        <f t="shared" si="7"/>
        <v>42</v>
      </c>
      <c r="AF11" s="46">
        <f t="shared" si="8"/>
        <v>51</v>
      </c>
      <c r="AG11" s="33" t="e">
        <f>IFERROR(AVERAGEIFS(data_brute!M:M,data_brute!J:J,"&gt;="&amp;AE11,data_brute!J:J,"&lt;="&amp;AF11),NA())</f>
        <v>#N/A</v>
      </c>
      <c r="AH11" s="46" t="e">
        <f t="shared" si="9"/>
        <v>#N/A</v>
      </c>
      <c r="AJ11" s="46">
        <f t="shared" si="10"/>
        <v>42</v>
      </c>
      <c r="AK11" s="46">
        <f t="shared" si="11"/>
        <v>51</v>
      </c>
      <c r="AL11" s="33">
        <f ca="1">IFERROR(AVERAGEIFS(data_brute!M:M,data_brute!J:J,"&lt;="&amp;AK11),NA())</f>
        <v>27.783750000000012</v>
      </c>
      <c r="AM11" s="46">
        <f t="shared" ca="1" si="12"/>
        <v>50</v>
      </c>
      <c r="AN11" s="46" t="b">
        <f t="shared" si="2"/>
        <v>0</v>
      </c>
      <c r="AO11" s="50" t="b">
        <f t="shared" si="3"/>
        <v>0</v>
      </c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7" x14ac:dyDescent="0.2">
      <c r="B12" s="8">
        <v>100</v>
      </c>
      <c r="C12" s="9">
        <v>200</v>
      </c>
      <c r="D12" s="12" t="b">
        <f t="shared" si="13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4"/>
        <v>52</v>
      </c>
      <c r="V12" s="46">
        <f t="shared" si="5"/>
        <v>61</v>
      </c>
      <c r="W12" s="33" t="e">
        <f>IFERROR(AVERAGEIFS(data_brute!M:M,data_brute!J:J,"&lt;="&amp;V12,data_brute!J:J,"&gt;="&amp;U12),NA())</f>
        <v>#N/A</v>
      </c>
      <c r="X12" s="46" t="e">
        <f t="shared" si="6"/>
        <v>#N/A</v>
      </c>
      <c r="Y12" s="2" t="b">
        <f t="shared" si="0"/>
        <v>0</v>
      </c>
      <c r="Z12" s="2" t="b">
        <f t="shared" si="1"/>
        <v>0</v>
      </c>
      <c r="AE12" s="46">
        <f t="shared" si="7"/>
        <v>52</v>
      </c>
      <c r="AF12" s="46">
        <f t="shared" si="8"/>
        <v>61</v>
      </c>
      <c r="AG12" s="33" t="e">
        <f>IFERROR(AVERAGEIFS(data_brute!M:M,data_brute!J:J,"&gt;="&amp;AE12,data_brute!J:J,"&lt;="&amp;AF12),NA())</f>
        <v>#N/A</v>
      </c>
      <c r="AH12" s="46" t="e">
        <f t="shared" si="9"/>
        <v>#N/A</v>
      </c>
      <c r="AJ12" s="46">
        <f t="shared" si="10"/>
        <v>52</v>
      </c>
      <c r="AK12" s="46">
        <f t="shared" si="11"/>
        <v>61</v>
      </c>
      <c r="AL12" s="33">
        <f ca="1">IFERROR(AVERAGEIFS(data_brute!M:M,data_brute!J:J,"&lt;="&amp;AK12),NA())</f>
        <v>27.783750000000012</v>
      </c>
      <c r="AM12" s="46">
        <f t="shared" ca="1" si="12"/>
        <v>60</v>
      </c>
      <c r="AN12" s="46" t="b">
        <f t="shared" si="2"/>
        <v>0</v>
      </c>
      <c r="AO12" s="50" t="b">
        <f t="shared" si="3"/>
        <v>0</v>
      </c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7" x14ac:dyDescent="0.2">
      <c r="B13" s="8">
        <v>200</v>
      </c>
      <c r="C13" s="9">
        <v>300</v>
      </c>
      <c r="D13" s="12" t="b">
        <f t="shared" si="13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4"/>
        <v>9</v>
      </c>
      <c r="I13" s="8" t="str" cm="1">
        <f t="array" ref="I13">_xlfn.IFS(AND(D13,G13=1),H13*$C$4/100,AND(D13,G13=2),H13,NOT(D13),"")</f>
        <v/>
      </c>
      <c r="J13" s="9" t="str">
        <f t="shared" si="15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4"/>
        <v>62</v>
      </c>
      <c r="V13" s="46">
        <f t="shared" si="5"/>
        <v>71</v>
      </c>
      <c r="W13" s="33" t="e">
        <f>IFERROR(AVERAGEIFS(data_brute!M:M,data_brute!J:J,"&lt;="&amp;V13,data_brute!J:J,"&gt;="&amp;U13),NA())</f>
        <v>#N/A</v>
      </c>
      <c r="X13" s="46" t="e">
        <f t="shared" si="6"/>
        <v>#N/A</v>
      </c>
      <c r="Y13" s="2" t="b">
        <f t="shared" si="0"/>
        <v>0</v>
      </c>
      <c r="Z13" s="2" t="b">
        <f t="shared" si="1"/>
        <v>0</v>
      </c>
      <c r="AE13" s="46">
        <f t="shared" si="7"/>
        <v>62</v>
      </c>
      <c r="AF13" s="46">
        <f t="shared" si="8"/>
        <v>71</v>
      </c>
      <c r="AG13" s="33" t="e">
        <f>IFERROR(AVERAGEIFS(data_brute!M:M,data_brute!J:J,"&gt;="&amp;AE13,data_brute!J:J,"&lt;="&amp;AF13),NA())</f>
        <v>#N/A</v>
      </c>
      <c r="AH13" s="46" t="e">
        <f t="shared" si="9"/>
        <v>#N/A</v>
      </c>
      <c r="AJ13" s="46">
        <f t="shared" si="10"/>
        <v>62</v>
      </c>
      <c r="AK13" s="46">
        <f t="shared" si="11"/>
        <v>71</v>
      </c>
      <c r="AL13" s="33">
        <f ca="1">IFERROR(AVERAGEIFS(data_brute!M:M,data_brute!J:J,"&lt;="&amp;AK13),NA())</f>
        <v>27.783750000000012</v>
      </c>
      <c r="AM13" s="46">
        <f t="shared" ca="1" si="12"/>
        <v>70</v>
      </c>
      <c r="AN13" s="46" t="b">
        <f t="shared" si="2"/>
        <v>0</v>
      </c>
      <c r="AO13" s="50" t="b">
        <f t="shared" si="3"/>
        <v>0</v>
      </c>
      <c r="AP13" s="2"/>
      <c r="AQ13" s="25" t="s">
        <v>53</v>
      </c>
      <c r="AR13" s="25" t="b">
        <f>IFERROR(AR7&lt;AR6,FALSE)</f>
        <v>0</v>
      </c>
      <c r="AS13" s="25" t="b">
        <f>IFERROR(AS7&lt;AS9,FALSE)</f>
        <v>0</v>
      </c>
      <c r="AT13" s="25" t="b">
        <f>IFERROR(AT7&gt;AT10,FALSE)</f>
        <v>0</v>
      </c>
      <c r="AU13" s="25" t="b">
        <f>IFERROR(AU8&lt;AU6,FALSE)</f>
        <v>0</v>
      </c>
      <c r="AX13" s="2"/>
      <c r="AY13" s="43"/>
      <c r="AZ13" s="44"/>
      <c r="BA13" s="2"/>
      <c r="BB13" s="2"/>
      <c r="BC13" s="2"/>
      <c r="BD13" s="2"/>
      <c r="BE13" s="2"/>
    </row>
    <row r="14" spans="2:77" x14ac:dyDescent="0.2">
      <c r="B14" s="8">
        <v>300</v>
      </c>
      <c r="C14" s="9">
        <v>500</v>
      </c>
      <c r="D14" s="12" t="b">
        <f t="shared" si="13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4"/>
        <v>3</v>
      </c>
      <c r="I14" s="8" t="str" cm="1">
        <f t="array" ref="I14">_xlfn.IFS(AND(D14,G14=1),H14*$C$4/100,AND(D14,G14=2),H14,NOT(D14),"")</f>
        <v/>
      </c>
      <c r="J14" s="9" t="str">
        <f t="shared" si="15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4"/>
        <v>72</v>
      </c>
      <c r="V14" s="46">
        <f t="shared" si="5"/>
        <v>81</v>
      </c>
      <c r="W14" s="33" t="e">
        <f>IFERROR(AVERAGEIFS(data_brute!M:M,data_brute!J:J,"&lt;="&amp;V14,data_brute!J:J,"&gt;="&amp;U14),NA())</f>
        <v>#N/A</v>
      </c>
      <c r="X14" s="46" t="e">
        <f t="shared" si="6"/>
        <v>#N/A</v>
      </c>
      <c r="Y14" s="2" t="b">
        <f t="shared" si="0"/>
        <v>0</v>
      </c>
      <c r="Z14" s="2" t="b">
        <f t="shared" si="1"/>
        <v>0</v>
      </c>
      <c r="AE14" s="46">
        <f t="shared" si="7"/>
        <v>72</v>
      </c>
      <c r="AF14" s="46">
        <f t="shared" si="8"/>
        <v>81</v>
      </c>
      <c r="AG14" s="33" t="e">
        <f>IFERROR(AVERAGEIFS(data_brute!M:M,data_brute!J:J,"&gt;="&amp;AE14,data_brute!J:J,"&lt;="&amp;AF14),NA())</f>
        <v>#N/A</v>
      </c>
      <c r="AH14" s="46" t="e">
        <f t="shared" si="9"/>
        <v>#N/A</v>
      </c>
      <c r="AJ14" s="46">
        <f t="shared" si="10"/>
        <v>72</v>
      </c>
      <c r="AK14" s="46">
        <f t="shared" si="11"/>
        <v>81</v>
      </c>
      <c r="AL14" s="33">
        <f ca="1">IFERROR(AVERAGEIFS(data_brute!M:M,data_brute!J:J,"&lt;="&amp;AK14),NA())</f>
        <v>27.783750000000012</v>
      </c>
      <c r="AM14" s="46">
        <f t="shared" ca="1" si="12"/>
        <v>80</v>
      </c>
      <c r="AN14" s="46" t="b">
        <f t="shared" si="2"/>
        <v>0</v>
      </c>
      <c r="AO14" s="50" t="b">
        <f t="shared" si="3"/>
        <v>0</v>
      </c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7" x14ac:dyDescent="0.2">
      <c r="B15" s="8">
        <v>500</v>
      </c>
      <c r="C15" s="9">
        <v>1000</v>
      </c>
      <c r="D15" s="12" t="b">
        <f t="shared" si="13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4"/>
        <v>15</v>
      </c>
      <c r="I15" s="8" t="str" cm="1">
        <f t="array" ref="I15">_xlfn.IFS(AND(D15,G15=1),H15*$C$4/100,AND(D15,G15=2),H15,NOT(D15),"")</f>
        <v/>
      </c>
      <c r="J15" s="9" t="str">
        <f t="shared" si="15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4"/>
        <v>82</v>
      </c>
      <c r="V15" s="46">
        <f t="shared" si="5"/>
        <v>91</v>
      </c>
      <c r="W15" s="33" t="e">
        <f>IFERROR(AVERAGEIFS(data_brute!M:M,data_brute!J:J,"&lt;="&amp;V15,data_brute!J:J,"&gt;="&amp;U15),NA())</f>
        <v>#N/A</v>
      </c>
      <c r="X15" s="46" t="e">
        <f t="shared" si="6"/>
        <v>#N/A</v>
      </c>
      <c r="Y15" s="2" t="b">
        <f t="shared" si="0"/>
        <v>0</v>
      </c>
      <c r="Z15" s="2" t="b">
        <f t="shared" si="1"/>
        <v>0</v>
      </c>
      <c r="AE15" s="46">
        <f t="shared" si="7"/>
        <v>82</v>
      </c>
      <c r="AF15" s="46">
        <f t="shared" si="8"/>
        <v>91</v>
      </c>
      <c r="AG15" s="33" t="e">
        <f>IFERROR(AVERAGEIFS(data_brute!M:M,data_brute!J:J,"&gt;="&amp;AE15,data_brute!J:J,"&lt;="&amp;AF15),NA())</f>
        <v>#N/A</v>
      </c>
      <c r="AH15" s="46" t="e">
        <f t="shared" si="9"/>
        <v>#N/A</v>
      </c>
      <c r="AJ15" s="46">
        <f t="shared" si="10"/>
        <v>82</v>
      </c>
      <c r="AK15" s="46">
        <f t="shared" si="11"/>
        <v>91</v>
      </c>
      <c r="AL15" s="33">
        <f ca="1">IFERROR(AVERAGEIFS(data_brute!M:M,data_brute!J:J,"&lt;="&amp;AK15),NA())</f>
        <v>27.783750000000012</v>
      </c>
      <c r="AM15" s="46">
        <f t="shared" ca="1" si="12"/>
        <v>90</v>
      </c>
      <c r="AN15" s="46" t="b">
        <f t="shared" si="2"/>
        <v>0</v>
      </c>
      <c r="AO15" s="50" t="b">
        <f t="shared" si="3"/>
        <v>0</v>
      </c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7" x14ac:dyDescent="0.2">
      <c r="B16" s="10">
        <v>1000</v>
      </c>
      <c r="C16" s="11">
        <v>10000</v>
      </c>
      <c r="D16" s="13" t="b">
        <f t="shared" si="13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4"/>
        <v>1.5</v>
      </c>
      <c r="I16" s="10" t="str" cm="1">
        <f t="array" ref="I16">_xlfn.IFS(AND(D16,G16=1),H16*$C$4/100,AND(D16,G16=2),H16,NOT(D16),"")</f>
        <v/>
      </c>
      <c r="J16" s="11" t="str">
        <f t="shared" si="15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4"/>
        <v>92</v>
      </c>
      <c r="V16" s="46">
        <f t="shared" si="5"/>
        <v>101</v>
      </c>
      <c r="W16" s="33" t="e">
        <f>IFERROR(AVERAGEIFS(data_brute!M:M,data_brute!J:J,"&lt;="&amp;V16,data_brute!J:J,"&gt;="&amp;U16),NA())</f>
        <v>#N/A</v>
      </c>
      <c r="X16" s="46" t="e">
        <f t="shared" si="6"/>
        <v>#N/A</v>
      </c>
      <c r="Y16" s="2" t="b">
        <f t="shared" si="0"/>
        <v>0</v>
      </c>
      <c r="Z16" s="2" t="b">
        <f t="shared" si="1"/>
        <v>0</v>
      </c>
      <c r="AE16" s="46">
        <f t="shared" si="7"/>
        <v>92</v>
      </c>
      <c r="AF16" s="46">
        <f t="shared" si="8"/>
        <v>101</v>
      </c>
      <c r="AG16" s="33" t="e">
        <f>IFERROR(AVERAGEIFS(data_brute!M:M,data_brute!J:J,"&gt;="&amp;AE16,data_brute!J:J,"&lt;="&amp;AF16),NA())</f>
        <v>#N/A</v>
      </c>
      <c r="AH16" s="46" t="e">
        <f t="shared" si="9"/>
        <v>#N/A</v>
      </c>
      <c r="AJ16" s="46">
        <f t="shared" si="10"/>
        <v>92</v>
      </c>
      <c r="AK16" s="46">
        <f t="shared" si="11"/>
        <v>101</v>
      </c>
      <c r="AL16" s="33">
        <f ca="1">IFERROR(AVERAGEIFS(data_brute!M:M,data_brute!J:J,"&lt;="&amp;AK16),NA())</f>
        <v>27.783750000000012</v>
      </c>
      <c r="AM16" s="46">
        <f t="shared" ca="1" si="12"/>
        <v>100</v>
      </c>
      <c r="AN16" s="46" t="b">
        <f t="shared" si="2"/>
        <v>0</v>
      </c>
      <c r="AO16" s="50" t="b">
        <f t="shared" si="3"/>
        <v>0</v>
      </c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4"/>
        <v>102</v>
      </c>
      <c r="V17" s="46">
        <f t="shared" si="5"/>
        <v>111</v>
      </c>
      <c r="W17" s="33" t="e">
        <f>IFERROR(AVERAGEIFS(data_brute!M:M,data_brute!J:J,"&lt;="&amp;V17,data_brute!J:J,"&gt;="&amp;U17),NA())</f>
        <v>#N/A</v>
      </c>
      <c r="X17" s="46" t="e">
        <f t="shared" si="6"/>
        <v>#N/A</v>
      </c>
      <c r="Y17" s="2" t="b">
        <f t="shared" si="0"/>
        <v>0</v>
      </c>
      <c r="Z17" s="2" t="b">
        <f t="shared" si="1"/>
        <v>0</v>
      </c>
      <c r="AE17" s="46">
        <f t="shared" si="7"/>
        <v>102</v>
      </c>
      <c r="AF17" s="46">
        <f t="shared" si="8"/>
        <v>111</v>
      </c>
      <c r="AG17" s="33" t="e">
        <f>IFERROR(AVERAGEIFS(data_brute!M:M,data_brute!J:J,"&gt;="&amp;AE17,data_brute!J:J,"&lt;="&amp;AF17),NA())</f>
        <v>#N/A</v>
      </c>
      <c r="AH17" s="46" t="e">
        <f t="shared" si="9"/>
        <v>#N/A</v>
      </c>
      <c r="AJ17" s="46">
        <f t="shared" si="10"/>
        <v>102</v>
      </c>
      <c r="AK17" s="46">
        <f t="shared" si="11"/>
        <v>111</v>
      </c>
      <c r="AL17" s="33">
        <f ca="1">IFERROR(AVERAGEIFS(data_brute!M:M,data_brute!J:J,"&lt;="&amp;AK17),NA())</f>
        <v>27.783750000000012</v>
      </c>
      <c r="AM17" s="46">
        <f t="shared" ca="1" si="12"/>
        <v>110</v>
      </c>
      <c r="AN17" s="46" t="b">
        <f t="shared" si="2"/>
        <v>0</v>
      </c>
      <c r="AO17" s="50" t="b">
        <f t="shared" si="3"/>
        <v>0</v>
      </c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22.75</v>
      </c>
      <c r="U18" s="46">
        <f t="shared" si="4"/>
        <v>112</v>
      </c>
      <c r="V18" s="46">
        <f t="shared" si="5"/>
        <v>121</v>
      </c>
      <c r="W18" s="33" t="e">
        <f>IFERROR(AVERAGEIFS(data_brute!M:M,data_brute!J:J,"&lt;="&amp;V18,data_brute!J:J,"&gt;="&amp;U18),NA())</f>
        <v>#N/A</v>
      </c>
      <c r="X18" s="46" t="e">
        <f t="shared" si="6"/>
        <v>#N/A</v>
      </c>
      <c r="Y18" s="2" t="b">
        <f t="shared" si="0"/>
        <v>0</v>
      </c>
      <c r="Z18" s="2" t="b">
        <f t="shared" si="1"/>
        <v>0</v>
      </c>
      <c r="AE18" s="46">
        <f t="shared" si="7"/>
        <v>112</v>
      </c>
      <c r="AF18" s="46">
        <f t="shared" si="8"/>
        <v>121</v>
      </c>
      <c r="AG18" s="33" t="e">
        <f>IFERROR(AVERAGEIFS(data_brute!M:M,data_brute!J:J,"&gt;="&amp;AE18,data_brute!J:J,"&lt;="&amp;AF18),NA())</f>
        <v>#N/A</v>
      </c>
      <c r="AH18" s="46" t="e">
        <f t="shared" si="9"/>
        <v>#N/A</v>
      </c>
      <c r="AJ18" s="46">
        <f t="shared" si="10"/>
        <v>112</v>
      </c>
      <c r="AK18" s="46">
        <f t="shared" si="11"/>
        <v>121</v>
      </c>
      <c r="AL18" s="33">
        <f ca="1">IFERROR(AVERAGEIFS(data_brute!M:M,data_brute!J:J,"&lt;="&amp;AK18),NA())</f>
        <v>27.783750000000012</v>
      </c>
      <c r="AM18" s="46">
        <f t="shared" ca="1" si="12"/>
        <v>120</v>
      </c>
      <c r="AN18" s="46" t="b">
        <f t="shared" si="2"/>
        <v>0</v>
      </c>
      <c r="AO18" s="50" t="b">
        <f t="shared" si="3"/>
        <v>0</v>
      </c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20.5</v>
      </c>
      <c r="U19" s="46">
        <f t="shared" si="4"/>
        <v>122</v>
      </c>
      <c r="V19" s="46">
        <f t="shared" si="5"/>
        <v>131</v>
      </c>
      <c r="W19" s="33" t="e">
        <f>IFERROR(AVERAGEIFS(data_brute!M:M,data_brute!J:J,"&lt;="&amp;V19,data_brute!J:J,"&gt;="&amp;U19),NA())</f>
        <v>#N/A</v>
      </c>
      <c r="X19" s="46" t="e">
        <f t="shared" si="6"/>
        <v>#N/A</v>
      </c>
      <c r="Y19" s="2" t="b">
        <f t="shared" si="0"/>
        <v>0</v>
      </c>
      <c r="Z19" s="2" t="b">
        <f t="shared" si="1"/>
        <v>0</v>
      </c>
      <c r="AE19" s="46">
        <f t="shared" si="7"/>
        <v>122</v>
      </c>
      <c r="AF19" s="46">
        <f t="shared" si="8"/>
        <v>131</v>
      </c>
      <c r="AG19" s="33" t="e">
        <f>IFERROR(AVERAGEIFS(data_brute!M:M,data_brute!J:J,"&gt;="&amp;AE19,data_brute!J:J,"&lt;="&amp;AF19),NA())</f>
        <v>#N/A</v>
      </c>
      <c r="AH19" s="46" t="e">
        <f t="shared" si="9"/>
        <v>#N/A</v>
      </c>
      <c r="AJ19" s="46">
        <f t="shared" si="10"/>
        <v>122</v>
      </c>
      <c r="AK19" s="46">
        <f t="shared" si="11"/>
        <v>131</v>
      </c>
      <c r="AL19" s="33">
        <f ca="1">IFERROR(AVERAGEIFS(data_brute!M:M,data_brute!J:J,"&lt;="&amp;AK19),NA())</f>
        <v>27.783750000000012</v>
      </c>
      <c r="AM19" s="46">
        <f t="shared" ca="1" si="12"/>
        <v>130</v>
      </c>
      <c r="AN19" s="46" t="b">
        <f t="shared" si="2"/>
        <v>0</v>
      </c>
      <c r="AO19" s="50" t="b">
        <f t="shared" si="3"/>
        <v>0</v>
      </c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4"/>
        <v>132</v>
      </c>
      <c r="V20" s="46">
        <f t="shared" si="5"/>
        <v>141</v>
      </c>
      <c r="W20" s="33" t="e">
        <f>IFERROR(AVERAGEIFS(data_brute!M:M,data_brute!J:J,"&lt;="&amp;V20,data_brute!J:J,"&gt;="&amp;U20),NA())</f>
        <v>#N/A</v>
      </c>
      <c r="X20" s="46" t="e">
        <f t="shared" si="6"/>
        <v>#N/A</v>
      </c>
      <c r="Y20" s="2" t="b">
        <f t="shared" si="0"/>
        <v>0</v>
      </c>
      <c r="Z20" s="2" t="b">
        <f t="shared" si="1"/>
        <v>0</v>
      </c>
      <c r="AE20" s="46">
        <f t="shared" si="7"/>
        <v>132</v>
      </c>
      <c r="AF20" s="46">
        <f t="shared" si="8"/>
        <v>141</v>
      </c>
      <c r="AG20" s="33" t="e">
        <f>IFERROR(AVERAGEIFS(data_brute!M:M,data_brute!J:J,"&gt;="&amp;AE20,data_brute!J:J,"&lt;="&amp;AF20),NA())</f>
        <v>#N/A</v>
      </c>
      <c r="AH20" s="46" t="e">
        <f t="shared" si="9"/>
        <v>#N/A</v>
      </c>
      <c r="AJ20" s="46">
        <f t="shared" si="10"/>
        <v>132</v>
      </c>
      <c r="AK20" s="46">
        <f t="shared" si="11"/>
        <v>141</v>
      </c>
      <c r="AL20" s="33">
        <f ca="1">IFERROR(AVERAGEIFS(data_brute!M:M,data_brute!J:J,"&lt;="&amp;AK20),NA())</f>
        <v>27.783750000000012</v>
      </c>
      <c r="AM20" s="46">
        <f t="shared" ca="1" si="12"/>
        <v>140</v>
      </c>
      <c r="AN20" s="46" t="b">
        <f t="shared" si="2"/>
        <v>0</v>
      </c>
      <c r="AO20" s="50" t="b">
        <f t="shared" si="3"/>
        <v>0</v>
      </c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2.25</v>
      </c>
      <c r="U21" s="46">
        <f t="shared" si="4"/>
        <v>142</v>
      </c>
      <c r="V21" s="46">
        <f t="shared" si="5"/>
        <v>151</v>
      </c>
      <c r="W21" s="33" t="e">
        <f>IFERROR(AVERAGEIFS(data_brute!M:M,data_brute!J:J,"&lt;="&amp;V21,data_brute!J:J,"&gt;="&amp;U21),NA())</f>
        <v>#N/A</v>
      </c>
      <c r="X21" s="46" t="e">
        <f t="shared" si="6"/>
        <v>#N/A</v>
      </c>
      <c r="Y21" s="2" t="b">
        <f t="shared" si="0"/>
        <v>0</v>
      </c>
      <c r="Z21" s="2" t="b">
        <f t="shared" si="1"/>
        <v>0</v>
      </c>
      <c r="AE21" s="46">
        <f t="shared" si="7"/>
        <v>142</v>
      </c>
      <c r="AF21" s="46">
        <f t="shared" si="8"/>
        <v>151</v>
      </c>
      <c r="AG21" s="33" t="e">
        <f>IFERROR(AVERAGEIFS(data_brute!M:M,data_brute!J:J,"&gt;="&amp;AE21,data_brute!J:J,"&lt;="&amp;AF21),NA())</f>
        <v>#N/A</v>
      </c>
      <c r="AH21" s="46" t="e">
        <f t="shared" si="9"/>
        <v>#N/A</v>
      </c>
      <c r="AJ21" s="46">
        <f t="shared" si="10"/>
        <v>142</v>
      </c>
      <c r="AK21" s="46">
        <f t="shared" si="11"/>
        <v>151</v>
      </c>
      <c r="AL21" s="33">
        <f ca="1">IFERROR(AVERAGEIFS(data_brute!M:M,data_brute!J:J,"&lt;="&amp;AK21),NA())</f>
        <v>27.783750000000012</v>
      </c>
      <c r="AM21" s="46">
        <f t="shared" ca="1" si="12"/>
        <v>150</v>
      </c>
      <c r="AN21" s="46" t="b">
        <f t="shared" si="2"/>
        <v>0</v>
      </c>
      <c r="AO21" s="50" t="b">
        <f t="shared" si="3"/>
        <v>0</v>
      </c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4"/>
        <v>152</v>
      </c>
      <c r="V22" s="46">
        <f t="shared" si="5"/>
        <v>161</v>
      </c>
      <c r="W22" s="33" t="e">
        <f>IFERROR(AVERAGEIFS(data_brute!M:M,data_brute!J:J,"&lt;="&amp;V22,data_brute!J:J,"&gt;="&amp;U22),NA())</f>
        <v>#N/A</v>
      </c>
      <c r="X22" s="46" t="e">
        <f t="shared" si="6"/>
        <v>#N/A</v>
      </c>
      <c r="Y22" s="2" t="b">
        <f t="shared" si="0"/>
        <v>0</v>
      </c>
      <c r="Z22" s="2" t="b">
        <f t="shared" si="1"/>
        <v>0</v>
      </c>
      <c r="AE22" s="46">
        <f t="shared" si="7"/>
        <v>152</v>
      </c>
      <c r="AF22" s="46">
        <f t="shared" si="8"/>
        <v>161</v>
      </c>
      <c r="AG22" s="33" t="e">
        <f>IFERROR(AVERAGEIFS(data_brute!M:M,data_brute!J:J,"&gt;="&amp;AE22,data_brute!J:J,"&lt;="&amp;AF22),NA())</f>
        <v>#N/A</v>
      </c>
      <c r="AH22" s="46" t="e">
        <f t="shared" si="9"/>
        <v>#N/A</v>
      </c>
      <c r="AJ22" s="46">
        <f t="shared" si="10"/>
        <v>152</v>
      </c>
      <c r="AK22" s="46">
        <f t="shared" si="11"/>
        <v>161</v>
      </c>
      <c r="AL22" s="33">
        <f ca="1">IFERROR(AVERAGEIFS(data_brute!M:M,data_brute!J:J,"&lt;="&amp;AK22),NA())</f>
        <v>27.783750000000012</v>
      </c>
      <c r="AM22" s="46">
        <f t="shared" ca="1" si="12"/>
        <v>160</v>
      </c>
      <c r="AN22" s="46" t="b">
        <f t="shared" si="2"/>
        <v>0</v>
      </c>
      <c r="AO22" s="50" t="b">
        <f t="shared" si="3"/>
        <v>0</v>
      </c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0.375</v>
      </c>
      <c r="U23" s="46">
        <f t="shared" si="4"/>
        <v>162</v>
      </c>
      <c r="V23" s="46">
        <f t="shared" si="5"/>
        <v>171</v>
      </c>
      <c r="W23" s="33" t="e">
        <f>IFERROR(AVERAGEIFS(data_brute!M:M,data_brute!J:J,"&lt;="&amp;V23,data_brute!J:J,"&gt;="&amp;U23),NA())</f>
        <v>#N/A</v>
      </c>
      <c r="X23" s="46" t="e">
        <f t="shared" si="6"/>
        <v>#N/A</v>
      </c>
      <c r="Y23" s="2" t="b">
        <f t="shared" si="0"/>
        <v>0</v>
      </c>
      <c r="Z23" s="2" t="b">
        <f t="shared" si="1"/>
        <v>0</v>
      </c>
      <c r="AE23" s="46">
        <f t="shared" si="7"/>
        <v>162</v>
      </c>
      <c r="AF23" s="46">
        <f t="shared" si="8"/>
        <v>171</v>
      </c>
      <c r="AG23" s="33" t="e">
        <f>IFERROR(AVERAGEIFS(data_brute!M:M,data_brute!J:J,"&gt;="&amp;AE23,data_brute!J:J,"&lt;="&amp;AF23),NA())</f>
        <v>#N/A</v>
      </c>
      <c r="AH23" s="46" t="e">
        <f t="shared" si="9"/>
        <v>#N/A</v>
      </c>
      <c r="AJ23" s="46">
        <f t="shared" si="10"/>
        <v>162</v>
      </c>
      <c r="AK23" s="46">
        <f t="shared" si="11"/>
        <v>171</v>
      </c>
      <c r="AL23" s="33">
        <f ca="1">IFERROR(AVERAGEIFS(data_brute!M:M,data_brute!J:J,"&lt;="&amp;AK23),NA())</f>
        <v>27.783750000000012</v>
      </c>
      <c r="AM23" s="46">
        <f t="shared" ca="1" si="12"/>
        <v>170</v>
      </c>
      <c r="AN23" s="46" t="b">
        <f t="shared" si="2"/>
        <v>0</v>
      </c>
      <c r="AO23" s="50" t="b">
        <f t="shared" si="3"/>
        <v>0</v>
      </c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4"/>
        <v>172</v>
      </c>
      <c r="V24" s="46">
        <f t="shared" si="5"/>
        <v>181</v>
      </c>
      <c r="W24" s="33" t="e">
        <f>IFERROR(AVERAGEIFS(data_brute!M:M,data_brute!J:J,"&lt;="&amp;V24,data_brute!J:J,"&gt;="&amp;U24),NA())</f>
        <v>#N/A</v>
      </c>
      <c r="X24" s="46" t="e">
        <f t="shared" si="6"/>
        <v>#N/A</v>
      </c>
      <c r="Y24" s="2" t="b">
        <f t="shared" si="0"/>
        <v>0</v>
      </c>
      <c r="Z24" s="2" t="b">
        <f t="shared" si="1"/>
        <v>0</v>
      </c>
      <c r="AE24" s="46">
        <f t="shared" si="7"/>
        <v>172</v>
      </c>
      <c r="AF24" s="46">
        <f t="shared" si="8"/>
        <v>181</v>
      </c>
      <c r="AG24" s="33" t="e">
        <f>IFERROR(AVERAGEIFS(data_brute!M:M,data_brute!J:J,"&gt;="&amp;AE24,data_brute!J:J,"&lt;="&amp;AF24),NA())</f>
        <v>#N/A</v>
      </c>
      <c r="AH24" s="46" t="e">
        <f t="shared" si="9"/>
        <v>#N/A</v>
      </c>
      <c r="AJ24" s="46">
        <f t="shared" si="10"/>
        <v>172</v>
      </c>
      <c r="AK24" s="46">
        <f t="shared" si="11"/>
        <v>181</v>
      </c>
      <c r="AL24" s="33">
        <f ca="1">IFERROR(AVERAGEIFS(data_brute!M:M,data_brute!J:J,"&lt;="&amp;AK24),NA())</f>
        <v>27.783750000000012</v>
      </c>
      <c r="AM24" s="46">
        <f t="shared" ca="1" si="12"/>
        <v>180</v>
      </c>
      <c r="AN24" s="46" t="b">
        <f t="shared" si="2"/>
        <v>0</v>
      </c>
      <c r="AO24" s="50" t="b">
        <f t="shared" si="3"/>
        <v>0</v>
      </c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24.625</v>
      </c>
      <c r="U25" s="46">
        <f t="shared" si="4"/>
        <v>182</v>
      </c>
      <c r="V25" s="46">
        <f t="shared" si="5"/>
        <v>191</v>
      </c>
      <c r="W25" s="33" t="e">
        <f>IFERROR(AVERAGEIFS(data_brute!M:M,data_brute!J:J,"&lt;="&amp;V25,data_brute!J:J,"&gt;="&amp;U25),NA())</f>
        <v>#N/A</v>
      </c>
      <c r="X25" s="46" t="e">
        <f t="shared" si="6"/>
        <v>#N/A</v>
      </c>
      <c r="Y25" s="2" t="b">
        <f t="shared" si="0"/>
        <v>0</v>
      </c>
      <c r="Z25" s="2" t="b">
        <f t="shared" si="1"/>
        <v>0</v>
      </c>
      <c r="AE25" s="46">
        <f t="shared" si="7"/>
        <v>182</v>
      </c>
      <c r="AF25" s="46">
        <f t="shared" si="8"/>
        <v>191</v>
      </c>
      <c r="AG25" s="33" t="e">
        <f>IFERROR(AVERAGEIFS(data_brute!M:M,data_brute!J:J,"&gt;="&amp;AE25,data_brute!J:J,"&lt;="&amp;AF25),NA())</f>
        <v>#N/A</v>
      </c>
      <c r="AH25" s="46" t="e">
        <f t="shared" si="9"/>
        <v>#N/A</v>
      </c>
      <c r="AJ25" s="46">
        <f t="shared" si="10"/>
        <v>182</v>
      </c>
      <c r="AK25" s="46">
        <f t="shared" si="11"/>
        <v>191</v>
      </c>
      <c r="AL25" s="33">
        <f ca="1">IFERROR(AVERAGEIFS(data_brute!M:M,data_brute!J:J,"&lt;="&amp;AK25),NA())</f>
        <v>27.783750000000012</v>
      </c>
      <c r="AM25" s="46">
        <f t="shared" ca="1" si="12"/>
        <v>190</v>
      </c>
      <c r="AN25" s="46" t="b">
        <f t="shared" si="2"/>
        <v>0</v>
      </c>
      <c r="AO25" s="50" t="b">
        <f t="shared" si="3"/>
        <v>0</v>
      </c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25.375</v>
      </c>
      <c r="U26" s="46">
        <f t="shared" si="4"/>
        <v>192</v>
      </c>
      <c r="V26" s="46">
        <f t="shared" si="5"/>
        <v>201</v>
      </c>
      <c r="W26" s="33" t="e">
        <f>IFERROR(AVERAGEIFS(data_brute!M:M,data_brute!J:J,"&lt;="&amp;V26,data_brute!J:J,"&gt;="&amp;U26),NA())</f>
        <v>#N/A</v>
      </c>
      <c r="X26" s="46" t="e">
        <f t="shared" si="6"/>
        <v>#N/A</v>
      </c>
      <c r="Y26" s="2" t="b">
        <f t="shared" si="0"/>
        <v>0</v>
      </c>
      <c r="Z26" s="2" t="b">
        <f t="shared" si="1"/>
        <v>0</v>
      </c>
      <c r="AE26" s="46">
        <f t="shared" si="7"/>
        <v>192</v>
      </c>
      <c r="AF26" s="46">
        <f t="shared" si="8"/>
        <v>201</v>
      </c>
      <c r="AG26" s="33" t="e">
        <f>IFERROR(AVERAGEIFS(data_brute!M:M,data_brute!J:J,"&gt;="&amp;AE26,data_brute!J:J,"&lt;="&amp;AF26),NA())</f>
        <v>#N/A</v>
      </c>
      <c r="AH26" s="46" t="e">
        <f t="shared" si="9"/>
        <v>#N/A</v>
      </c>
      <c r="AJ26" s="46">
        <f t="shared" si="10"/>
        <v>192</v>
      </c>
      <c r="AK26" s="46">
        <f t="shared" si="11"/>
        <v>201</v>
      </c>
      <c r="AL26" s="33">
        <f ca="1">IFERROR(AVERAGEIFS(data_brute!M:M,data_brute!J:J,"&lt;="&amp;AK26),NA())</f>
        <v>27.783750000000012</v>
      </c>
      <c r="AM26" s="46">
        <f t="shared" ca="1" si="12"/>
        <v>200</v>
      </c>
      <c r="AN26" s="46" t="b">
        <f t="shared" si="2"/>
        <v>0</v>
      </c>
      <c r="AO26" s="50" t="b">
        <f t="shared" si="3"/>
        <v>0</v>
      </c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4"/>
        <v>202</v>
      </c>
      <c r="V27" s="46">
        <f t="shared" si="5"/>
        <v>211</v>
      </c>
      <c r="W27" s="33" t="e">
        <f>IFERROR(AVERAGEIFS(data_brute!M:M,data_brute!J:J,"&lt;="&amp;V27,data_brute!J:J,"&gt;="&amp;U27),NA())</f>
        <v>#N/A</v>
      </c>
      <c r="X27" s="46" t="e">
        <f t="shared" si="6"/>
        <v>#N/A</v>
      </c>
      <c r="Y27" s="2" t="b">
        <f t="shared" si="0"/>
        <v>0</v>
      </c>
      <c r="Z27" s="2" t="b">
        <f t="shared" si="1"/>
        <v>0</v>
      </c>
      <c r="AE27" s="46">
        <f t="shared" si="7"/>
        <v>202</v>
      </c>
      <c r="AF27" s="46">
        <f t="shared" si="8"/>
        <v>211</v>
      </c>
      <c r="AG27" s="33" t="e">
        <f>IFERROR(AVERAGEIFS(data_brute!M:M,data_brute!J:J,"&gt;="&amp;AE27,data_brute!J:J,"&lt;="&amp;AF27),NA())</f>
        <v>#N/A</v>
      </c>
      <c r="AH27" s="46" t="e">
        <f t="shared" si="9"/>
        <v>#N/A</v>
      </c>
      <c r="AJ27" s="46">
        <f t="shared" si="10"/>
        <v>202</v>
      </c>
      <c r="AK27" s="46">
        <f t="shared" si="11"/>
        <v>211</v>
      </c>
      <c r="AL27" s="33">
        <f ca="1">IFERROR(AVERAGEIFS(data_brute!M:M,data_brute!J:J,"&lt;="&amp;AK27),NA())</f>
        <v>27.783750000000012</v>
      </c>
      <c r="AM27" s="46">
        <f t="shared" ca="1" si="12"/>
        <v>210</v>
      </c>
      <c r="AN27" s="46" t="b">
        <f t="shared" si="2"/>
        <v>0</v>
      </c>
      <c r="AO27" s="50" t="b">
        <f t="shared" si="3"/>
        <v>0</v>
      </c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4"/>
        <v>212</v>
      </c>
      <c r="V28" s="46">
        <f t="shared" si="5"/>
        <v>221</v>
      </c>
      <c r="W28" s="33" t="e">
        <f>IFERROR(AVERAGEIFS(data_brute!M:M,data_brute!J:J,"&lt;="&amp;V28,data_brute!J:J,"&gt;="&amp;U28),NA())</f>
        <v>#N/A</v>
      </c>
      <c r="X28" s="46" t="e">
        <f t="shared" si="6"/>
        <v>#N/A</v>
      </c>
      <c r="Y28" s="2" t="b">
        <f t="shared" si="0"/>
        <v>0</v>
      </c>
      <c r="Z28" s="2" t="b">
        <f t="shared" si="1"/>
        <v>0</v>
      </c>
      <c r="AE28" s="46">
        <f t="shared" si="7"/>
        <v>212</v>
      </c>
      <c r="AF28" s="46">
        <f t="shared" si="8"/>
        <v>221</v>
      </c>
      <c r="AG28" s="33" t="e">
        <f>IFERROR(AVERAGEIFS(data_brute!M:M,data_brute!J:J,"&gt;="&amp;AE28,data_brute!J:J,"&lt;="&amp;AF28),NA())</f>
        <v>#N/A</v>
      </c>
      <c r="AH28" s="46" t="e">
        <f t="shared" si="9"/>
        <v>#N/A</v>
      </c>
      <c r="AJ28" s="46">
        <f t="shared" si="10"/>
        <v>212</v>
      </c>
      <c r="AK28" s="46">
        <f t="shared" si="11"/>
        <v>221</v>
      </c>
      <c r="AL28" s="33">
        <f ca="1">IFERROR(AVERAGEIFS(data_brute!M:M,data_brute!J:J,"&lt;="&amp;AK28),NA())</f>
        <v>27.783750000000012</v>
      </c>
      <c r="AM28" s="46">
        <f t="shared" ca="1" si="12"/>
        <v>220</v>
      </c>
      <c r="AN28" s="46" t="b">
        <f t="shared" si="2"/>
        <v>0</v>
      </c>
      <c r="AO28" s="50" t="b">
        <f t="shared" si="3"/>
        <v>0</v>
      </c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4"/>
        <v>222</v>
      </c>
      <c r="V29" s="46">
        <f t="shared" si="5"/>
        <v>231</v>
      </c>
      <c r="W29" s="33" t="e">
        <f>IFERROR(AVERAGEIFS(data_brute!M:M,data_brute!J:J,"&lt;="&amp;V29,data_brute!J:J,"&gt;="&amp;U29),NA())</f>
        <v>#N/A</v>
      </c>
      <c r="X29" s="46" t="e">
        <f t="shared" si="6"/>
        <v>#N/A</v>
      </c>
      <c r="Y29" s="2" t="b">
        <f t="shared" si="0"/>
        <v>0</v>
      </c>
      <c r="Z29" s="2" t="b">
        <f t="shared" si="1"/>
        <v>0</v>
      </c>
      <c r="AE29" s="46">
        <f t="shared" si="7"/>
        <v>222</v>
      </c>
      <c r="AF29" s="46">
        <f t="shared" si="8"/>
        <v>231</v>
      </c>
      <c r="AG29" s="33" t="e">
        <f>IFERROR(AVERAGEIFS(data_brute!M:M,data_brute!J:J,"&gt;="&amp;AE29,data_brute!J:J,"&lt;="&amp;AF29),NA())</f>
        <v>#N/A</v>
      </c>
      <c r="AH29" s="46" t="e">
        <f t="shared" si="9"/>
        <v>#N/A</v>
      </c>
      <c r="AJ29" s="46">
        <f t="shared" si="10"/>
        <v>222</v>
      </c>
      <c r="AK29" s="46">
        <f t="shared" si="11"/>
        <v>231</v>
      </c>
      <c r="AL29" s="33">
        <f ca="1">IFERROR(AVERAGEIFS(data_brute!M:M,data_brute!J:J,"&lt;="&amp;AK29),NA())</f>
        <v>27.783750000000012</v>
      </c>
      <c r="AM29" s="46">
        <f t="shared" ca="1" si="12"/>
        <v>230</v>
      </c>
      <c r="AN29" s="46" t="b">
        <f t="shared" si="2"/>
        <v>0</v>
      </c>
      <c r="AO29" s="50" t="b">
        <f t="shared" si="3"/>
        <v>0</v>
      </c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4"/>
        <v>232</v>
      </c>
      <c r="V30" s="46">
        <f t="shared" si="5"/>
        <v>241</v>
      </c>
      <c r="W30" s="33" t="e">
        <f>IFERROR(AVERAGEIFS(data_brute!M:M,data_brute!J:J,"&lt;="&amp;V30,data_brute!J:J,"&gt;="&amp;U30),NA())</f>
        <v>#N/A</v>
      </c>
      <c r="X30" s="46" t="e">
        <f t="shared" si="6"/>
        <v>#N/A</v>
      </c>
      <c r="Y30" s="2" t="b">
        <f t="shared" si="0"/>
        <v>0</v>
      </c>
      <c r="Z30" s="2" t="b">
        <f t="shared" si="1"/>
        <v>0</v>
      </c>
      <c r="AE30" s="46">
        <f t="shared" si="7"/>
        <v>232</v>
      </c>
      <c r="AF30" s="46">
        <f t="shared" si="8"/>
        <v>241</v>
      </c>
      <c r="AG30" s="33" t="e">
        <f>IFERROR(AVERAGEIFS(data_brute!M:M,data_brute!J:J,"&gt;="&amp;AE30,data_brute!J:J,"&lt;="&amp;AF30),NA())</f>
        <v>#N/A</v>
      </c>
      <c r="AH30" s="46" t="e">
        <f t="shared" si="9"/>
        <v>#N/A</v>
      </c>
      <c r="AJ30" s="46">
        <f t="shared" si="10"/>
        <v>232</v>
      </c>
      <c r="AK30" s="46">
        <f t="shared" si="11"/>
        <v>241</v>
      </c>
      <c r="AL30" s="33">
        <f ca="1">IFERROR(AVERAGEIFS(data_brute!M:M,data_brute!J:J,"&lt;="&amp;AK30),NA())</f>
        <v>27.783750000000012</v>
      </c>
      <c r="AM30" s="46">
        <f t="shared" ca="1" si="12"/>
        <v>240</v>
      </c>
      <c r="AN30" s="46" t="b">
        <f t="shared" si="2"/>
        <v>0</v>
      </c>
      <c r="AO30" s="50" t="b">
        <f t="shared" si="3"/>
        <v>0</v>
      </c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4"/>
        <v>242</v>
      </c>
      <c r="V31" s="46">
        <f t="shared" si="5"/>
        <v>251</v>
      </c>
      <c r="W31" s="33" t="e">
        <f>IFERROR(AVERAGEIFS(data_brute!M:M,data_brute!J:J,"&lt;="&amp;V31,data_brute!J:J,"&gt;="&amp;U31),NA())</f>
        <v>#N/A</v>
      </c>
      <c r="X31" s="46" t="e">
        <f t="shared" si="6"/>
        <v>#N/A</v>
      </c>
      <c r="Y31" s="2" t="b">
        <f t="shared" si="0"/>
        <v>0</v>
      </c>
      <c r="Z31" s="2" t="b">
        <f t="shared" si="1"/>
        <v>0</v>
      </c>
      <c r="AE31" s="46">
        <f t="shared" si="7"/>
        <v>242</v>
      </c>
      <c r="AF31" s="46">
        <f t="shared" si="8"/>
        <v>251</v>
      </c>
      <c r="AG31" s="33" t="e">
        <f>IFERROR(AVERAGEIFS(data_brute!M:M,data_brute!J:J,"&gt;="&amp;AE31,data_brute!J:J,"&lt;="&amp;AF31),NA())</f>
        <v>#N/A</v>
      </c>
      <c r="AH31" s="46" t="e">
        <f t="shared" si="9"/>
        <v>#N/A</v>
      </c>
      <c r="AJ31" s="46">
        <f t="shared" si="10"/>
        <v>242</v>
      </c>
      <c r="AK31" s="46">
        <f t="shared" si="11"/>
        <v>251</v>
      </c>
      <c r="AL31" s="33">
        <f ca="1">IFERROR(AVERAGEIFS(data_brute!M:M,data_brute!J:J,"&lt;="&amp;AK31),NA())</f>
        <v>27.783750000000012</v>
      </c>
      <c r="AM31" s="46">
        <f t="shared" ca="1" si="12"/>
        <v>250</v>
      </c>
      <c r="AN31" s="46" t="b">
        <f t="shared" si="2"/>
        <v>0</v>
      </c>
      <c r="AO31" s="50" t="b">
        <f t="shared" si="3"/>
        <v>0</v>
      </c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4"/>
        <v>252</v>
      </c>
      <c r="V32" s="46">
        <f t="shared" si="5"/>
        <v>261</v>
      </c>
      <c r="W32" s="33" t="e">
        <f>IFERROR(AVERAGEIFS(data_brute!M:M,data_brute!J:J,"&lt;="&amp;V32,data_brute!J:J,"&gt;="&amp;U32),NA())</f>
        <v>#N/A</v>
      </c>
      <c r="X32" s="46" t="e">
        <f t="shared" si="6"/>
        <v>#N/A</v>
      </c>
      <c r="Y32" s="2" t="b">
        <f t="shared" si="0"/>
        <v>0</v>
      </c>
      <c r="Z32" s="2" t="b">
        <f t="shared" si="1"/>
        <v>0</v>
      </c>
      <c r="AE32" s="46">
        <f t="shared" si="7"/>
        <v>252</v>
      </c>
      <c r="AF32" s="46">
        <f t="shared" si="8"/>
        <v>261</v>
      </c>
      <c r="AG32" s="33" t="e">
        <f>IFERROR(AVERAGEIFS(data_brute!M:M,data_brute!J:J,"&gt;="&amp;AE32,data_brute!J:J,"&lt;="&amp;AF32),NA())</f>
        <v>#N/A</v>
      </c>
      <c r="AH32" s="46" t="e">
        <f t="shared" si="9"/>
        <v>#N/A</v>
      </c>
      <c r="AJ32" s="46">
        <f t="shared" si="10"/>
        <v>252</v>
      </c>
      <c r="AK32" s="46">
        <f t="shared" si="11"/>
        <v>261</v>
      </c>
      <c r="AL32" s="33">
        <f ca="1">IFERROR(AVERAGEIFS(data_brute!M:M,data_brute!J:J,"&lt;="&amp;AK32),NA())</f>
        <v>27.783750000000012</v>
      </c>
      <c r="AM32" s="46">
        <f t="shared" ca="1" si="12"/>
        <v>260</v>
      </c>
      <c r="AN32" s="46" t="b">
        <f t="shared" si="2"/>
        <v>0</v>
      </c>
      <c r="AO32" s="50" t="b">
        <f t="shared" si="3"/>
        <v>0</v>
      </c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4"/>
        <v>262</v>
      </c>
      <c r="V33" s="46">
        <f t="shared" si="5"/>
        <v>271</v>
      </c>
      <c r="W33" s="33" t="e">
        <f>IFERROR(AVERAGEIFS(data_brute!M:M,data_brute!J:J,"&lt;="&amp;V33,data_brute!J:J,"&gt;="&amp;U33),NA())</f>
        <v>#N/A</v>
      </c>
      <c r="X33" s="46" t="e">
        <f t="shared" si="6"/>
        <v>#N/A</v>
      </c>
      <c r="Y33" s="2" t="b">
        <f t="shared" si="0"/>
        <v>0</v>
      </c>
      <c r="Z33" s="2" t="b">
        <f t="shared" si="1"/>
        <v>0</v>
      </c>
      <c r="AE33" s="46">
        <f t="shared" si="7"/>
        <v>262</v>
      </c>
      <c r="AF33" s="46">
        <f t="shared" si="8"/>
        <v>271</v>
      </c>
      <c r="AG33" s="33" t="e">
        <f>IFERROR(AVERAGEIFS(data_brute!M:M,data_brute!J:J,"&gt;="&amp;AE33,data_brute!J:J,"&lt;="&amp;AF33),NA())</f>
        <v>#N/A</v>
      </c>
      <c r="AH33" s="46" t="e">
        <f t="shared" si="9"/>
        <v>#N/A</v>
      </c>
      <c r="AJ33" s="46">
        <f t="shared" si="10"/>
        <v>262</v>
      </c>
      <c r="AK33" s="46">
        <f t="shared" si="11"/>
        <v>271</v>
      </c>
      <c r="AL33" s="33">
        <f ca="1">IFERROR(AVERAGEIFS(data_brute!M:M,data_brute!J:J,"&lt;="&amp;AK33),NA())</f>
        <v>27.783750000000012</v>
      </c>
      <c r="AM33" s="46">
        <f t="shared" ca="1" si="12"/>
        <v>270</v>
      </c>
      <c r="AN33" s="46" t="b">
        <f t="shared" si="2"/>
        <v>0</v>
      </c>
      <c r="AO33" s="50" t="b">
        <f t="shared" si="3"/>
        <v>0</v>
      </c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4"/>
        <v>272</v>
      </c>
      <c r="V34" s="46">
        <f t="shared" si="5"/>
        <v>281</v>
      </c>
      <c r="W34" s="33" t="e">
        <f>IFERROR(AVERAGEIFS(data_brute!M:M,data_brute!J:J,"&lt;="&amp;V34,data_brute!J:J,"&gt;="&amp;U34),NA())</f>
        <v>#N/A</v>
      </c>
      <c r="X34" s="46" t="e">
        <f t="shared" si="6"/>
        <v>#N/A</v>
      </c>
      <c r="Y34" s="2" t="b">
        <f t="shared" si="0"/>
        <v>0</v>
      </c>
      <c r="Z34" s="2" t="b">
        <f t="shared" si="1"/>
        <v>0</v>
      </c>
      <c r="AB34" s="33"/>
      <c r="AC34" s="9"/>
      <c r="AE34" s="46">
        <f t="shared" si="7"/>
        <v>272</v>
      </c>
      <c r="AF34" s="46">
        <f t="shared" si="8"/>
        <v>281</v>
      </c>
      <c r="AG34" s="33" t="e">
        <f>IFERROR(AVERAGEIFS(data_brute!M:M,data_brute!J:J,"&gt;="&amp;AE34,data_brute!J:J,"&lt;="&amp;AF34),NA())</f>
        <v>#N/A</v>
      </c>
      <c r="AH34" s="46" t="e">
        <f t="shared" si="9"/>
        <v>#N/A</v>
      </c>
      <c r="AI34" s="9"/>
      <c r="AJ34" s="46">
        <f t="shared" si="10"/>
        <v>272</v>
      </c>
      <c r="AK34" s="46">
        <f t="shared" si="11"/>
        <v>281</v>
      </c>
      <c r="AL34" s="33">
        <f ca="1">IFERROR(AVERAGEIFS(data_brute!M:M,data_brute!J:J,"&lt;="&amp;AK34),NA())</f>
        <v>27.783750000000012</v>
      </c>
      <c r="AM34" s="46">
        <f t="shared" ca="1" si="12"/>
        <v>280</v>
      </c>
      <c r="AN34" s="46" t="b">
        <f t="shared" si="2"/>
        <v>0</v>
      </c>
      <c r="AO34" s="50" t="b">
        <f t="shared" si="3"/>
        <v>0</v>
      </c>
      <c r="AV34" s="9"/>
      <c r="AY34" s="43"/>
      <c r="AZ34" s="44"/>
      <c r="BH34" s="43"/>
      <c r="BI34" s="44"/>
      <c r="BO34" s="9"/>
    </row>
    <row r="35" spans="11:67" x14ac:dyDescent="0.2">
      <c r="U35" s="46">
        <f t="shared" si="4"/>
        <v>282</v>
      </c>
      <c r="V35" s="46">
        <f t="shared" si="5"/>
        <v>291</v>
      </c>
      <c r="W35" s="33" t="e">
        <f>IFERROR(AVERAGEIFS(data_brute!M:M,data_brute!J:J,"&lt;="&amp;V35,data_brute!J:J,"&gt;="&amp;U35),NA())</f>
        <v>#N/A</v>
      </c>
      <c r="X35" s="46" t="e">
        <f t="shared" si="6"/>
        <v>#N/A</v>
      </c>
      <c r="Y35" s="2" t="b">
        <f t="shared" si="0"/>
        <v>0</v>
      </c>
      <c r="Z35" s="2" t="b">
        <f t="shared" si="1"/>
        <v>0</v>
      </c>
      <c r="AE35" s="46">
        <f t="shared" si="7"/>
        <v>282</v>
      </c>
      <c r="AF35" s="46">
        <f t="shared" si="8"/>
        <v>291</v>
      </c>
      <c r="AG35" s="33" t="e">
        <f>IFERROR(AVERAGEIFS(data_brute!M:M,data_brute!J:J,"&gt;="&amp;AE35,data_brute!J:J,"&lt;="&amp;AF35),NA())</f>
        <v>#N/A</v>
      </c>
      <c r="AH35" s="46" t="e">
        <f t="shared" si="9"/>
        <v>#N/A</v>
      </c>
      <c r="AJ35" s="46">
        <f t="shared" si="10"/>
        <v>282</v>
      </c>
      <c r="AK35" s="46">
        <f t="shared" si="11"/>
        <v>291</v>
      </c>
      <c r="AL35" s="33">
        <f ca="1">IFERROR(AVERAGEIFS(data_brute!M:M,data_brute!J:J,"&lt;="&amp;AK35),NA())</f>
        <v>27.783750000000012</v>
      </c>
      <c r="AM35" s="46">
        <f t="shared" ca="1" si="12"/>
        <v>290</v>
      </c>
      <c r="AN35" s="46" t="b">
        <f t="shared" si="2"/>
        <v>0</v>
      </c>
      <c r="AO35" s="50" t="b">
        <f t="shared" si="3"/>
        <v>0</v>
      </c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4"/>
        <v>292</v>
      </c>
      <c r="V36" s="46">
        <f t="shared" si="5"/>
        <v>301</v>
      </c>
      <c r="W36" s="33" t="e">
        <f>IFERROR(AVERAGEIFS(data_brute!M:M,data_brute!J:J,"&lt;="&amp;V36,data_brute!J:J,"&gt;="&amp;U36),NA())</f>
        <v>#N/A</v>
      </c>
      <c r="X36" s="46" t="e">
        <f t="shared" si="6"/>
        <v>#N/A</v>
      </c>
      <c r="Y36" s="2" t="b">
        <f t="shared" si="0"/>
        <v>0</v>
      </c>
      <c r="Z36" s="2" t="b">
        <f t="shared" si="1"/>
        <v>0</v>
      </c>
      <c r="AE36" s="46">
        <f t="shared" si="7"/>
        <v>292</v>
      </c>
      <c r="AF36" s="46">
        <f t="shared" si="8"/>
        <v>301</v>
      </c>
      <c r="AG36" s="33" t="e">
        <f>IFERROR(AVERAGEIFS(data_brute!M:M,data_brute!J:J,"&gt;="&amp;AE36,data_brute!J:J,"&lt;="&amp;AF36),NA())</f>
        <v>#N/A</v>
      </c>
      <c r="AH36" s="46" t="e">
        <f t="shared" si="9"/>
        <v>#N/A</v>
      </c>
      <c r="AJ36" s="46">
        <f t="shared" si="10"/>
        <v>292</v>
      </c>
      <c r="AK36" s="46">
        <f t="shared" si="11"/>
        <v>301</v>
      </c>
      <c r="AL36" s="33">
        <f ca="1">IFERROR(AVERAGEIFS(data_brute!M:M,data_brute!J:J,"&lt;="&amp;AK36),NA())</f>
        <v>27.783750000000012</v>
      </c>
      <c r="AM36" s="46">
        <f t="shared" ca="1" si="12"/>
        <v>300</v>
      </c>
      <c r="AN36" s="46" t="b">
        <f t="shared" si="2"/>
        <v>0</v>
      </c>
      <c r="AO36" s="50" t="b">
        <f t="shared" si="3"/>
        <v>0</v>
      </c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4"/>
        <v>302</v>
      </c>
      <c r="V37" s="46">
        <f t="shared" si="5"/>
        <v>311</v>
      </c>
      <c r="W37" s="33" t="e">
        <f>IFERROR(AVERAGEIFS(data_brute!M:M,data_brute!J:J,"&lt;="&amp;V37,data_brute!J:J,"&gt;="&amp;U37),NA())</f>
        <v>#N/A</v>
      </c>
      <c r="X37" s="46" t="e">
        <f t="shared" si="6"/>
        <v>#N/A</v>
      </c>
      <c r="Y37" s="2" t="b">
        <f t="shared" si="0"/>
        <v>0</v>
      </c>
      <c r="Z37" s="2" t="b">
        <f t="shared" si="1"/>
        <v>0</v>
      </c>
      <c r="AE37" s="46">
        <f t="shared" si="7"/>
        <v>302</v>
      </c>
      <c r="AF37" s="46">
        <f t="shared" si="8"/>
        <v>311</v>
      </c>
      <c r="AG37" s="33" t="e">
        <f>IFERROR(AVERAGEIFS(data_brute!M:M,data_brute!J:J,"&gt;="&amp;AE37,data_brute!J:J,"&lt;="&amp;AF37),NA())</f>
        <v>#N/A</v>
      </c>
      <c r="AH37" s="46" t="e">
        <f t="shared" si="9"/>
        <v>#N/A</v>
      </c>
      <c r="AJ37" s="46">
        <f t="shared" si="10"/>
        <v>302</v>
      </c>
      <c r="AK37" s="46">
        <f t="shared" si="11"/>
        <v>311</v>
      </c>
      <c r="AL37" s="33">
        <f ca="1">IFERROR(AVERAGEIFS(data_brute!M:M,data_brute!J:J,"&lt;="&amp;AK37),NA())</f>
        <v>27.783750000000012</v>
      </c>
      <c r="AM37" s="46">
        <f t="shared" ca="1" si="12"/>
        <v>310</v>
      </c>
      <c r="AN37" s="46" t="b">
        <f t="shared" si="2"/>
        <v>0</v>
      </c>
      <c r="AO37" s="50" t="b">
        <f t="shared" si="3"/>
        <v>0</v>
      </c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4"/>
        <v>312</v>
      </c>
      <c r="V38" s="46">
        <f t="shared" si="5"/>
        <v>321</v>
      </c>
      <c r="W38" s="33" t="e">
        <f>IFERROR(AVERAGEIFS(data_brute!M:M,data_brute!J:J,"&lt;="&amp;V38,data_brute!J:J,"&gt;="&amp;U38),NA())</f>
        <v>#N/A</v>
      </c>
      <c r="X38" s="46" t="e">
        <f t="shared" si="6"/>
        <v>#N/A</v>
      </c>
      <c r="Y38" s="2" t="b">
        <f t="shared" si="0"/>
        <v>0</v>
      </c>
      <c r="Z38" s="2" t="b">
        <f t="shared" si="1"/>
        <v>0</v>
      </c>
      <c r="AE38" s="46">
        <f t="shared" si="7"/>
        <v>312</v>
      </c>
      <c r="AF38" s="46">
        <f t="shared" si="8"/>
        <v>321</v>
      </c>
      <c r="AG38" s="33" t="e">
        <f>IFERROR(AVERAGEIFS(data_brute!M:M,data_brute!J:J,"&gt;="&amp;AE38,data_brute!J:J,"&lt;="&amp;AF38),NA())</f>
        <v>#N/A</v>
      </c>
      <c r="AH38" s="46" t="e">
        <f t="shared" si="9"/>
        <v>#N/A</v>
      </c>
      <c r="AJ38" s="46">
        <f t="shared" si="10"/>
        <v>312</v>
      </c>
      <c r="AK38" s="46">
        <f t="shared" si="11"/>
        <v>321</v>
      </c>
      <c r="AL38" s="33">
        <f ca="1">IFERROR(AVERAGEIFS(data_brute!M:M,data_brute!J:J,"&lt;="&amp;AK38),NA())</f>
        <v>27.783750000000012</v>
      </c>
      <c r="AM38" s="46">
        <f t="shared" ca="1" si="12"/>
        <v>320</v>
      </c>
      <c r="AN38" s="46" t="b">
        <f t="shared" si="2"/>
        <v>0</v>
      </c>
      <c r="AO38" s="50" t="b">
        <f t="shared" si="3"/>
        <v>0</v>
      </c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4"/>
        <v>322</v>
      </c>
      <c r="V39" s="46">
        <f t="shared" si="5"/>
        <v>331</v>
      </c>
      <c r="W39" s="33" t="e">
        <f>IFERROR(AVERAGEIFS(data_brute!M:M,data_brute!J:J,"&lt;="&amp;V39,data_brute!J:J,"&gt;="&amp;U39),NA())</f>
        <v>#N/A</v>
      </c>
      <c r="X39" s="46" t="e">
        <f t="shared" si="6"/>
        <v>#N/A</v>
      </c>
      <c r="Y39" s="2" t="b">
        <f t="shared" si="0"/>
        <v>0</v>
      </c>
      <c r="Z39" s="2" t="b">
        <f t="shared" si="1"/>
        <v>0</v>
      </c>
      <c r="AE39" s="46">
        <f t="shared" si="7"/>
        <v>322</v>
      </c>
      <c r="AF39" s="46">
        <f t="shared" si="8"/>
        <v>331</v>
      </c>
      <c r="AG39" s="33" t="e">
        <f>IFERROR(AVERAGEIFS(data_brute!M:M,data_brute!J:J,"&gt;="&amp;AE39,data_brute!J:J,"&lt;="&amp;AF39),NA())</f>
        <v>#N/A</v>
      </c>
      <c r="AH39" s="46" t="e">
        <f t="shared" si="9"/>
        <v>#N/A</v>
      </c>
      <c r="AJ39" s="46">
        <f t="shared" si="10"/>
        <v>322</v>
      </c>
      <c r="AK39" s="46">
        <f t="shared" si="11"/>
        <v>331</v>
      </c>
      <c r="AL39" s="33">
        <f ca="1">IFERROR(AVERAGEIFS(data_brute!M:M,data_brute!J:J,"&lt;="&amp;AK39),NA())</f>
        <v>27.783750000000012</v>
      </c>
      <c r="AM39" s="46">
        <f t="shared" ca="1" si="12"/>
        <v>330</v>
      </c>
      <c r="AN39" s="46" t="b">
        <f t="shared" si="2"/>
        <v>0</v>
      </c>
      <c r="AO39" s="50" t="b">
        <f t="shared" si="3"/>
        <v>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4"/>
        <v>332</v>
      </c>
      <c r="V40" s="46">
        <f t="shared" si="5"/>
        <v>341</v>
      </c>
      <c r="W40" s="33" t="e">
        <f>IFERROR(AVERAGEIFS(data_brute!M:M,data_brute!J:J,"&lt;="&amp;V40,data_brute!J:J,"&gt;="&amp;U40),NA())</f>
        <v>#N/A</v>
      </c>
      <c r="X40" s="46" t="e">
        <f t="shared" si="6"/>
        <v>#N/A</v>
      </c>
      <c r="Y40" s="2" t="b">
        <f t="shared" si="0"/>
        <v>0</v>
      </c>
      <c r="Z40" s="2" t="b">
        <f t="shared" si="1"/>
        <v>0</v>
      </c>
      <c r="AE40" s="46">
        <f t="shared" si="7"/>
        <v>332</v>
      </c>
      <c r="AF40" s="46">
        <f t="shared" si="8"/>
        <v>341</v>
      </c>
      <c r="AG40" s="33" t="e">
        <f>IFERROR(AVERAGEIFS(data_brute!M:M,data_brute!J:J,"&gt;="&amp;AE40,data_brute!J:J,"&lt;="&amp;AF40),NA())</f>
        <v>#N/A</v>
      </c>
      <c r="AH40" s="46" t="e">
        <f t="shared" si="9"/>
        <v>#N/A</v>
      </c>
      <c r="AJ40" s="46">
        <f t="shared" si="10"/>
        <v>332</v>
      </c>
      <c r="AK40" s="46">
        <f t="shared" si="11"/>
        <v>341</v>
      </c>
      <c r="AL40" s="33">
        <f ca="1">IFERROR(AVERAGEIFS(data_brute!M:M,data_brute!J:J,"&lt;="&amp;AK40),NA())</f>
        <v>27.783750000000012</v>
      </c>
      <c r="AM40" s="46">
        <f t="shared" ca="1" si="12"/>
        <v>340</v>
      </c>
      <c r="AN40" s="46" t="b">
        <f t="shared" si="2"/>
        <v>0</v>
      </c>
      <c r="AO40" s="50" t="b">
        <f t="shared" si="3"/>
        <v>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4"/>
        <v>342</v>
      </c>
      <c r="V41" s="46">
        <f t="shared" si="5"/>
        <v>351</v>
      </c>
      <c r="W41" s="33" t="e">
        <f>IFERROR(AVERAGEIFS(data_brute!M:M,data_brute!J:J,"&lt;="&amp;V41,data_brute!J:J,"&gt;="&amp;U41),NA())</f>
        <v>#N/A</v>
      </c>
      <c r="X41" s="46" t="e">
        <f t="shared" si="6"/>
        <v>#N/A</v>
      </c>
      <c r="Y41" s="2" t="b">
        <f t="shared" si="0"/>
        <v>0</v>
      </c>
      <c r="Z41" s="2" t="b">
        <f t="shared" si="1"/>
        <v>0</v>
      </c>
      <c r="AE41" s="46">
        <f t="shared" si="7"/>
        <v>342</v>
      </c>
      <c r="AF41" s="46">
        <f t="shared" si="8"/>
        <v>351</v>
      </c>
      <c r="AG41" s="33" t="e">
        <f>IFERROR(AVERAGEIFS(data_brute!M:M,data_brute!J:J,"&gt;="&amp;AE41,data_brute!J:J,"&lt;="&amp;AF41),NA())</f>
        <v>#N/A</v>
      </c>
      <c r="AH41" s="46" t="e">
        <f t="shared" si="9"/>
        <v>#N/A</v>
      </c>
      <c r="AJ41" s="46">
        <f t="shared" si="10"/>
        <v>342</v>
      </c>
      <c r="AK41" s="46">
        <f t="shared" si="11"/>
        <v>351</v>
      </c>
      <c r="AL41" s="33">
        <f ca="1">IFERROR(AVERAGEIFS(data_brute!M:M,data_brute!J:J,"&lt;="&amp;AK41),NA())</f>
        <v>27.783750000000012</v>
      </c>
      <c r="AM41" s="46">
        <f t="shared" ca="1" si="12"/>
        <v>350</v>
      </c>
      <c r="AN41" s="46" t="b">
        <f t="shared" si="2"/>
        <v>0</v>
      </c>
      <c r="AO41" s="50" t="b">
        <f t="shared" si="3"/>
        <v>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4"/>
        <v>352</v>
      </c>
      <c r="V42" s="46">
        <f t="shared" si="5"/>
        <v>361</v>
      </c>
      <c r="W42" s="33" t="e">
        <f>IFERROR(AVERAGEIFS(data_brute!M:M,data_brute!J:J,"&lt;="&amp;V42,data_brute!J:J,"&gt;="&amp;U42),NA())</f>
        <v>#N/A</v>
      </c>
      <c r="X42" s="46" t="e">
        <f t="shared" si="6"/>
        <v>#N/A</v>
      </c>
      <c r="Y42" s="2" t="b">
        <f t="shared" si="0"/>
        <v>0</v>
      </c>
      <c r="Z42" s="2" t="b">
        <f t="shared" si="1"/>
        <v>0</v>
      </c>
      <c r="AE42" s="46">
        <f t="shared" si="7"/>
        <v>352</v>
      </c>
      <c r="AF42" s="46">
        <f t="shared" si="8"/>
        <v>361</v>
      </c>
      <c r="AG42" s="33" t="e">
        <f>IFERROR(AVERAGEIFS(data_brute!M:M,data_brute!J:J,"&gt;="&amp;AE42,data_brute!J:J,"&lt;="&amp;AF42),NA())</f>
        <v>#N/A</v>
      </c>
      <c r="AH42" s="46" t="e">
        <f t="shared" si="9"/>
        <v>#N/A</v>
      </c>
      <c r="AJ42" s="46">
        <f t="shared" si="10"/>
        <v>352</v>
      </c>
      <c r="AK42" s="46">
        <f t="shared" si="11"/>
        <v>361</v>
      </c>
      <c r="AL42" s="33">
        <f ca="1">IFERROR(AVERAGEIFS(data_brute!M:M,data_brute!J:J,"&lt;="&amp;AK42),NA())</f>
        <v>27.783750000000012</v>
      </c>
      <c r="AM42" s="46">
        <f t="shared" ca="1" si="12"/>
        <v>360</v>
      </c>
      <c r="AN42" s="46" t="b">
        <f t="shared" si="2"/>
        <v>0</v>
      </c>
      <c r="AO42" s="50" t="b">
        <f t="shared" si="3"/>
        <v>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4"/>
        <v>362</v>
      </c>
      <c r="V43" s="46">
        <f t="shared" si="5"/>
        <v>371</v>
      </c>
      <c r="W43" s="33" t="e">
        <f>IFERROR(AVERAGEIFS(data_brute!M:M,data_brute!J:J,"&lt;="&amp;V43,data_brute!J:J,"&gt;="&amp;U43),NA())</f>
        <v>#N/A</v>
      </c>
      <c r="X43" s="46" t="e">
        <f t="shared" si="6"/>
        <v>#N/A</v>
      </c>
      <c r="Y43" s="2" t="b">
        <f t="shared" si="0"/>
        <v>0</v>
      </c>
      <c r="Z43" s="2" t="b">
        <f t="shared" si="1"/>
        <v>0</v>
      </c>
      <c r="AE43" s="46">
        <f t="shared" ref="AE43:AE100" si="16">AF42+1</f>
        <v>362</v>
      </c>
      <c r="AF43" s="46">
        <f t="shared" ref="AF43:AF100" si="17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8">IF(AG43&lt;&gt;"",$AG$2*(ROW()-ROW($AH$6)),NA())</f>
        <v>#N/A</v>
      </c>
      <c r="AJ43" s="46">
        <f t="shared" ref="AJ43:AJ100" si="19">AK42+1</f>
        <v>362</v>
      </c>
      <c r="AK43" s="46">
        <f t="shared" ref="AK43:AK100" si="20">AJ43+$AG$2-1</f>
        <v>371</v>
      </c>
      <c r="AL43" s="33">
        <f ca="1">IFERROR(AVERAGEIFS(data_brute!M:M,data_brute!J:J,"&lt;="&amp;AK43),NA())</f>
        <v>27.783750000000012</v>
      </c>
      <c r="AM43" s="46">
        <f t="shared" ref="AM43:AM100" ca="1" si="21">IF(AL43&lt;&gt;"",$AG$2*(ROW()-ROW($AH$6)),NA())</f>
        <v>370</v>
      </c>
      <c r="AN43" s="46" t="b">
        <f t="shared" si="2"/>
        <v>0</v>
      </c>
      <c r="AO43" s="50" t="b">
        <f t="shared" si="3"/>
        <v>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4"/>
        <v>372</v>
      </c>
      <c r="V44" s="46">
        <f t="shared" si="5"/>
        <v>381</v>
      </c>
      <c r="W44" s="33" t="e">
        <f>IFERROR(AVERAGEIFS(data_brute!M:M,data_brute!J:J,"&lt;="&amp;V44,data_brute!J:J,"&gt;="&amp;U44),NA())</f>
        <v>#N/A</v>
      </c>
      <c r="X44" s="46" t="e">
        <f t="shared" si="6"/>
        <v>#N/A</v>
      </c>
      <c r="Y44" s="2" t="b">
        <f t="shared" si="0"/>
        <v>0</v>
      </c>
      <c r="Z44" s="2" t="b">
        <f t="shared" si="1"/>
        <v>0</v>
      </c>
      <c r="AE44" s="46">
        <f t="shared" si="16"/>
        <v>372</v>
      </c>
      <c r="AF44" s="46">
        <f t="shared" si="17"/>
        <v>381</v>
      </c>
      <c r="AG44" s="33" t="e">
        <f>IFERROR(AVERAGEIFS(data_brute!M:M,data_brute!J:J,"&gt;="&amp;AE44,data_brute!J:J,"&lt;="&amp;AF44),NA())</f>
        <v>#N/A</v>
      </c>
      <c r="AH44" s="46" t="e">
        <f t="shared" si="18"/>
        <v>#N/A</v>
      </c>
      <c r="AJ44" s="46">
        <f t="shared" si="19"/>
        <v>372</v>
      </c>
      <c r="AK44" s="46">
        <f t="shared" si="20"/>
        <v>381</v>
      </c>
      <c r="AL44" s="33">
        <f ca="1">IFERROR(AVERAGEIFS(data_brute!M:M,data_brute!J:J,"&lt;="&amp;AK44),NA())</f>
        <v>27.783750000000012</v>
      </c>
      <c r="AM44" s="46">
        <f t="shared" ca="1" si="21"/>
        <v>380</v>
      </c>
      <c r="AN44" s="46" t="b">
        <f t="shared" si="2"/>
        <v>0</v>
      </c>
      <c r="AO44" s="50" t="b">
        <f t="shared" si="3"/>
        <v>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4"/>
        <v>382</v>
      </c>
      <c r="V45" s="46">
        <f t="shared" si="5"/>
        <v>391</v>
      </c>
      <c r="W45" s="33" t="e">
        <f>IFERROR(AVERAGEIFS(data_brute!M:M,data_brute!J:J,"&lt;="&amp;V45,data_brute!J:J,"&gt;="&amp;U45),NA())</f>
        <v>#N/A</v>
      </c>
      <c r="X45" s="46" t="e">
        <f t="shared" si="6"/>
        <v>#N/A</v>
      </c>
      <c r="Y45" s="2" t="b">
        <f t="shared" si="0"/>
        <v>0</v>
      </c>
      <c r="Z45" s="2" t="b">
        <f t="shared" si="1"/>
        <v>0</v>
      </c>
      <c r="AE45" s="46">
        <f t="shared" si="16"/>
        <v>382</v>
      </c>
      <c r="AF45" s="46">
        <f t="shared" si="17"/>
        <v>391</v>
      </c>
      <c r="AG45" s="33" t="e">
        <f>IFERROR(AVERAGEIFS(data_brute!M:M,data_brute!J:J,"&gt;="&amp;AE45,data_brute!J:J,"&lt;="&amp;AF45),NA())</f>
        <v>#N/A</v>
      </c>
      <c r="AH45" s="46" t="e">
        <f t="shared" si="18"/>
        <v>#N/A</v>
      </c>
      <c r="AJ45" s="46">
        <f t="shared" si="19"/>
        <v>382</v>
      </c>
      <c r="AK45" s="46">
        <f t="shared" si="20"/>
        <v>391</v>
      </c>
      <c r="AL45" s="33">
        <f ca="1">IFERROR(AVERAGEIFS(data_brute!M:M,data_brute!J:J,"&lt;="&amp;AK45),NA())</f>
        <v>27.783750000000012</v>
      </c>
      <c r="AM45" s="46">
        <f t="shared" ca="1" si="21"/>
        <v>390</v>
      </c>
      <c r="AN45" s="46" t="b">
        <f t="shared" si="2"/>
        <v>0</v>
      </c>
      <c r="AO45" s="50" t="b">
        <f t="shared" si="3"/>
        <v>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4"/>
        <v>392</v>
      </c>
      <c r="V46" s="46">
        <f t="shared" si="5"/>
        <v>401</v>
      </c>
      <c r="W46" s="33" t="e">
        <f>IFERROR(AVERAGEIFS(data_brute!M:M,data_brute!J:J,"&lt;="&amp;V46,data_brute!J:J,"&gt;="&amp;U46),NA())</f>
        <v>#N/A</v>
      </c>
      <c r="X46" s="46" t="e">
        <f t="shared" si="6"/>
        <v>#N/A</v>
      </c>
      <c r="Y46" s="2" t="b">
        <f t="shared" si="0"/>
        <v>0</v>
      </c>
      <c r="Z46" s="2" t="b">
        <f t="shared" si="1"/>
        <v>0</v>
      </c>
      <c r="AE46" s="46">
        <f t="shared" si="16"/>
        <v>392</v>
      </c>
      <c r="AF46" s="46">
        <f t="shared" si="17"/>
        <v>401</v>
      </c>
      <c r="AG46" s="33" t="e">
        <f>IFERROR(AVERAGEIFS(data_brute!M:M,data_brute!J:J,"&gt;="&amp;AE46,data_brute!J:J,"&lt;="&amp;AF46),NA())</f>
        <v>#N/A</v>
      </c>
      <c r="AH46" s="46" t="e">
        <f t="shared" si="18"/>
        <v>#N/A</v>
      </c>
      <c r="AJ46" s="46">
        <f t="shared" si="19"/>
        <v>392</v>
      </c>
      <c r="AK46" s="46">
        <f t="shared" si="20"/>
        <v>401</v>
      </c>
      <c r="AL46" s="33">
        <f ca="1">IFERROR(AVERAGEIFS(data_brute!M:M,data_brute!J:J,"&lt;="&amp;AK46),NA())</f>
        <v>27.783750000000012</v>
      </c>
      <c r="AM46" s="46">
        <f t="shared" ca="1" si="21"/>
        <v>400</v>
      </c>
      <c r="AN46" s="46" t="b">
        <f t="shared" si="2"/>
        <v>0</v>
      </c>
      <c r="AO46" s="50" t="b">
        <f t="shared" si="3"/>
        <v>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4"/>
        <v>402</v>
      </c>
      <c r="V47" s="46">
        <f t="shared" si="5"/>
        <v>411</v>
      </c>
      <c r="W47" s="33" t="e">
        <f>IFERROR(AVERAGEIFS(data_brute!M:M,data_brute!J:J,"&lt;="&amp;V47,data_brute!J:J,"&gt;="&amp;U47),NA())</f>
        <v>#N/A</v>
      </c>
      <c r="X47" s="46" t="e">
        <f t="shared" si="6"/>
        <v>#N/A</v>
      </c>
      <c r="Y47" s="2" t="b">
        <f t="shared" si="0"/>
        <v>0</v>
      </c>
      <c r="Z47" s="2" t="b">
        <f t="shared" si="1"/>
        <v>0</v>
      </c>
      <c r="AE47" s="46">
        <f t="shared" si="16"/>
        <v>402</v>
      </c>
      <c r="AF47" s="46">
        <f t="shared" si="17"/>
        <v>411</v>
      </c>
      <c r="AG47" s="33" t="e">
        <f>IFERROR(AVERAGEIFS(data_brute!M:M,data_brute!J:J,"&gt;="&amp;AE47,data_brute!J:J,"&lt;="&amp;AF47),NA())</f>
        <v>#N/A</v>
      </c>
      <c r="AH47" s="46" t="e">
        <f t="shared" si="18"/>
        <v>#N/A</v>
      </c>
      <c r="AJ47" s="46">
        <f t="shared" si="19"/>
        <v>402</v>
      </c>
      <c r="AK47" s="46">
        <f t="shared" si="20"/>
        <v>411</v>
      </c>
      <c r="AL47" s="33">
        <f ca="1">IFERROR(AVERAGEIFS(data_brute!M:M,data_brute!J:J,"&lt;="&amp;AK47),NA())</f>
        <v>27.783750000000012</v>
      </c>
      <c r="AM47" s="46">
        <f t="shared" ca="1" si="21"/>
        <v>410</v>
      </c>
      <c r="AN47" s="46" t="b">
        <f t="shared" si="2"/>
        <v>0</v>
      </c>
      <c r="AO47" s="50" t="b">
        <f t="shared" si="3"/>
        <v>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4"/>
        <v>412</v>
      </c>
      <c r="V48" s="46">
        <f t="shared" si="5"/>
        <v>421</v>
      </c>
      <c r="W48" s="33" t="e">
        <f>IFERROR(AVERAGEIFS(data_brute!M:M,data_brute!J:J,"&lt;="&amp;V48,data_brute!J:J,"&gt;="&amp;U48),NA())</f>
        <v>#N/A</v>
      </c>
      <c r="X48" s="46" t="e">
        <f t="shared" si="6"/>
        <v>#N/A</v>
      </c>
      <c r="Y48" s="2" t="b">
        <f t="shared" si="0"/>
        <v>0</v>
      </c>
      <c r="Z48" s="2" t="b">
        <f t="shared" si="1"/>
        <v>0</v>
      </c>
      <c r="AE48" s="46">
        <f t="shared" si="16"/>
        <v>412</v>
      </c>
      <c r="AF48" s="46">
        <f t="shared" si="17"/>
        <v>421</v>
      </c>
      <c r="AG48" s="33" t="e">
        <f>IFERROR(AVERAGEIFS(data_brute!M:M,data_brute!J:J,"&gt;="&amp;AE48,data_brute!J:J,"&lt;="&amp;AF48),NA())</f>
        <v>#N/A</v>
      </c>
      <c r="AH48" s="46" t="e">
        <f t="shared" si="18"/>
        <v>#N/A</v>
      </c>
      <c r="AJ48" s="46">
        <f t="shared" si="19"/>
        <v>412</v>
      </c>
      <c r="AK48" s="46">
        <f t="shared" si="20"/>
        <v>421</v>
      </c>
      <c r="AL48" s="33">
        <f ca="1">IFERROR(AVERAGEIFS(data_brute!M:M,data_brute!J:J,"&lt;="&amp;AK48),NA())</f>
        <v>27.783750000000012</v>
      </c>
      <c r="AM48" s="46">
        <f t="shared" ca="1" si="21"/>
        <v>420</v>
      </c>
      <c r="AN48" s="46" t="b">
        <f t="shared" si="2"/>
        <v>0</v>
      </c>
      <c r="AO48" s="50" t="b">
        <f t="shared" si="3"/>
        <v>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4"/>
        <v>422</v>
      </c>
      <c r="V49" s="46">
        <f t="shared" si="5"/>
        <v>431</v>
      </c>
      <c r="W49" s="33" t="e">
        <f>IFERROR(AVERAGEIFS(data_brute!M:M,data_brute!J:J,"&lt;="&amp;V49,data_brute!J:J,"&gt;="&amp;U49),NA())</f>
        <v>#N/A</v>
      </c>
      <c r="X49" s="46" t="e">
        <f t="shared" si="6"/>
        <v>#N/A</v>
      </c>
      <c r="Y49" s="2" t="b">
        <f t="shared" si="0"/>
        <v>0</v>
      </c>
      <c r="Z49" s="2" t="b">
        <f t="shared" si="1"/>
        <v>0</v>
      </c>
      <c r="AE49" s="46">
        <f t="shared" si="16"/>
        <v>422</v>
      </c>
      <c r="AF49" s="46">
        <f t="shared" si="17"/>
        <v>431</v>
      </c>
      <c r="AG49" s="33" t="e">
        <f>IFERROR(AVERAGEIFS(data_brute!M:M,data_brute!J:J,"&gt;="&amp;AE49,data_brute!J:J,"&lt;="&amp;AF49),NA())</f>
        <v>#N/A</v>
      </c>
      <c r="AH49" s="46" t="e">
        <f t="shared" si="18"/>
        <v>#N/A</v>
      </c>
      <c r="AJ49" s="46">
        <f t="shared" si="19"/>
        <v>422</v>
      </c>
      <c r="AK49" s="46">
        <f t="shared" si="20"/>
        <v>431</v>
      </c>
      <c r="AL49" s="33">
        <f ca="1">IFERROR(AVERAGEIFS(data_brute!M:M,data_brute!J:J,"&lt;="&amp;AK49),NA())</f>
        <v>27.783750000000012</v>
      </c>
      <c r="AM49" s="46">
        <f t="shared" ca="1" si="21"/>
        <v>430</v>
      </c>
      <c r="AN49" s="46" t="b">
        <f t="shared" si="2"/>
        <v>0</v>
      </c>
      <c r="AO49" s="50" t="b">
        <f t="shared" si="3"/>
        <v>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4"/>
        <v>432</v>
      </c>
      <c r="V50" s="46">
        <f t="shared" si="5"/>
        <v>441</v>
      </c>
      <c r="W50" s="33" t="e">
        <f>IFERROR(AVERAGEIFS(data_brute!M:M,data_brute!J:J,"&lt;="&amp;V50,data_brute!J:J,"&gt;="&amp;U50),NA())</f>
        <v>#N/A</v>
      </c>
      <c r="X50" s="46" t="e">
        <f t="shared" si="6"/>
        <v>#N/A</v>
      </c>
      <c r="Y50" s="2" t="b">
        <f t="shared" si="0"/>
        <v>0</v>
      </c>
      <c r="Z50" s="2" t="b">
        <f t="shared" si="1"/>
        <v>0</v>
      </c>
      <c r="AE50" s="46">
        <f t="shared" si="16"/>
        <v>432</v>
      </c>
      <c r="AF50" s="46">
        <f t="shared" si="17"/>
        <v>441</v>
      </c>
      <c r="AG50" s="33" t="e">
        <f>IFERROR(AVERAGEIFS(data_brute!M:M,data_brute!J:J,"&gt;="&amp;AE50,data_brute!J:J,"&lt;="&amp;AF50),NA())</f>
        <v>#N/A</v>
      </c>
      <c r="AH50" s="46" t="e">
        <f t="shared" si="18"/>
        <v>#N/A</v>
      </c>
      <c r="AJ50" s="46">
        <f t="shared" si="19"/>
        <v>432</v>
      </c>
      <c r="AK50" s="46">
        <f t="shared" si="20"/>
        <v>441</v>
      </c>
      <c r="AL50" s="33">
        <f ca="1">IFERROR(AVERAGEIFS(data_brute!M:M,data_brute!J:J,"&lt;="&amp;AK50),NA())</f>
        <v>27.783750000000012</v>
      </c>
      <c r="AM50" s="46">
        <f t="shared" ca="1" si="21"/>
        <v>440</v>
      </c>
      <c r="AN50" s="46" t="b">
        <f t="shared" si="2"/>
        <v>0</v>
      </c>
      <c r="AO50" s="50" t="b">
        <f t="shared" si="3"/>
        <v>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4"/>
        <v>442</v>
      </c>
      <c r="V51" s="46">
        <f t="shared" si="5"/>
        <v>451</v>
      </c>
      <c r="W51" s="33" t="e">
        <f>IFERROR(AVERAGEIFS(data_brute!M:M,data_brute!J:J,"&lt;="&amp;V51,data_brute!J:J,"&gt;="&amp;U51),NA())</f>
        <v>#N/A</v>
      </c>
      <c r="X51" s="46" t="e">
        <f t="shared" si="6"/>
        <v>#N/A</v>
      </c>
      <c r="Y51" s="2" t="b">
        <f t="shared" si="0"/>
        <v>0</v>
      </c>
      <c r="Z51" s="2" t="b">
        <f t="shared" si="1"/>
        <v>0</v>
      </c>
      <c r="AE51" s="46">
        <f t="shared" si="16"/>
        <v>442</v>
      </c>
      <c r="AF51" s="46">
        <f t="shared" si="17"/>
        <v>451</v>
      </c>
      <c r="AG51" s="33" t="e">
        <f>IFERROR(AVERAGEIFS(data_brute!M:M,data_brute!J:J,"&gt;="&amp;AE51,data_brute!J:J,"&lt;="&amp;AF51),NA())</f>
        <v>#N/A</v>
      </c>
      <c r="AH51" s="46" t="e">
        <f t="shared" si="18"/>
        <v>#N/A</v>
      </c>
      <c r="AJ51" s="46">
        <f t="shared" si="19"/>
        <v>442</v>
      </c>
      <c r="AK51" s="46">
        <f t="shared" si="20"/>
        <v>451</v>
      </c>
      <c r="AL51" s="33">
        <f ca="1">IFERROR(AVERAGEIFS(data_brute!M:M,data_brute!J:J,"&lt;="&amp;AK51),NA())</f>
        <v>27.783750000000012</v>
      </c>
      <c r="AM51" s="46">
        <f t="shared" ca="1" si="21"/>
        <v>450</v>
      </c>
      <c r="AN51" s="46" t="b">
        <f t="shared" si="2"/>
        <v>0</v>
      </c>
      <c r="AO51" s="50" t="b">
        <f t="shared" si="3"/>
        <v>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4"/>
        <v>452</v>
      </c>
      <c r="V52" s="46">
        <f t="shared" si="5"/>
        <v>461</v>
      </c>
      <c r="W52" s="33" t="e">
        <f>IFERROR(AVERAGEIFS(data_brute!M:M,data_brute!J:J,"&lt;="&amp;V52,data_brute!J:J,"&gt;="&amp;U52),NA())</f>
        <v>#N/A</v>
      </c>
      <c r="X52" s="46" t="e">
        <f t="shared" si="6"/>
        <v>#N/A</v>
      </c>
      <c r="Y52" s="2" t="b">
        <f t="shared" si="0"/>
        <v>0</v>
      </c>
      <c r="Z52" s="2" t="b">
        <f t="shared" si="1"/>
        <v>0</v>
      </c>
      <c r="AE52" s="46">
        <f t="shared" si="16"/>
        <v>452</v>
      </c>
      <c r="AF52" s="46">
        <f t="shared" si="17"/>
        <v>461</v>
      </c>
      <c r="AG52" s="33" t="e">
        <f>IFERROR(AVERAGEIFS(data_brute!M:M,data_brute!J:J,"&gt;="&amp;AE52,data_brute!J:J,"&lt;="&amp;AF52),NA())</f>
        <v>#N/A</v>
      </c>
      <c r="AH52" s="46" t="e">
        <f t="shared" si="18"/>
        <v>#N/A</v>
      </c>
      <c r="AJ52" s="46">
        <f t="shared" si="19"/>
        <v>452</v>
      </c>
      <c r="AK52" s="46">
        <f t="shared" si="20"/>
        <v>461</v>
      </c>
      <c r="AL52" s="33">
        <f ca="1">IFERROR(AVERAGEIFS(data_brute!M:M,data_brute!J:J,"&lt;="&amp;AK52),NA())</f>
        <v>27.783750000000012</v>
      </c>
      <c r="AM52" s="46">
        <f t="shared" ca="1" si="21"/>
        <v>460</v>
      </c>
      <c r="AN52" s="46" t="b">
        <f t="shared" si="2"/>
        <v>0</v>
      </c>
      <c r="AO52" s="50" t="b">
        <f t="shared" si="3"/>
        <v>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4"/>
        <v>462</v>
      </c>
      <c r="V53" s="46">
        <f t="shared" si="5"/>
        <v>471</v>
      </c>
      <c r="W53" s="33" t="e">
        <f>IFERROR(AVERAGEIFS(data_brute!M:M,data_brute!J:J,"&lt;="&amp;V53,data_brute!J:J,"&gt;="&amp;U53),NA())</f>
        <v>#N/A</v>
      </c>
      <c r="X53" s="46" t="e">
        <f t="shared" si="6"/>
        <v>#N/A</v>
      </c>
      <c r="Y53" s="2" t="b">
        <f t="shared" si="0"/>
        <v>0</v>
      </c>
      <c r="Z53" s="2" t="b">
        <f t="shared" si="1"/>
        <v>0</v>
      </c>
      <c r="AE53" s="46">
        <f t="shared" si="16"/>
        <v>462</v>
      </c>
      <c r="AF53" s="46">
        <f t="shared" si="17"/>
        <v>471</v>
      </c>
      <c r="AG53" s="33" t="e">
        <f>IFERROR(AVERAGEIFS(data_brute!M:M,data_brute!J:J,"&gt;="&amp;AE53,data_brute!J:J,"&lt;="&amp;AF53),NA())</f>
        <v>#N/A</v>
      </c>
      <c r="AH53" s="46" t="e">
        <f t="shared" si="18"/>
        <v>#N/A</v>
      </c>
      <c r="AJ53" s="46">
        <f t="shared" si="19"/>
        <v>462</v>
      </c>
      <c r="AK53" s="46">
        <f t="shared" si="20"/>
        <v>471</v>
      </c>
      <c r="AL53" s="33">
        <f ca="1">IFERROR(AVERAGEIFS(data_brute!M:M,data_brute!J:J,"&lt;="&amp;AK53),NA())</f>
        <v>27.783750000000012</v>
      </c>
      <c r="AM53" s="46">
        <f t="shared" ca="1" si="21"/>
        <v>470</v>
      </c>
      <c r="AN53" s="46" t="b">
        <f t="shared" si="2"/>
        <v>0</v>
      </c>
      <c r="AO53" s="50" t="b">
        <f t="shared" si="3"/>
        <v>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4"/>
        <v>472</v>
      </c>
      <c r="V54" s="46">
        <f t="shared" si="5"/>
        <v>481</v>
      </c>
      <c r="W54" s="33" t="e">
        <f>IFERROR(AVERAGEIFS(data_brute!M:M,data_brute!J:J,"&lt;="&amp;V54,data_brute!J:J,"&gt;="&amp;U54),NA())</f>
        <v>#N/A</v>
      </c>
      <c r="X54" s="46" t="e">
        <f t="shared" si="6"/>
        <v>#N/A</v>
      </c>
      <c r="Y54" s="2" t="b">
        <f t="shared" si="0"/>
        <v>0</v>
      </c>
      <c r="Z54" s="2" t="b">
        <f t="shared" si="1"/>
        <v>0</v>
      </c>
      <c r="AE54" s="46">
        <f t="shared" si="16"/>
        <v>472</v>
      </c>
      <c r="AF54" s="46">
        <f t="shared" si="17"/>
        <v>481</v>
      </c>
      <c r="AG54" s="33" t="e">
        <f>IFERROR(AVERAGEIFS(data_brute!M:M,data_brute!J:J,"&gt;="&amp;AE54,data_brute!J:J,"&lt;="&amp;AF54),NA())</f>
        <v>#N/A</v>
      </c>
      <c r="AH54" s="46" t="e">
        <f t="shared" si="18"/>
        <v>#N/A</v>
      </c>
      <c r="AJ54" s="46">
        <f t="shared" si="19"/>
        <v>472</v>
      </c>
      <c r="AK54" s="46">
        <f t="shared" si="20"/>
        <v>481</v>
      </c>
      <c r="AL54" s="33">
        <f ca="1">IFERROR(AVERAGEIFS(data_brute!M:M,data_brute!J:J,"&lt;="&amp;AK54),NA())</f>
        <v>27.783750000000012</v>
      </c>
      <c r="AM54" s="46">
        <f t="shared" ca="1" si="21"/>
        <v>480</v>
      </c>
      <c r="AN54" s="46" t="b">
        <f t="shared" si="2"/>
        <v>0</v>
      </c>
      <c r="AO54" s="50" t="b">
        <f t="shared" si="3"/>
        <v>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4"/>
        <v>482</v>
      </c>
      <c r="V55" s="46">
        <f t="shared" si="5"/>
        <v>491</v>
      </c>
      <c r="W55" s="33" t="e">
        <f>IFERROR(AVERAGEIFS(data_brute!M:M,data_brute!J:J,"&lt;="&amp;V55,data_brute!J:J,"&gt;="&amp;U55),NA())</f>
        <v>#N/A</v>
      </c>
      <c r="X55" s="46" t="e">
        <f t="shared" si="6"/>
        <v>#N/A</v>
      </c>
      <c r="Y55" s="2" t="b">
        <f t="shared" si="0"/>
        <v>0</v>
      </c>
      <c r="Z55" s="2" t="b">
        <f t="shared" si="1"/>
        <v>0</v>
      </c>
      <c r="AE55" s="46">
        <f t="shared" si="16"/>
        <v>482</v>
      </c>
      <c r="AF55" s="46">
        <f t="shared" si="17"/>
        <v>491</v>
      </c>
      <c r="AG55" s="33" t="e">
        <f>IFERROR(AVERAGEIFS(data_brute!M:M,data_brute!J:J,"&gt;="&amp;AE55,data_brute!J:J,"&lt;="&amp;AF55),NA())</f>
        <v>#N/A</v>
      </c>
      <c r="AH55" s="46" t="e">
        <f t="shared" si="18"/>
        <v>#N/A</v>
      </c>
      <c r="AJ55" s="46">
        <f t="shared" si="19"/>
        <v>482</v>
      </c>
      <c r="AK55" s="46">
        <f t="shared" si="20"/>
        <v>491</v>
      </c>
      <c r="AL55" s="33">
        <f ca="1">IFERROR(AVERAGEIFS(data_brute!M:M,data_brute!J:J,"&lt;="&amp;AK55),NA())</f>
        <v>27.783750000000012</v>
      </c>
      <c r="AM55" s="46">
        <f t="shared" ca="1" si="21"/>
        <v>490</v>
      </c>
      <c r="AN55" s="46" t="b">
        <f t="shared" si="2"/>
        <v>0</v>
      </c>
      <c r="AO55" s="50" t="b">
        <f t="shared" si="3"/>
        <v>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4"/>
        <v>492</v>
      </c>
      <c r="V56" s="46">
        <f t="shared" si="5"/>
        <v>501</v>
      </c>
      <c r="W56" s="33" t="e">
        <f>IFERROR(AVERAGEIFS(data_brute!M:M,data_brute!J:J,"&lt;="&amp;V56,data_brute!J:J,"&gt;="&amp;U56),NA())</f>
        <v>#N/A</v>
      </c>
      <c r="X56" s="46" t="e">
        <f t="shared" si="6"/>
        <v>#N/A</v>
      </c>
      <c r="Y56" s="2" t="b">
        <f t="shared" si="0"/>
        <v>0</v>
      </c>
      <c r="Z56" s="2" t="b">
        <f t="shared" si="1"/>
        <v>0</v>
      </c>
      <c r="AE56" s="46">
        <f t="shared" si="16"/>
        <v>492</v>
      </c>
      <c r="AF56" s="46">
        <f t="shared" si="17"/>
        <v>501</v>
      </c>
      <c r="AG56" s="33" t="e">
        <f>IFERROR(AVERAGEIFS(data_brute!M:M,data_brute!J:J,"&gt;="&amp;AE56,data_brute!J:J,"&lt;="&amp;AF56),NA())</f>
        <v>#N/A</v>
      </c>
      <c r="AH56" s="46" t="e">
        <f t="shared" si="18"/>
        <v>#N/A</v>
      </c>
      <c r="AJ56" s="46">
        <f t="shared" si="19"/>
        <v>492</v>
      </c>
      <c r="AK56" s="46">
        <f t="shared" si="20"/>
        <v>501</v>
      </c>
      <c r="AL56" s="33">
        <f ca="1">IFERROR(AVERAGEIFS(data_brute!M:M,data_brute!J:J,"&lt;="&amp;AK56),NA())</f>
        <v>27.783750000000012</v>
      </c>
      <c r="AM56" s="46">
        <f t="shared" ca="1" si="21"/>
        <v>500</v>
      </c>
      <c r="AN56" s="46" t="b">
        <f t="shared" si="2"/>
        <v>0</v>
      </c>
      <c r="AO56" s="50" t="b">
        <f t="shared" si="3"/>
        <v>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4"/>
        <v>502</v>
      </c>
      <c r="V57" s="46">
        <f t="shared" si="5"/>
        <v>511</v>
      </c>
      <c r="W57" s="33" t="e">
        <f>IFERROR(AVERAGEIFS(data_brute!M:M,data_brute!J:J,"&lt;="&amp;V57,data_brute!J:J,"&gt;="&amp;U57),NA())</f>
        <v>#N/A</v>
      </c>
      <c r="X57" s="46" t="e">
        <f t="shared" si="6"/>
        <v>#N/A</v>
      </c>
      <c r="Y57" s="2" t="b">
        <f t="shared" si="0"/>
        <v>0</v>
      </c>
      <c r="Z57" s="2" t="b">
        <f t="shared" si="1"/>
        <v>0</v>
      </c>
      <c r="AE57" s="46">
        <f t="shared" si="16"/>
        <v>502</v>
      </c>
      <c r="AF57" s="46">
        <f t="shared" si="17"/>
        <v>511</v>
      </c>
      <c r="AG57" s="33" t="e">
        <f>IFERROR(AVERAGEIFS(data_brute!M:M,data_brute!J:J,"&gt;="&amp;AE57,data_brute!J:J,"&lt;="&amp;AF57),NA())</f>
        <v>#N/A</v>
      </c>
      <c r="AH57" s="46" t="e">
        <f t="shared" si="18"/>
        <v>#N/A</v>
      </c>
      <c r="AJ57" s="46">
        <f t="shared" si="19"/>
        <v>502</v>
      </c>
      <c r="AK57" s="46">
        <f t="shared" si="20"/>
        <v>511</v>
      </c>
      <c r="AL57" s="33">
        <f ca="1">IFERROR(AVERAGEIFS(data_brute!M:M,data_brute!J:J,"&lt;="&amp;AK57),NA())</f>
        <v>27.783750000000012</v>
      </c>
      <c r="AM57" s="46">
        <f t="shared" ca="1" si="21"/>
        <v>510</v>
      </c>
      <c r="AN57" s="46" t="b">
        <f t="shared" si="2"/>
        <v>0</v>
      </c>
      <c r="AO57" s="50" t="b">
        <f t="shared" si="3"/>
        <v>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4"/>
        <v>512</v>
      </c>
      <c r="V58" s="46">
        <f t="shared" si="5"/>
        <v>521</v>
      </c>
      <c r="W58" s="33" t="e">
        <f>IFERROR(AVERAGEIFS(data_brute!M:M,data_brute!J:J,"&lt;="&amp;V58,data_brute!J:J,"&gt;="&amp;U58),NA())</f>
        <v>#N/A</v>
      </c>
      <c r="X58" s="46" t="e">
        <f t="shared" si="6"/>
        <v>#N/A</v>
      </c>
      <c r="Y58" s="2" t="b">
        <f t="shared" si="0"/>
        <v>0</v>
      </c>
      <c r="Z58" s="2" t="b">
        <f t="shared" si="1"/>
        <v>0</v>
      </c>
      <c r="AE58" s="46">
        <f t="shared" si="16"/>
        <v>512</v>
      </c>
      <c r="AF58" s="46">
        <f t="shared" si="17"/>
        <v>521</v>
      </c>
      <c r="AG58" s="33" t="e">
        <f>IFERROR(AVERAGEIFS(data_brute!M:M,data_brute!J:J,"&gt;="&amp;AE58,data_brute!J:J,"&lt;="&amp;AF58),NA())</f>
        <v>#N/A</v>
      </c>
      <c r="AH58" s="46" t="e">
        <f t="shared" si="18"/>
        <v>#N/A</v>
      </c>
      <c r="AJ58" s="46">
        <f t="shared" si="19"/>
        <v>512</v>
      </c>
      <c r="AK58" s="46">
        <f t="shared" si="20"/>
        <v>521</v>
      </c>
      <c r="AL58" s="33">
        <f ca="1">IFERROR(AVERAGEIFS(data_brute!M:M,data_brute!J:J,"&lt;="&amp;AK58),NA())</f>
        <v>27.783750000000012</v>
      </c>
      <c r="AM58" s="46">
        <f t="shared" ca="1" si="21"/>
        <v>520</v>
      </c>
      <c r="AN58" s="46" t="b">
        <f t="shared" si="2"/>
        <v>0</v>
      </c>
      <c r="AO58" s="50" t="b">
        <f t="shared" si="3"/>
        <v>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4"/>
        <v>522</v>
      </c>
      <c r="V59" s="46">
        <f t="shared" si="5"/>
        <v>531</v>
      </c>
      <c r="W59" s="33" t="e">
        <f>IFERROR(AVERAGEIFS(data_brute!M:M,data_brute!J:J,"&lt;="&amp;V59,data_brute!J:J,"&gt;="&amp;U59),NA())</f>
        <v>#N/A</v>
      </c>
      <c r="X59" s="46" t="e">
        <f t="shared" si="6"/>
        <v>#N/A</v>
      </c>
      <c r="Y59" s="2" t="b">
        <f t="shared" si="0"/>
        <v>0</v>
      </c>
      <c r="Z59" s="2" t="b">
        <f t="shared" si="1"/>
        <v>0</v>
      </c>
      <c r="AE59" s="46">
        <f t="shared" si="16"/>
        <v>522</v>
      </c>
      <c r="AF59" s="46">
        <f t="shared" si="17"/>
        <v>531</v>
      </c>
      <c r="AG59" s="33" t="e">
        <f>IFERROR(AVERAGEIFS(data_brute!M:M,data_brute!J:J,"&gt;="&amp;AE59,data_brute!J:J,"&lt;="&amp;AF59),NA())</f>
        <v>#N/A</v>
      </c>
      <c r="AH59" s="46" t="e">
        <f t="shared" si="18"/>
        <v>#N/A</v>
      </c>
      <c r="AJ59" s="46">
        <f t="shared" si="19"/>
        <v>522</v>
      </c>
      <c r="AK59" s="46">
        <f t="shared" si="20"/>
        <v>531</v>
      </c>
      <c r="AL59" s="33">
        <f ca="1">IFERROR(AVERAGEIFS(data_brute!M:M,data_brute!J:J,"&lt;="&amp;AK59),NA())</f>
        <v>27.783750000000012</v>
      </c>
      <c r="AM59" s="46">
        <f t="shared" ca="1" si="21"/>
        <v>530</v>
      </c>
      <c r="AN59" s="46" t="b">
        <f t="shared" si="2"/>
        <v>0</v>
      </c>
      <c r="AO59" s="50" t="b">
        <f t="shared" si="3"/>
        <v>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4"/>
        <v>532</v>
      </c>
      <c r="V60" s="46">
        <f t="shared" si="5"/>
        <v>541</v>
      </c>
      <c r="W60" s="33" t="e">
        <f>IFERROR(AVERAGEIFS(data_brute!M:M,data_brute!J:J,"&lt;="&amp;V60,data_brute!J:J,"&gt;="&amp;U60),NA())</f>
        <v>#N/A</v>
      </c>
      <c r="X60" s="46" t="e">
        <f t="shared" si="6"/>
        <v>#N/A</v>
      </c>
      <c r="Y60" s="2" t="b">
        <f t="shared" si="0"/>
        <v>0</v>
      </c>
      <c r="Z60" s="2" t="b">
        <f t="shared" si="1"/>
        <v>0</v>
      </c>
      <c r="AE60" s="46">
        <f t="shared" si="16"/>
        <v>532</v>
      </c>
      <c r="AF60" s="46">
        <f t="shared" si="17"/>
        <v>541</v>
      </c>
      <c r="AG60" s="33" t="e">
        <f>IFERROR(AVERAGEIFS(data_brute!M:M,data_brute!J:J,"&gt;="&amp;AE60,data_brute!J:J,"&lt;="&amp;AF60),NA())</f>
        <v>#N/A</v>
      </c>
      <c r="AH60" s="46" t="e">
        <f t="shared" si="18"/>
        <v>#N/A</v>
      </c>
      <c r="AJ60" s="46">
        <f t="shared" si="19"/>
        <v>532</v>
      </c>
      <c r="AK60" s="46">
        <f t="shared" si="20"/>
        <v>541</v>
      </c>
      <c r="AL60" s="33">
        <f ca="1">IFERROR(AVERAGEIFS(data_brute!M:M,data_brute!J:J,"&lt;="&amp;AK60),NA())</f>
        <v>27.783750000000012</v>
      </c>
      <c r="AM60" s="46">
        <f t="shared" ca="1" si="21"/>
        <v>540</v>
      </c>
      <c r="AN60" s="46" t="b">
        <f t="shared" si="2"/>
        <v>0</v>
      </c>
      <c r="AO60" s="50" t="b">
        <f t="shared" si="3"/>
        <v>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4"/>
        <v>542</v>
      </c>
      <c r="V61" s="46">
        <f t="shared" si="5"/>
        <v>551</v>
      </c>
      <c r="W61" s="33" t="e">
        <f>IFERROR(AVERAGEIFS(data_brute!M:M,data_brute!J:J,"&lt;="&amp;V61,data_brute!J:J,"&gt;="&amp;U61),NA())</f>
        <v>#N/A</v>
      </c>
      <c r="X61" s="46" t="e">
        <f t="shared" si="6"/>
        <v>#N/A</v>
      </c>
      <c r="Y61" s="2" t="b">
        <f t="shared" si="0"/>
        <v>0</v>
      </c>
      <c r="Z61" s="2" t="b">
        <f t="shared" si="1"/>
        <v>0</v>
      </c>
      <c r="AE61" s="46">
        <f t="shared" si="16"/>
        <v>542</v>
      </c>
      <c r="AF61" s="46">
        <f t="shared" si="17"/>
        <v>551</v>
      </c>
      <c r="AG61" s="33" t="e">
        <f>IFERROR(AVERAGEIFS(data_brute!M:M,data_brute!J:J,"&gt;="&amp;AE61,data_brute!J:J,"&lt;="&amp;AF61),NA())</f>
        <v>#N/A</v>
      </c>
      <c r="AH61" s="46" t="e">
        <f t="shared" si="18"/>
        <v>#N/A</v>
      </c>
      <c r="AJ61" s="46">
        <f t="shared" si="19"/>
        <v>542</v>
      </c>
      <c r="AK61" s="46">
        <f t="shared" si="20"/>
        <v>551</v>
      </c>
      <c r="AL61" s="33">
        <f ca="1">IFERROR(AVERAGEIFS(data_brute!M:M,data_brute!J:J,"&lt;="&amp;AK61),NA())</f>
        <v>27.783750000000012</v>
      </c>
      <c r="AM61" s="46">
        <f t="shared" ca="1" si="21"/>
        <v>550</v>
      </c>
      <c r="AN61" s="46" t="b">
        <f t="shared" si="2"/>
        <v>0</v>
      </c>
      <c r="AO61" s="50" t="b">
        <f t="shared" si="3"/>
        <v>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4"/>
        <v>552</v>
      </c>
      <c r="V62" s="46">
        <f t="shared" si="5"/>
        <v>561</v>
      </c>
      <c r="W62" s="33" t="e">
        <f>IFERROR(AVERAGEIFS(data_brute!M:M,data_brute!J:J,"&lt;="&amp;V62,data_brute!J:J,"&gt;="&amp;U62),NA())</f>
        <v>#N/A</v>
      </c>
      <c r="X62" s="46" t="e">
        <f t="shared" si="6"/>
        <v>#N/A</v>
      </c>
      <c r="Y62" s="2" t="b">
        <f t="shared" si="0"/>
        <v>0</v>
      </c>
      <c r="Z62" s="2" t="b">
        <f t="shared" si="1"/>
        <v>0</v>
      </c>
      <c r="AE62" s="46">
        <f t="shared" si="16"/>
        <v>552</v>
      </c>
      <c r="AF62" s="46">
        <f t="shared" si="17"/>
        <v>561</v>
      </c>
      <c r="AG62" s="33" t="e">
        <f>IFERROR(AVERAGEIFS(data_brute!M:M,data_brute!J:J,"&gt;="&amp;AE62,data_brute!J:J,"&lt;="&amp;AF62),NA())</f>
        <v>#N/A</v>
      </c>
      <c r="AH62" s="46" t="e">
        <f t="shared" si="18"/>
        <v>#N/A</v>
      </c>
      <c r="AJ62" s="46">
        <f t="shared" si="19"/>
        <v>552</v>
      </c>
      <c r="AK62" s="46">
        <f t="shared" si="20"/>
        <v>561</v>
      </c>
      <c r="AL62" s="33">
        <f ca="1">IFERROR(AVERAGEIFS(data_brute!M:M,data_brute!J:J,"&lt;="&amp;AK62),NA())</f>
        <v>27.783750000000012</v>
      </c>
      <c r="AM62" s="46">
        <f t="shared" ca="1" si="21"/>
        <v>560</v>
      </c>
      <c r="AN62" s="46" t="b">
        <f t="shared" si="2"/>
        <v>0</v>
      </c>
      <c r="AO62" s="50" t="b">
        <f t="shared" si="3"/>
        <v>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4"/>
        <v>562</v>
      </c>
      <c r="V63" s="46">
        <f t="shared" si="5"/>
        <v>571</v>
      </c>
      <c r="W63" s="33" t="e">
        <f>IFERROR(AVERAGEIFS(data_brute!M:M,data_brute!J:J,"&lt;="&amp;V63,data_brute!J:J,"&gt;="&amp;U63),NA())</f>
        <v>#N/A</v>
      </c>
      <c r="X63" s="46" t="e">
        <f t="shared" si="6"/>
        <v>#N/A</v>
      </c>
      <c r="Y63" s="2" t="b">
        <f t="shared" si="0"/>
        <v>0</v>
      </c>
      <c r="Z63" s="2" t="b">
        <f t="shared" si="1"/>
        <v>0</v>
      </c>
      <c r="AE63" s="46">
        <f t="shared" si="16"/>
        <v>562</v>
      </c>
      <c r="AF63" s="46">
        <f t="shared" si="17"/>
        <v>571</v>
      </c>
      <c r="AG63" s="33" t="e">
        <f>IFERROR(AVERAGEIFS(data_brute!M:M,data_brute!J:J,"&gt;="&amp;AE63,data_brute!J:J,"&lt;="&amp;AF63),NA())</f>
        <v>#N/A</v>
      </c>
      <c r="AH63" s="46" t="e">
        <f t="shared" si="18"/>
        <v>#N/A</v>
      </c>
      <c r="AJ63" s="46">
        <f t="shared" si="19"/>
        <v>562</v>
      </c>
      <c r="AK63" s="46">
        <f t="shared" si="20"/>
        <v>571</v>
      </c>
      <c r="AL63" s="33">
        <f ca="1">IFERROR(AVERAGEIFS(data_brute!M:M,data_brute!J:J,"&lt;="&amp;AK63),NA())</f>
        <v>27.783750000000012</v>
      </c>
      <c r="AM63" s="46">
        <f t="shared" ca="1" si="21"/>
        <v>570</v>
      </c>
      <c r="AN63" s="46" t="b">
        <f t="shared" si="2"/>
        <v>0</v>
      </c>
      <c r="AO63" s="50" t="b">
        <f t="shared" si="3"/>
        <v>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4"/>
        <v>572</v>
      </c>
      <c r="V64" s="46">
        <f t="shared" si="5"/>
        <v>581</v>
      </c>
      <c r="W64" s="33" t="e">
        <f>IFERROR(AVERAGEIFS(data_brute!M:M,data_brute!J:J,"&lt;="&amp;V64,data_brute!J:J,"&gt;="&amp;U64),NA())</f>
        <v>#N/A</v>
      </c>
      <c r="X64" s="46" t="e">
        <f t="shared" si="6"/>
        <v>#N/A</v>
      </c>
      <c r="Y64" s="2" t="b">
        <f t="shared" si="0"/>
        <v>0</v>
      </c>
      <c r="Z64" s="2" t="b">
        <f t="shared" si="1"/>
        <v>0</v>
      </c>
      <c r="AE64" s="46">
        <f t="shared" si="16"/>
        <v>572</v>
      </c>
      <c r="AF64" s="46">
        <f t="shared" si="17"/>
        <v>581</v>
      </c>
      <c r="AG64" s="33" t="e">
        <f>IFERROR(AVERAGEIFS(data_brute!M:M,data_brute!J:J,"&gt;="&amp;AE64,data_brute!J:J,"&lt;="&amp;AF64),NA())</f>
        <v>#N/A</v>
      </c>
      <c r="AH64" s="46" t="e">
        <f t="shared" si="18"/>
        <v>#N/A</v>
      </c>
      <c r="AJ64" s="46">
        <f t="shared" si="19"/>
        <v>572</v>
      </c>
      <c r="AK64" s="46">
        <f t="shared" si="20"/>
        <v>581</v>
      </c>
      <c r="AL64" s="33">
        <f ca="1">IFERROR(AVERAGEIFS(data_brute!M:M,data_brute!J:J,"&lt;="&amp;AK64),NA())</f>
        <v>27.783750000000012</v>
      </c>
      <c r="AM64" s="46">
        <f t="shared" ca="1" si="21"/>
        <v>580</v>
      </c>
      <c r="AN64" s="46" t="b">
        <f t="shared" si="2"/>
        <v>0</v>
      </c>
      <c r="AO64" s="50" t="b">
        <f t="shared" si="3"/>
        <v>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4"/>
        <v>582</v>
      </c>
      <c r="V65" s="46">
        <f t="shared" si="5"/>
        <v>591</v>
      </c>
      <c r="W65" s="33" t="e">
        <f>IFERROR(AVERAGEIFS(data_brute!M:M,data_brute!J:J,"&lt;="&amp;V65,data_brute!J:J,"&gt;="&amp;U65),NA())</f>
        <v>#N/A</v>
      </c>
      <c r="X65" s="46" t="e">
        <f t="shared" si="6"/>
        <v>#N/A</v>
      </c>
      <c r="Y65" s="2" t="b">
        <f t="shared" si="0"/>
        <v>0</v>
      </c>
      <c r="Z65" s="2" t="b">
        <f t="shared" si="1"/>
        <v>0</v>
      </c>
      <c r="AE65" s="46">
        <f t="shared" si="16"/>
        <v>582</v>
      </c>
      <c r="AF65" s="46">
        <f t="shared" si="17"/>
        <v>591</v>
      </c>
      <c r="AG65" s="33" t="e">
        <f>IFERROR(AVERAGEIFS(data_brute!M:M,data_brute!J:J,"&gt;="&amp;AE65,data_brute!J:J,"&lt;="&amp;AF65),NA())</f>
        <v>#N/A</v>
      </c>
      <c r="AH65" s="46" t="e">
        <f t="shared" si="18"/>
        <v>#N/A</v>
      </c>
      <c r="AJ65" s="46">
        <f t="shared" si="19"/>
        <v>582</v>
      </c>
      <c r="AK65" s="46">
        <f t="shared" si="20"/>
        <v>591</v>
      </c>
      <c r="AL65" s="33">
        <f ca="1">IFERROR(AVERAGEIFS(data_brute!M:M,data_brute!J:J,"&lt;="&amp;AK65),NA())</f>
        <v>27.783750000000012</v>
      </c>
      <c r="AM65" s="46">
        <f t="shared" ca="1" si="21"/>
        <v>590</v>
      </c>
      <c r="AN65" s="46" t="b">
        <f t="shared" si="2"/>
        <v>0</v>
      </c>
      <c r="AO65" s="50" t="b">
        <f t="shared" si="3"/>
        <v>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4"/>
        <v>592</v>
      </c>
      <c r="V66" s="46">
        <f t="shared" si="5"/>
        <v>601</v>
      </c>
      <c r="W66" s="33" t="e">
        <f>IFERROR(AVERAGEIFS(data_brute!M:M,data_brute!J:J,"&lt;="&amp;V66,data_brute!J:J,"&gt;="&amp;U66),NA())</f>
        <v>#N/A</v>
      </c>
      <c r="X66" s="46" t="e">
        <f t="shared" si="6"/>
        <v>#N/A</v>
      </c>
      <c r="Y66" s="2" t="b">
        <f t="shared" si="0"/>
        <v>0</v>
      </c>
      <c r="Z66" s="2" t="b">
        <f t="shared" si="1"/>
        <v>0</v>
      </c>
      <c r="AE66" s="46">
        <f t="shared" si="16"/>
        <v>592</v>
      </c>
      <c r="AF66" s="46">
        <f t="shared" si="17"/>
        <v>601</v>
      </c>
      <c r="AG66" s="33" t="e">
        <f>IFERROR(AVERAGEIFS(data_brute!M:M,data_brute!J:J,"&gt;="&amp;AE66,data_brute!J:J,"&lt;="&amp;AF66),NA())</f>
        <v>#N/A</v>
      </c>
      <c r="AH66" s="46" t="e">
        <f t="shared" si="18"/>
        <v>#N/A</v>
      </c>
      <c r="AJ66" s="46">
        <f t="shared" si="19"/>
        <v>592</v>
      </c>
      <c r="AK66" s="46">
        <f t="shared" si="20"/>
        <v>601</v>
      </c>
      <c r="AL66" s="33">
        <f ca="1">IFERROR(AVERAGEIFS(data_brute!M:M,data_brute!J:J,"&lt;="&amp;AK66),NA())</f>
        <v>27.783750000000012</v>
      </c>
      <c r="AM66" s="46">
        <f t="shared" ca="1" si="21"/>
        <v>600</v>
      </c>
      <c r="AN66" s="46" t="b">
        <f t="shared" si="2"/>
        <v>0</v>
      </c>
      <c r="AO66" s="50" t="b">
        <f t="shared" si="3"/>
        <v>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4"/>
        <v>602</v>
      </c>
      <c r="V67" s="46">
        <f t="shared" si="5"/>
        <v>611</v>
      </c>
      <c r="W67" s="33" t="e">
        <f>IFERROR(AVERAGEIFS(data_brute!M:M,data_brute!J:J,"&lt;="&amp;V67,data_brute!J:J,"&gt;="&amp;U67),NA())</f>
        <v>#N/A</v>
      </c>
      <c r="X67" s="46" t="e">
        <f t="shared" si="6"/>
        <v>#N/A</v>
      </c>
      <c r="Y67" s="2" t="b">
        <f t="shared" si="0"/>
        <v>0</v>
      </c>
      <c r="Z67" s="2" t="b">
        <f t="shared" si="1"/>
        <v>0</v>
      </c>
      <c r="AE67" s="46">
        <f t="shared" si="16"/>
        <v>602</v>
      </c>
      <c r="AF67" s="46">
        <f t="shared" si="17"/>
        <v>611</v>
      </c>
      <c r="AG67" s="33" t="e">
        <f>IFERROR(AVERAGEIFS(data_brute!M:M,data_brute!J:J,"&gt;="&amp;AE67,data_brute!J:J,"&lt;="&amp;AF67),NA())</f>
        <v>#N/A</v>
      </c>
      <c r="AH67" s="46" t="e">
        <f t="shared" si="18"/>
        <v>#N/A</v>
      </c>
      <c r="AJ67" s="46">
        <f t="shared" si="19"/>
        <v>602</v>
      </c>
      <c r="AK67" s="46">
        <f t="shared" si="20"/>
        <v>611</v>
      </c>
      <c r="AL67" s="33">
        <f ca="1">IFERROR(AVERAGEIFS(data_brute!M:M,data_brute!J:J,"&lt;="&amp;AK67),NA())</f>
        <v>27.783750000000012</v>
      </c>
      <c r="AM67" s="46">
        <f t="shared" ca="1" si="21"/>
        <v>610</v>
      </c>
      <c r="AN67" s="46" t="b">
        <f t="shared" si="2"/>
        <v>0</v>
      </c>
      <c r="AO67" s="50" t="b">
        <f t="shared" si="3"/>
        <v>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4"/>
        <v>612</v>
      </c>
      <c r="V68" s="46">
        <f t="shared" si="5"/>
        <v>621</v>
      </c>
      <c r="W68" s="33" t="e">
        <f>IFERROR(AVERAGEIFS(data_brute!M:M,data_brute!J:J,"&lt;="&amp;V68,data_brute!J:J,"&gt;="&amp;U68),NA())</f>
        <v>#N/A</v>
      </c>
      <c r="X68" s="46" t="e">
        <f t="shared" si="6"/>
        <v>#N/A</v>
      </c>
      <c r="Y68" s="2" t="b">
        <f t="shared" si="0"/>
        <v>0</v>
      </c>
      <c r="Z68" s="2" t="b">
        <f t="shared" si="1"/>
        <v>0</v>
      </c>
      <c r="AE68" s="46">
        <f t="shared" si="16"/>
        <v>612</v>
      </c>
      <c r="AF68" s="46">
        <f t="shared" si="17"/>
        <v>621</v>
      </c>
      <c r="AG68" s="33" t="e">
        <f>IFERROR(AVERAGEIFS(data_brute!M:M,data_brute!J:J,"&gt;="&amp;AE68,data_brute!J:J,"&lt;="&amp;AF68),NA())</f>
        <v>#N/A</v>
      </c>
      <c r="AH68" s="46" t="e">
        <f t="shared" si="18"/>
        <v>#N/A</v>
      </c>
      <c r="AJ68" s="46">
        <f t="shared" si="19"/>
        <v>612</v>
      </c>
      <c r="AK68" s="46">
        <f t="shared" si="20"/>
        <v>621</v>
      </c>
      <c r="AL68" s="33">
        <f ca="1">IFERROR(AVERAGEIFS(data_brute!M:M,data_brute!J:J,"&lt;="&amp;AK68),NA())</f>
        <v>27.783750000000012</v>
      </c>
      <c r="AM68" s="46">
        <f t="shared" ca="1" si="21"/>
        <v>620</v>
      </c>
      <c r="AN68" s="46" t="b">
        <f t="shared" si="2"/>
        <v>0</v>
      </c>
      <c r="AO68" s="50" t="b">
        <f t="shared" si="3"/>
        <v>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4"/>
        <v>622</v>
      </c>
      <c r="V69" s="46">
        <f t="shared" si="5"/>
        <v>631</v>
      </c>
      <c r="W69" s="33" t="e">
        <f>IFERROR(AVERAGEIFS(data_brute!M:M,data_brute!J:J,"&lt;="&amp;V69,data_brute!J:J,"&gt;="&amp;U69),NA())</f>
        <v>#N/A</v>
      </c>
      <c r="X69" s="46" t="e">
        <f t="shared" si="6"/>
        <v>#N/A</v>
      </c>
      <c r="Y69" s="2" t="b">
        <f t="shared" si="0"/>
        <v>0</v>
      </c>
      <c r="Z69" s="2" t="b">
        <f t="shared" si="1"/>
        <v>0</v>
      </c>
      <c r="AE69" s="46">
        <f t="shared" si="16"/>
        <v>622</v>
      </c>
      <c r="AF69" s="46">
        <f t="shared" si="17"/>
        <v>631</v>
      </c>
      <c r="AG69" s="33" t="e">
        <f>IFERROR(AVERAGEIFS(data_brute!M:M,data_brute!J:J,"&gt;="&amp;AE69,data_brute!J:J,"&lt;="&amp;AF69),NA())</f>
        <v>#N/A</v>
      </c>
      <c r="AH69" s="46" t="e">
        <f t="shared" si="18"/>
        <v>#N/A</v>
      </c>
      <c r="AJ69" s="46">
        <f t="shared" si="19"/>
        <v>622</v>
      </c>
      <c r="AK69" s="46">
        <f t="shared" si="20"/>
        <v>631</v>
      </c>
      <c r="AL69" s="33">
        <f ca="1">IFERROR(AVERAGEIFS(data_brute!M:M,data_brute!J:J,"&lt;="&amp;AK69),NA())</f>
        <v>27.783750000000012</v>
      </c>
      <c r="AM69" s="46">
        <f t="shared" ca="1" si="21"/>
        <v>630</v>
      </c>
      <c r="AN69" s="46" t="b">
        <f t="shared" si="2"/>
        <v>0</v>
      </c>
      <c r="AO69" s="50" t="b">
        <f t="shared" si="3"/>
        <v>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4"/>
        <v>632</v>
      </c>
      <c r="V70" s="46">
        <f t="shared" si="5"/>
        <v>641</v>
      </c>
      <c r="W70" s="33" t="e">
        <f>IFERROR(AVERAGEIFS(data_brute!M:M,data_brute!J:J,"&lt;="&amp;V70,data_brute!J:J,"&gt;="&amp;U70),NA())</f>
        <v>#N/A</v>
      </c>
      <c r="X70" s="46" t="e">
        <f t="shared" si="6"/>
        <v>#N/A</v>
      </c>
      <c r="Y70" s="2" t="b">
        <f t="shared" si="0"/>
        <v>0</v>
      </c>
      <c r="Z70" s="2" t="b">
        <f t="shared" si="1"/>
        <v>0</v>
      </c>
      <c r="AE70" s="46">
        <f t="shared" si="16"/>
        <v>632</v>
      </c>
      <c r="AF70" s="46">
        <f t="shared" si="17"/>
        <v>641</v>
      </c>
      <c r="AG70" s="33" t="e">
        <f>IFERROR(AVERAGEIFS(data_brute!M:M,data_brute!J:J,"&gt;="&amp;AE70,data_brute!J:J,"&lt;="&amp;AF70),NA())</f>
        <v>#N/A</v>
      </c>
      <c r="AH70" s="46" t="e">
        <f t="shared" si="18"/>
        <v>#N/A</v>
      </c>
      <c r="AJ70" s="46">
        <f t="shared" si="19"/>
        <v>632</v>
      </c>
      <c r="AK70" s="46">
        <f t="shared" si="20"/>
        <v>641</v>
      </c>
      <c r="AL70" s="33">
        <f ca="1">IFERROR(AVERAGEIFS(data_brute!M:M,data_brute!J:J,"&lt;="&amp;AK70),NA())</f>
        <v>27.783750000000012</v>
      </c>
      <c r="AM70" s="46">
        <f t="shared" ca="1" si="21"/>
        <v>640</v>
      </c>
      <c r="AN70" s="46" t="b">
        <f t="shared" si="2"/>
        <v>0</v>
      </c>
      <c r="AO70" s="50" t="b">
        <f t="shared" si="3"/>
        <v>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4"/>
        <v>642</v>
      </c>
      <c r="V71" s="46">
        <f t="shared" si="5"/>
        <v>651</v>
      </c>
      <c r="W71" s="33" t="e">
        <f>IFERROR(AVERAGEIFS(data_brute!M:M,data_brute!J:J,"&lt;="&amp;V71,data_brute!J:J,"&gt;="&amp;U71),NA())</f>
        <v>#N/A</v>
      </c>
      <c r="X71" s="46" t="e">
        <f t="shared" si="6"/>
        <v>#N/A</v>
      </c>
      <c r="Y71" s="2" t="b">
        <f t="shared" si="0"/>
        <v>0</v>
      </c>
      <c r="Z71" s="2" t="b">
        <f t="shared" si="1"/>
        <v>0</v>
      </c>
      <c r="AE71" s="46">
        <f t="shared" si="16"/>
        <v>642</v>
      </c>
      <c r="AF71" s="46">
        <f t="shared" si="17"/>
        <v>651</v>
      </c>
      <c r="AG71" s="33" t="e">
        <f>IFERROR(AVERAGEIFS(data_brute!M:M,data_brute!J:J,"&gt;="&amp;AE71,data_brute!J:J,"&lt;="&amp;AF71),NA())</f>
        <v>#N/A</v>
      </c>
      <c r="AH71" s="46" t="e">
        <f t="shared" si="18"/>
        <v>#N/A</v>
      </c>
      <c r="AJ71" s="46">
        <f t="shared" si="19"/>
        <v>642</v>
      </c>
      <c r="AK71" s="46">
        <f t="shared" si="20"/>
        <v>651</v>
      </c>
      <c r="AL71" s="33">
        <f ca="1">IFERROR(AVERAGEIFS(data_brute!M:M,data_brute!J:J,"&lt;="&amp;AK71),NA())</f>
        <v>27.783750000000012</v>
      </c>
      <c r="AM71" s="46">
        <f t="shared" ca="1" si="21"/>
        <v>650</v>
      </c>
      <c r="AN71" s="46" t="b">
        <f t="shared" si="2"/>
        <v>0</v>
      </c>
      <c r="AO71" s="50" t="b">
        <f t="shared" si="3"/>
        <v>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4"/>
        <v>652</v>
      </c>
      <c r="V72" s="46">
        <f t="shared" si="5"/>
        <v>661</v>
      </c>
      <c r="W72" s="33" t="e">
        <f>IFERROR(AVERAGEIFS(data_brute!M:M,data_brute!J:J,"&lt;="&amp;V72,data_brute!J:J,"&gt;="&amp;U72),NA())</f>
        <v>#N/A</v>
      </c>
      <c r="X72" s="46" t="e">
        <f t="shared" si="6"/>
        <v>#N/A</v>
      </c>
      <c r="Y72" s="2" t="b">
        <f t="shared" ref="Y72:Y100" si="22">IF(AND($F$5&gt;=U72,$F$5&lt;=V72,V72=$F$5),TRUE,FALSE)</f>
        <v>0</v>
      </c>
      <c r="Z72" s="2" t="b">
        <f t="shared" ref="Z72:Z100" si="23">IF(AND($F$5&gt;=U72,$F$5&lt;=V72),TRUE,FALSE)</f>
        <v>0</v>
      </c>
      <c r="AE72" s="46">
        <f t="shared" si="16"/>
        <v>652</v>
      </c>
      <c r="AF72" s="46">
        <f t="shared" si="17"/>
        <v>661</v>
      </c>
      <c r="AG72" s="33" t="e">
        <f>IFERROR(AVERAGEIFS(data_brute!M:M,data_brute!J:J,"&gt;="&amp;AE72,data_brute!J:J,"&lt;="&amp;AF72),NA())</f>
        <v>#N/A</v>
      </c>
      <c r="AH72" s="46" t="e">
        <f t="shared" si="18"/>
        <v>#N/A</v>
      </c>
      <c r="AJ72" s="46">
        <f t="shared" si="19"/>
        <v>652</v>
      </c>
      <c r="AK72" s="46">
        <f t="shared" si="20"/>
        <v>661</v>
      </c>
      <c r="AL72" s="33">
        <f ca="1">IFERROR(AVERAGEIFS(data_brute!M:M,data_brute!J:J,"&lt;="&amp;AK72),NA())</f>
        <v>27.783750000000012</v>
      </c>
      <c r="AM72" s="46">
        <f t="shared" ca="1" si="21"/>
        <v>660</v>
      </c>
      <c r="AN72" s="46" t="b">
        <f t="shared" ref="AN72:AN100" si="24">IF(AND($F$5&gt;=AJ72,$F$5&lt;=AK72,AK72=$F$5),TRUE,FALSE)</f>
        <v>0</v>
      </c>
      <c r="AO72" s="50" t="b">
        <f t="shared" ref="AO72:AO100" si="25">IF(AND($F$5&gt;=AJ72,$F$5&lt;=AK72),TRUE,FALSE)</f>
        <v>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6">V72+1</f>
        <v>662</v>
      </c>
      <c r="V73" s="46">
        <f t="shared" ref="V73:V100" si="27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8">IF(W73&lt;&gt;"",$AG$2*(ROW()-ROW($AH$6)),NA())</f>
        <v>#N/A</v>
      </c>
      <c r="Y73" s="2" t="b">
        <f t="shared" si="22"/>
        <v>0</v>
      </c>
      <c r="Z73" s="2" t="b">
        <f t="shared" si="23"/>
        <v>0</v>
      </c>
      <c r="AE73" s="46">
        <f t="shared" si="16"/>
        <v>662</v>
      </c>
      <c r="AF73" s="46">
        <f t="shared" si="17"/>
        <v>671</v>
      </c>
      <c r="AG73" s="33" t="e">
        <f>IFERROR(AVERAGEIFS(data_brute!M:M,data_brute!J:J,"&gt;="&amp;AE73,data_brute!J:J,"&lt;="&amp;AF73),NA())</f>
        <v>#N/A</v>
      </c>
      <c r="AH73" s="46" t="e">
        <f t="shared" si="18"/>
        <v>#N/A</v>
      </c>
      <c r="AJ73" s="46">
        <f t="shared" si="19"/>
        <v>662</v>
      </c>
      <c r="AK73" s="46">
        <f t="shared" si="20"/>
        <v>671</v>
      </c>
      <c r="AL73" s="33">
        <f ca="1">IFERROR(AVERAGEIFS(data_brute!M:M,data_brute!J:J,"&lt;="&amp;AK73),NA())</f>
        <v>27.783750000000012</v>
      </c>
      <c r="AM73" s="46">
        <f t="shared" ca="1" si="21"/>
        <v>670</v>
      </c>
      <c r="AN73" s="46" t="b">
        <f t="shared" si="24"/>
        <v>0</v>
      </c>
      <c r="AO73" s="50" t="b">
        <f t="shared" si="25"/>
        <v>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6"/>
        <v>672</v>
      </c>
      <c r="V74" s="46">
        <f t="shared" si="27"/>
        <v>681</v>
      </c>
      <c r="W74" s="33" t="e">
        <f>IFERROR(AVERAGEIFS(data_brute!M:M,data_brute!J:J,"&lt;="&amp;V74,data_brute!J:J,"&gt;="&amp;U74),NA())</f>
        <v>#N/A</v>
      </c>
      <c r="X74" s="46" t="e">
        <f t="shared" si="28"/>
        <v>#N/A</v>
      </c>
      <c r="Y74" s="2" t="b">
        <f t="shared" si="22"/>
        <v>0</v>
      </c>
      <c r="Z74" s="2" t="b">
        <f t="shared" si="23"/>
        <v>0</v>
      </c>
      <c r="AE74" s="46">
        <f t="shared" si="16"/>
        <v>672</v>
      </c>
      <c r="AF74" s="46">
        <f t="shared" si="17"/>
        <v>681</v>
      </c>
      <c r="AG74" s="33" t="e">
        <f>IFERROR(AVERAGEIFS(data_brute!M:M,data_brute!J:J,"&gt;="&amp;AE74,data_brute!J:J,"&lt;="&amp;AF74),NA())</f>
        <v>#N/A</v>
      </c>
      <c r="AH74" s="46" t="e">
        <f t="shared" si="18"/>
        <v>#N/A</v>
      </c>
      <c r="AJ74" s="46">
        <f t="shared" si="19"/>
        <v>672</v>
      </c>
      <c r="AK74" s="46">
        <f t="shared" si="20"/>
        <v>681</v>
      </c>
      <c r="AL74" s="33">
        <f ca="1">IFERROR(AVERAGEIFS(data_brute!M:M,data_brute!J:J,"&lt;="&amp;AK74),NA())</f>
        <v>27.783750000000012</v>
      </c>
      <c r="AM74" s="46">
        <f t="shared" ca="1" si="21"/>
        <v>680</v>
      </c>
      <c r="AN74" s="46" t="b">
        <f t="shared" si="24"/>
        <v>0</v>
      </c>
      <c r="AO74" s="50" t="b">
        <f t="shared" si="25"/>
        <v>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6"/>
        <v>682</v>
      </c>
      <c r="V75" s="46">
        <f t="shared" si="27"/>
        <v>691</v>
      </c>
      <c r="W75" s="33" t="e">
        <f>IFERROR(AVERAGEIFS(data_brute!M:M,data_brute!J:J,"&lt;="&amp;V75,data_brute!J:J,"&gt;="&amp;U75),NA())</f>
        <v>#N/A</v>
      </c>
      <c r="X75" s="46" t="e">
        <f t="shared" si="28"/>
        <v>#N/A</v>
      </c>
      <c r="Y75" s="2" t="b">
        <f t="shared" si="22"/>
        <v>0</v>
      </c>
      <c r="Z75" s="2" t="b">
        <f t="shared" si="23"/>
        <v>0</v>
      </c>
      <c r="AE75" s="46">
        <f t="shared" si="16"/>
        <v>682</v>
      </c>
      <c r="AF75" s="46">
        <f t="shared" si="17"/>
        <v>691</v>
      </c>
      <c r="AG75" s="33" t="e">
        <f>IFERROR(AVERAGEIFS(data_brute!M:M,data_brute!J:J,"&gt;="&amp;AE75,data_brute!J:J,"&lt;="&amp;AF75),NA())</f>
        <v>#N/A</v>
      </c>
      <c r="AH75" s="46" t="e">
        <f t="shared" si="18"/>
        <v>#N/A</v>
      </c>
      <c r="AJ75" s="46">
        <f t="shared" si="19"/>
        <v>682</v>
      </c>
      <c r="AK75" s="46">
        <f t="shared" si="20"/>
        <v>691</v>
      </c>
      <c r="AL75" s="33">
        <f ca="1">IFERROR(AVERAGEIFS(data_brute!M:M,data_brute!J:J,"&lt;="&amp;AK75),NA())</f>
        <v>27.783750000000012</v>
      </c>
      <c r="AM75" s="46">
        <f t="shared" ca="1" si="21"/>
        <v>690</v>
      </c>
      <c r="AN75" s="46" t="b">
        <f t="shared" si="24"/>
        <v>0</v>
      </c>
      <c r="AO75" s="50" t="b">
        <f t="shared" si="25"/>
        <v>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6"/>
        <v>692</v>
      </c>
      <c r="V76" s="46">
        <f t="shared" si="27"/>
        <v>701</v>
      </c>
      <c r="W76" s="33" t="e">
        <f>IFERROR(AVERAGEIFS(data_brute!M:M,data_brute!J:J,"&lt;="&amp;V76,data_brute!J:J,"&gt;="&amp;U76),NA())</f>
        <v>#N/A</v>
      </c>
      <c r="X76" s="46" t="e">
        <f t="shared" si="28"/>
        <v>#N/A</v>
      </c>
      <c r="Y76" s="2" t="b">
        <f t="shared" si="22"/>
        <v>0</v>
      </c>
      <c r="Z76" s="2" t="b">
        <f t="shared" si="23"/>
        <v>0</v>
      </c>
      <c r="AE76" s="46">
        <f t="shared" si="16"/>
        <v>692</v>
      </c>
      <c r="AF76" s="46">
        <f t="shared" si="17"/>
        <v>701</v>
      </c>
      <c r="AG76" s="33" t="e">
        <f>IFERROR(AVERAGEIFS(data_brute!M:M,data_brute!J:J,"&gt;="&amp;AE76,data_brute!J:J,"&lt;="&amp;AF76),NA())</f>
        <v>#N/A</v>
      </c>
      <c r="AH76" s="46" t="e">
        <f t="shared" si="18"/>
        <v>#N/A</v>
      </c>
      <c r="AJ76" s="46">
        <f t="shared" si="19"/>
        <v>692</v>
      </c>
      <c r="AK76" s="46">
        <f t="shared" si="20"/>
        <v>701</v>
      </c>
      <c r="AL76" s="33">
        <f ca="1">IFERROR(AVERAGEIFS(data_brute!M:M,data_brute!J:J,"&lt;="&amp;AK76),NA())</f>
        <v>27.783750000000012</v>
      </c>
      <c r="AM76" s="46">
        <f t="shared" ca="1" si="21"/>
        <v>700</v>
      </c>
      <c r="AN76" s="46" t="b">
        <f t="shared" si="24"/>
        <v>0</v>
      </c>
      <c r="AO76" s="50" t="b">
        <f t="shared" si="25"/>
        <v>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6"/>
        <v>702</v>
      </c>
      <c r="V77" s="46">
        <f t="shared" si="27"/>
        <v>711</v>
      </c>
      <c r="W77" s="33" t="e">
        <f>IFERROR(AVERAGEIFS(data_brute!M:M,data_brute!J:J,"&lt;="&amp;V77,data_brute!J:J,"&gt;="&amp;U77),NA())</f>
        <v>#N/A</v>
      </c>
      <c r="X77" s="46" t="e">
        <f t="shared" si="28"/>
        <v>#N/A</v>
      </c>
      <c r="Y77" s="2" t="b">
        <f t="shared" si="22"/>
        <v>0</v>
      </c>
      <c r="Z77" s="2" t="b">
        <f t="shared" si="23"/>
        <v>0</v>
      </c>
      <c r="AE77" s="46">
        <f t="shared" si="16"/>
        <v>702</v>
      </c>
      <c r="AF77" s="46">
        <f t="shared" si="17"/>
        <v>711</v>
      </c>
      <c r="AG77" s="33" t="e">
        <f>IFERROR(AVERAGEIFS(data_brute!M:M,data_brute!J:J,"&gt;="&amp;AE77,data_brute!J:J,"&lt;="&amp;AF77),NA())</f>
        <v>#N/A</v>
      </c>
      <c r="AH77" s="46" t="e">
        <f t="shared" si="18"/>
        <v>#N/A</v>
      </c>
      <c r="AJ77" s="46">
        <f t="shared" si="19"/>
        <v>702</v>
      </c>
      <c r="AK77" s="46">
        <f t="shared" si="20"/>
        <v>711</v>
      </c>
      <c r="AL77" s="33">
        <f ca="1">IFERROR(AVERAGEIFS(data_brute!M:M,data_brute!J:J,"&lt;="&amp;AK77),NA())</f>
        <v>27.783750000000012</v>
      </c>
      <c r="AM77" s="46">
        <f t="shared" ca="1" si="21"/>
        <v>710</v>
      </c>
      <c r="AN77" s="46" t="b">
        <f t="shared" si="24"/>
        <v>0</v>
      </c>
      <c r="AO77" s="50" t="b">
        <f t="shared" si="25"/>
        <v>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6"/>
        <v>712</v>
      </c>
      <c r="V78" s="46">
        <f t="shared" si="27"/>
        <v>721</v>
      </c>
      <c r="W78" s="33" t="e">
        <f>IFERROR(AVERAGEIFS(data_brute!M:M,data_brute!J:J,"&lt;="&amp;V78,data_brute!J:J,"&gt;="&amp;U78),NA())</f>
        <v>#N/A</v>
      </c>
      <c r="X78" s="46" t="e">
        <f t="shared" si="28"/>
        <v>#N/A</v>
      </c>
      <c r="Y78" s="2" t="b">
        <f t="shared" si="22"/>
        <v>0</v>
      </c>
      <c r="Z78" s="2" t="b">
        <f t="shared" si="23"/>
        <v>0</v>
      </c>
      <c r="AE78" s="46">
        <f t="shared" si="16"/>
        <v>712</v>
      </c>
      <c r="AF78" s="46">
        <f t="shared" si="17"/>
        <v>721</v>
      </c>
      <c r="AG78" s="33" t="e">
        <f>IFERROR(AVERAGEIFS(data_brute!M:M,data_brute!J:J,"&gt;="&amp;AE78,data_brute!J:J,"&lt;="&amp;AF78),NA())</f>
        <v>#N/A</v>
      </c>
      <c r="AH78" s="46" t="e">
        <f t="shared" si="18"/>
        <v>#N/A</v>
      </c>
      <c r="AJ78" s="46">
        <f t="shared" si="19"/>
        <v>712</v>
      </c>
      <c r="AK78" s="46">
        <f t="shared" si="20"/>
        <v>721</v>
      </c>
      <c r="AL78" s="33">
        <f ca="1">IFERROR(AVERAGEIFS(data_brute!M:M,data_brute!J:J,"&lt;="&amp;AK78),NA())</f>
        <v>27.783750000000012</v>
      </c>
      <c r="AM78" s="46">
        <f t="shared" ca="1" si="21"/>
        <v>720</v>
      </c>
      <c r="AN78" s="46" t="b">
        <f t="shared" si="24"/>
        <v>0</v>
      </c>
      <c r="AO78" s="50" t="b">
        <f t="shared" si="25"/>
        <v>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6"/>
        <v>722</v>
      </c>
      <c r="V79" s="46">
        <f t="shared" si="27"/>
        <v>731</v>
      </c>
      <c r="W79" s="33" t="e">
        <f>IFERROR(AVERAGEIFS(data_brute!M:M,data_brute!J:J,"&lt;="&amp;V79,data_brute!J:J,"&gt;="&amp;U79),NA())</f>
        <v>#N/A</v>
      </c>
      <c r="X79" s="46" t="e">
        <f t="shared" si="28"/>
        <v>#N/A</v>
      </c>
      <c r="Y79" s="2" t="b">
        <f t="shared" si="22"/>
        <v>0</v>
      </c>
      <c r="Z79" s="2" t="b">
        <f t="shared" si="23"/>
        <v>0</v>
      </c>
      <c r="AE79" s="46">
        <f t="shared" si="16"/>
        <v>722</v>
      </c>
      <c r="AF79" s="46">
        <f t="shared" si="17"/>
        <v>731</v>
      </c>
      <c r="AG79" s="33" t="e">
        <f>IFERROR(AVERAGEIFS(data_brute!M:M,data_brute!J:J,"&gt;="&amp;AE79,data_brute!J:J,"&lt;="&amp;AF79),NA())</f>
        <v>#N/A</v>
      </c>
      <c r="AH79" s="46" t="e">
        <f t="shared" si="18"/>
        <v>#N/A</v>
      </c>
      <c r="AJ79" s="46">
        <f t="shared" si="19"/>
        <v>722</v>
      </c>
      <c r="AK79" s="46">
        <f t="shared" si="20"/>
        <v>731</v>
      </c>
      <c r="AL79" s="33">
        <f ca="1">IFERROR(AVERAGEIFS(data_brute!M:M,data_brute!J:J,"&lt;="&amp;AK79),NA())</f>
        <v>27.783750000000012</v>
      </c>
      <c r="AM79" s="46">
        <f t="shared" ca="1" si="21"/>
        <v>730</v>
      </c>
      <c r="AN79" s="46" t="b">
        <f t="shared" si="24"/>
        <v>0</v>
      </c>
      <c r="AO79" s="50" t="b">
        <f t="shared" si="25"/>
        <v>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6"/>
        <v>732</v>
      </c>
      <c r="V80" s="46">
        <f t="shared" si="27"/>
        <v>741</v>
      </c>
      <c r="W80" s="33" t="e">
        <f>IFERROR(AVERAGEIFS(data_brute!M:M,data_brute!J:J,"&lt;="&amp;V80,data_brute!J:J,"&gt;="&amp;U80),NA())</f>
        <v>#N/A</v>
      </c>
      <c r="X80" s="46" t="e">
        <f t="shared" si="28"/>
        <v>#N/A</v>
      </c>
      <c r="Y80" s="2" t="b">
        <f t="shared" si="22"/>
        <v>0</v>
      </c>
      <c r="Z80" s="2" t="b">
        <f t="shared" si="23"/>
        <v>0</v>
      </c>
      <c r="AE80" s="46">
        <f t="shared" si="16"/>
        <v>732</v>
      </c>
      <c r="AF80" s="46">
        <f t="shared" si="17"/>
        <v>741</v>
      </c>
      <c r="AG80" s="33" t="e">
        <f>IFERROR(AVERAGEIFS(data_brute!M:M,data_brute!J:J,"&gt;="&amp;AE80,data_brute!J:J,"&lt;="&amp;AF80),NA())</f>
        <v>#N/A</v>
      </c>
      <c r="AH80" s="46" t="e">
        <f t="shared" si="18"/>
        <v>#N/A</v>
      </c>
      <c r="AJ80" s="46">
        <f t="shared" si="19"/>
        <v>732</v>
      </c>
      <c r="AK80" s="46">
        <f t="shared" si="20"/>
        <v>741</v>
      </c>
      <c r="AL80" s="33">
        <f ca="1">IFERROR(AVERAGEIFS(data_brute!M:M,data_brute!J:J,"&lt;="&amp;AK80),NA())</f>
        <v>27.783750000000012</v>
      </c>
      <c r="AM80" s="46">
        <f t="shared" ca="1" si="21"/>
        <v>740</v>
      </c>
      <c r="AN80" s="46" t="b">
        <f t="shared" si="24"/>
        <v>0</v>
      </c>
      <c r="AO80" s="50" t="b">
        <f t="shared" si="25"/>
        <v>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6"/>
        <v>742</v>
      </c>
      <c r="V81" s="46">
        <f t="shared" si="27"/>
        <v>751</v>
      </c>
      <c r="W81" s="33" t="e">
        <f>IFERROR(AVERAGEIFS(data_brute!M:M,data_brute!J:J,"&lt;="&amp;V81,data_brute!J:J,"&gt;="&amp;U81),NA())</f>
        <v>#N/A</v>
      </c>
      <c r="X81" s="46" t="e">
        <f t="shared" si="28"/>
        <v>#N/A</v>
      </c>
      <c r="Y81" s="2" t="b">
        <f t="shared" si="22"/>
        <v>0</v>
      </c>
      <c r="Z81" s="2" t="b">
        <f t="shared" si="23"/>
        <v>0</v>
      </c>
      <c r="AE81" s="46">
        <f t="shared" si="16"/>
        <v>742</v>
      </c>
      <c r="AF81" s="46">
        <f t="shared" si="17"/>
        <v>751</v>
      </c>
      <c r="AG81" s="33" t="e">
        <f>IFERROR(AVERAGEIFS(data_brute!M:M,data_brute!J:J,"&gt;="&amp;AE81,data_brute!J:J,"&lt;="&amp;AF81),NA())</f>
        <v>#N/A</v>
      </c>
      <c r="AH81" s="46" t="e">
        <f t="shared" si="18"/>
        <v>#N/A</v>
      </c>
      <c r="AJ81" s="46">
        <f t="shared" si="19"/>
        <v>742</v>
      </c>
      <c r="AK81" s="46">
        <f t="shared" si="20"/>
        <v>751</v>
      </c>
      <c r="AL81" s="33">
        <f ca="1">IFERROR(AVERAGEIFS(data_brute!M:M,data_brute!J:J,"&lt;="&amp;AK81),NA())</f>
        <v>27.783750000000012</v>
      </c>
      <c r="AM81" s="46">
        <f t="shared" ca="1" si="21"/>
        <v>750</v>
      </c>
      <c r="AN81" s="46" t="b">
        <f t="shared" si="24"/>
        <v>0</v>
      </c>
      <c r="AO81" s="50" t="b">
        <f t="shared" si="25"/>
        <v>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6"/>
        <v>752</v>
      </c>
      <c r="V82" s="46">
        <f t="shared" si="27"/>
        <v>761</v>
      </c>
      <c r="W82" s="33" t="e">
        <f>IFERROR(AVERAGEIFS(data_brute!M:M,data_brute!J:J,"&lt;="&amp;V82,data_brute!J:J,"&gt;="&amp;U82),NA())</f>
        <v>#N/A</v>
      </c>
      <c r="X82" s="46" t="e">
        <f t="shared" si="28"/>
        <v>#N/A</v>
      </c>
      <c r="Y82" s="2" t="b">
        <f t="shared" si="22"/>
        <v>0</v>
      </c>
      <c r="Z82" s="2" t="b">
        <f t="shared" si="23"/>
        <v>0</v>
      </c>
      <c r="AE82" s="46">
        <f t="shared" si="16"/>
        <v>752</v>
      </c>
      <c r="AF82" s="46">
        <f t="shared" si="17"/>
        <v>761</v>
      </c>
      <c r="AG82" s="33" t="e">
        <f>IFERROR(AVERAGEIFS(data_brute!M:M,data_brute!J:J,"&gt;="&amp;AE82,data_brute!J:J,"&lt;="&amp;AF82),NA())</f>
        <v>#N/A</v>
      </c>
      <c r="AH82" s="46" t="e">
        <f t="shared" si="18"/>
        <v>#N/A</v>
      </c>
      <c r="AJ82" s="46">
        <f t="shared" si="19"/>
        <v>752</v>
      </c>
      <c r="AK82" s="46">
        <f t="shared" si="20"/>
        <v>761</v>
      </c>
      <c r="AL82" s="33">
        <f ca="1">IFERROR(AVERAGEIFS(data_brute!M:M,data_brute!J:J,"&lt;="&amp;AK82),NA())</f>
        <v>27.783750000000012</v>
      </c>
      <c r="AM82" s="46">
        <f t="shared" ca="1" si="21"/>
        <v>760</v>
      </c>
      <c r="AN82" s="46" t="b">
        <f t="shared" si="24"/>
        <v>0</v>
      </c>
      <c r="AO82" s="50" t="b">
        <f t="shared" si="25"/>
        <v>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6"/>
        <v>762</v>
      </c>
      <c r="V83" s="46">
        <f t="shared" si="27"/>
        <v>771</v>
      </c>
      <c r="W83" s="33" t="e">
        <f>IFERROR(AVERAGEIFS(data_brute!M:M,data_brute!J:J,"&lt;="&amp;V83,data_brute!J:J,"&gt;="&amp;U83),NA())</f>
        <v>#N/A</v>
      </c>
      <c r="X83" s="46" t="e">
        <f t="shared" si="28"/>
        <v>#N/A</v>
      </c>
      <c r="Y83" s="2" t="b">
        <f t="shared" si="22"/>
        <v>0</v>
      </c>
      <c r="Z83" s="2" t="b">
        <f t="shared" si="23"/>
        <v>0</v>
      </c>
      <c r="AE83" s="46">
        <f t="shared" si="16"/>
        <v>762</v>
      </c>
      <c r="AF83" s="46">
        <f t="shared" si="17"/>
        <v>771</v>
      </c>
      <c r="AG83" s="33" t="e">
        <f>IFERROR(AVERAGEIFS(data_brute!M:M,data_brute!J:J,"&gt;="&amp;AE83,data_brute!J:J,"&lt;="&amp;AF83),NA())</f>
        <v>#N/A</v>
      </c>
      <c r="AH83" s="46" t="e">
        <f t="shared" si="18"/>
        <v>#N/A</v>
      </c>
      <c r="AJ83" s="46">
        <f t="shared" si="19"/>
        <v>762</v>
      </c>
      <c r="AK83" s="46">
        <f t="shared" si="20"/>
        <v>771</v>
      </c>
      <c r="AL83" s="33">
        <f ca="1">IFERROR(AVERAGEIFS(data_brute!M:M,data_brute!J:J,"&lt;="&amp;AK83),NA())</f>
        <v>27.783750000000012</v>
      </c>
      <c r="AM83" s="46">
        <f t="shared" ca="1" si="21"/>
        <v>770</v>
      </c>
      <c r="AN83" s="46" t="b">
        <f t="shared" si="24"/>
        <v>0</v>
      </c>
      <c r="AO83" s="50" t="b">
        <f t="shared" si="25"/>
        <v>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6"/>
        <v>772</v>
      </c>
      <c r="V84" s="46">
        <f t="shared" si="27"/>
        <v>781</v>
      </c>
      <c r="W84" s="33" t="e">
        <f>IFERROR(AVERAGEIFS(data_brute!M:M,data_brute!J:J,"&lt;="&amp;V84,data_brute!J:J,"&gt;="&amp;U84),NA())</f>
        <v>#N/A</v>
      </c>
      <c r="X84" s="46" t="e">
        <f t="shared" si="28"/>
        <v>#N/A</v>
      </c>
      <c r="Y84" s="2" t="b">
        <f t="shared" si="22"/>
        <v>0</v>
      </c>
      <c r="Z84" s="2" t="b">
        <f t="shared" si="23"/>
        <v>0</v>
      </c>
      <c r="AE84" s="46">
        <f t="shared" si="16"/>
        <v>772</v>
      </c>
      <c r="AF84" s="46">
        <f t="shared" si="17"/>
        <v>781</v>
      </c>
      <c r="AG84" s="33" t="e">
        <f>IFERROR(AVERAGEIFS(data_brute!M:M,data_brute!J:J,"&gt;="&amp;AE84,data_brute!J:J,"&lt;="&amp;AF84),NA())</f>
        <v>#N/A</v>
      </c>
      <c r="AH84" s="46" t="e">
        <f t="shared" si="18"/>
        <v>#N/A</v>
      </c>
      <c r="AJ84" s="46">
        <f t="shared" si="19"/>
        <v>772</v>
      </c>
      <c r="AK84" s="46">
        <f t="shared" si="20"/>
        <v>781</v>
      </c>
      <c r="AL84" s="33">
        <f ca="1">IFERROR(AVERAGEIFS(data_brute!M:M,data_brute!J:J,"&lt;="&amp;AK84),NA())</f>
        <v>27.783750000000012</v>
      </c>
      <c r="AM84" s="46">
        <f t="shared" ca="1" si="21"/>
        <v>780</v>
      </c>
      <c r="AN84" s="46" t="b">
        <f t="shared" si="24"/>
        <v>0</v>
      </c>
      <c r="AO84" s="50" t="b">
        <f t="shared" si="25"/>
        <v>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6"/>
        <v>782</v>
      </c>
      <c r="V85" s="46">
        <f t="shared" si="27"/>
        <v>791</v>
      </c>
      <c r="W85" s="33" t="e">
        <f>IFERROR(AVERAGEIFS(data_brute!M:M,data_brute!J:J,"&lt;="&amp;V85,data_brute!J:J,"&gt;="&amp;U85),NA())</f>
        <v>#N/A</v>
      </c>
      <c r="X85" s="46" t="e">
        <f t="shared" si="28"/>
        <v>#N/A</v>
      </c>
      <c r="Y85" s="2" t="b">
        <f t="shared" si="22"/>
        <v>0</v>
      </c>
      <c r="Z85" s="2" t="b">
        <f t="shared" si="23"/>
        <v>0</v>
      </c>
      <c r="AE85" s="46">
        <f t="shared" si="16"/>
        <v>782</v>
      </c>
      <c r="AF85" s="46">
        <f t="shared" si="17"/>
        <v>791</v>
      </c>
      <c r="AG85" s="33" t="e">
        <f>IFERROR(AVERAGEIFS(data_brute!M:M,data_brute!J:J,"&gt;="&amp;AE85,data_brute!J:J,"&lt;="&amp;AF85),NA())</f>
        <v>#N/A</v>
      </c>
      <c r="AH85" s="46" t="e">
        <f t="shared" si="18"/>
        <v>#N/A</v>
      </c>
      <c r="AJ85" s="46">
        <f t="shared" si="19"/>
        <v>782</v>
      </c>
      <c r="AK85" s="46">
        <f t="shared" si="20"/>
        <v>791</v>
      </c>
      <c r="AL85" s="33">
        <f ca="1">IFERROR(AVERAGEIFS(data_brute!M:M,data_brute!J:J,"&lt;="&amp;AK85),NA())</f>
        <v>27.783750000000012</v>
      </c>
      <c r="AM85" s="46">
        <f t="shared" ca="1" si="21"/>
        <v>790</v>
      </c>
      <c r="AN85" s="46" t="b">
        <f t="shared" si="24"/>
        <v>0</v>
      </c>
      <c r="AO85" s="50" t="b">
        <f t="shared" si="25"/>
        <v>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6"/>
        <v>792</v>
      </c>
      <c r="V86" s="46">
        <f t="shared" si="27"/>
        <v>801</v>
      </c>
      <c r="W86" s="33" t="e">
        <f>IFERROR(AVERAGEIFS(data_brute!M:M,data_brute!J:J,"&lt;="&amp;V86,data_brute!J:J,"&gt;="&amp;U86),NA())</f>
        <v>#N/A</v>
      </c>
      <c r="X86" s="46" t="e">
        <f t="shared" si="28"/>
        <v>#N/A</v>
      </c>
      <c r="Y86" s="2" t="b">
        <f t="shared" si="22"/>
        <v>0</v>
      </c>
      <c r="Z86" s="2" t="b">
        <f t="shared" si="23"/>
        <v>0</v>
      </c>
      <c r="AE86" s="46">
        <f t="shared" si="16"/>
        <v>792</v>
      </c>
      <c r="AF86" s="46">
        <f t="shared" si="17"/>
        <v>801</v>
      </c>
      <c r="AG86" s="33" t="e">
        <f>IFERROR(AVERAGEIFS(data_brute!M:M,data_brute!J:J,"&gt;="&amp;AE86,data_brute!J:J,"&lt;="&amp;AF86),NA())</f>
        <v>#N/A</v>
      </c>
      <c r="AH86" s="46" t="e">
        <f t="shared" si="18"/>
        <v>#N/A</v>
      </c>
      <c r="AJ86" s="46">
        <f t="shared" si="19"/>
        <v>792</v>
      </c>
      <c r="AK86" s="46">
        <f t="shared" si="20"/>
        <v>801</v>
      </c>
      <c r="AL86" s="33">
        <f ca="1">IFERROR(AVERAGEIFS(data_brute!M:M,data_brute!J:J,"&lt;="&amp;AK86),NA())</f>
        <v>27.783750000000012</v>
      </c>
      <c r="AM86" s="46">
        <f t="shared" ca="1" si="21"/>
        <v>800</v>
      </c>
      <c r="AN86" s="46" t="b">
        <f t="shared" si="24"/>
        <v>0</v>
      </c>
      <c r="AO86" s="50" t="b">
        <f t="shared" si="25"/>
        <v>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6"/>
        <v>802</v>
      </c>
      <c r="V87" s="46">
        <f t="shared" si="27"/>
        <v>811</v>
      </c>
      <c r="W87" s="33" t="e">
        <f>IFERROR(AVERAGEIFS(data_brute!M:M,data_brute!J:J,"&lt;="&amp;V87,data_brute!J:J,"&gt;="&amp;U87),NA())</f>
        <v>#N/A</v>
      </c>
      <c r="X87" s="46" t="e">
        <f t="shared" si="28"/>
        <v>#N/A</v>
      </c>
      <c r="Y87" s="2" t="b">
        <f t="shared" si="22"/>
        <v>0</v>
      </c>
      <c r="Z87" s="2" t="b">
        <f t="shared" si="23"/>
        <v>0</v>
      </c>
      <c r="AE87" s="46">
        <f t="shared" si="16"/>
        <v>802</v>
      </c>
      <c r="AF87" s="46">
        <f t="shared" si="17"/>
        <v>811</v>
      </c>
      <c r="AG87" s="33" t="e">
        <f>IFERROR(AVERAGEIFS(data_brute!M:M,data_brute!J:J,"&gt;="&amp;AE87,data_brute!J:J,"&lt;="&amp;AF87),NA())</f>
        <v>#N/A</v>
      </c>
      <c r="AH87" s="46" t="e">
        <f t="shared" si="18"/>
        <v>#N/A</v>
      </c>
      <c r="AJ87" s="46">
        <f t="shared" si="19"/>
        <v>802</v>
      </c>
      <c r="AK87" s="46">
        <f t="shared" si="20"/>
        <v>811</v>
      </c>
      <c r="AL87" s="33">
        <f ca="1">IFERROR(AVERAGEIFS(data_brute!M:M,data_brute!J:J,"&lt;="&amp;AK87),NA())</f>
        <v>27.783750000000012</v>
      </c>
      <c r="AM87" s="46">
        <f t="shared" ca="1" si="21"/>
        <v>810</v>
      </c>
      <c r="AN87" s="46" t="b">
        <f t="shared" si="24"/>
        <v>0</v>
      </c>
      <c r="AO87" s="50" t="b">
        <f t="shared" si="25"/>
        <v>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6"/>
        <v>812</v>
      </c>
      <c r="V88" s="46">
        <f t="shared" si="27"/>
        <v>821</v>
      </c>
      <c r="W88" s="33" t="e">
        <f>IFERROR(AVERAGEIFS(data_brute!M:M,data_brute!J:J,"&lt;="&amp;V88,data_brute!J:J,"&gt;="&amp;U88),NA())</f>
        <v>#N/A</v>
      </c>
      <c r="X88" s="46" t="e">
        <f t="shared" si="28"/>
        <v>#N/A</v>
      </c>
      <c r="Y88" s="2" t="b">
        <f t="shared" si="22"/>
        <v>0</v>
      </c>
      <c r="Z88" s="2" t="b">
        <f t="shared" si="23"/>
        <v>0</v>
      </c>
      <c r="AE88" s="46">
        <f t="shared" si="16"/>
        <v>812</v>
      </c>
      <c r="AF88" s="46">
        <f t="shared" si="17"/>
        <v>821</v>
      </c>
      <c r="AG88" s="33" t="e">
        <f>IFERROR(AVERAGEIFS(data_brute!M:M,data_brute!J:J,"&gt;="&amp;AE88,data_brute!J:J,"&lt;="&amp;AF88),NA())</f>
        <v>#N/A</v>
      </c>
      <c r="AH88" s="46" t="e">
        <f t="shared" si="18"/>
        <v>#N/A</v>
      </c>
      <c r="AJ88" s="46">
        <f t="shared" si="19"/>
        <v>812</v>
      </c>
      <c r="AK88" s="46">
        <f t="shared" si="20"/>
        <v>821</v>
      </c>
      <c r="AL88" s="33">
        <f ca="1">IFERROR(AVERAGEIFS(data_brute!M:M,data_brute!J:J,"&lt;="&amp;AK88),NA())</f>
        <v>27.783750000000012</v>
      </c>
      <c r="AM88" s="46">
        <f t="shared" ca="1" si="21"/>
        <v>820</v>
      </c>
      <c r="AN88" s="46" t="b">
        <f t="shared" si="24"/>
        <v>0</v>
      </c>
      <c r="AO88" s="50" t="b">
        <f t="shared" si="25"/>
        <v>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6"/>
        <v>822</v>
      </c>
      <c r="V89" s="46">
        <f t="shared" si="27"/>
        <v>831</v>
      </c>
      <c r="W89" s="33" t="e">
        <f>IFERROR(AVERAGEIFS(data_brute!M:M,data_brute!J:J,"&lt;="&amp;V89,data_brute!J:J,"&gt;="&amp;U89),NA())</f>
        <v>#N/A</v>
      </c>
      <c r="X89" s="46" t="e">
        <f t="shared" si="28"/>
        <v>#N/A</v>
      </c>
      <c r="Y89" s="2" t="b">
        <f t="shared" si="22"/>
        <v>0</v>
      </c>
      <c r="Z89" s="2" t="b">
        <f t="shared" si="23"/>
        <v>0</v>
      </c>
      <c r="AE89" s="46">
        <f t="shared" si="16"/>
        <v>822</v>
      </c>
      <c r="AF89" s="46">
        <f t="shared" si="17"/>
        <v>831</v>
      </c>
      <c r="AG89" s="33" t="e">
        <f>IFERROR(AVERAGEIFS(data_brute!M:M,data_brute!J:J,"&gt;="&amp;AE89,data_brute!J:J,"&lt;="&amp;AF89),NA())</f>
        <v>#N/A</v>
      </c>
      <c r="AH89" s="46" t="e">
        <f t="shared" si="18"/>
        <v>#N/A</v>
      </c>
      <c r="AJ89" s="46">
        <f t="shared" si="19"/>
        <v>822</v>
      </c>
      <c r="AK89" s="46">
        <f t="shared" si="20"/>
        <v>831</v>
      </c>
      <c r="AL89" s="33">
        <f ca="1">IFERROR(AVERAGEIFS(data_brute!M:M,data_brute!J:J,"&lt;="&amp;AK89),NA())</f>
        <v>27.783750000000012</v>
      </c>
      <c r="AM89" s="46">
        <f t="shared" ca="1" si="21"/>
        <v>830</v>
      </c>
      <c r="AN89" s="46" t="b">
        <f t="shared" si="24"/>
        <v>0</v>
      </c>
      <c r="AO89" s="50" t="b">
        <f t="shared" si="25"/>
        <v>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6"/>
        <v>832</v>
      </c>
      <c r="V90" s="46">
        <f t="shared" si="27"/>
        <v>841</v>
      </c>
      <c r="W90" s="33" t="e">
        <f>IFERROR(AVERAGEIFS(data_brute!M:M,data_brute!J:J,"&lt;="&amp;V90,data_brute!J:J,"&gt;="&amp;U90),NA())</f>
        <v>#N/A</v>
      </c>
      <c r="X90" s="46" t="e">
        <f t="shared" si="28"/>
        <v>#N/A</v>
      </c>
      <c r="Y90" s="2" t="b">
        <f t="shared" si="22"/>
        <v>0</v>
      </c>
      <c r="Z90" s="2" t="b">
        <f t="shared" si="23"/>
        <v>0</v>
      </c>
      <c r="AE90" s="46">
        <f t="shared" si="16"/>
        <v>832</v>
      </c>
      <c r="AF90" s="46">
        <f t="shared" si="17"/>
        <v>841</v>
      </c>
      <c r="AG90" s="33" t="e">
        <f>IFERROR(AVERAGEIFS(data_brute!M:M,data_brute!J:J,"&gt;="&amp;AE90,data_brute!J:J,"&lt;="&amp;AF90),NA())</f>
        <v>#N/A</v>
      </c>
      <c r="AH90" s="46" t="e">
        <f t="shared" si="18"/>
        <v>#N/A</v>
      </c>
      <c r="AJ90" s="46">
        <f t="shared" si="19"/>
        <v>832</v>
      </c>
      <c r="AK90" s="46">
        <f t="shared" si="20"/>
        <v>841</v>
      </c>
      <c r="AL90" s="33">
        <f ca="1">IFERROR(AVERAGEIFS(data_brute!M:M,data_brute!J:J,"&lt;="&amp;AK90),NA())</f>
        <v>27.783750000000012</v>
      </c>
      <c r="AM90" s="46">
        <f t="shared" ca="1" si="21"/>
        <v>840</v>
      </c>
      <c r="AN90" s="46" t="b">
        <f t="shared" si="24"/>
        <v>0</v>
      </c>
      <c r="AO90" s="50" t="b">
        <f t="shared" si="25"/>
        <v>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6"/>
        <v>842</v>
      </c>
      <c r="V91" s="46">
        <f t="shared" si="27"/>
        <v>851</v>
      </c>
      <c r="W91" s="33" t="e">
        <f>IFERROR(AVERAGEIFS(data_brute!M:M,data_brute!J:J,"&lt;="&amp;V91,data_brute!J:J,"&gt;="&amp;U91),NA())</f>
        <v>#N/A</v>
      </c>
      <c r="X91" s="46" t="e">
        <f t="shared" si="28"/>
        <v>#N/A</v>
      </c>
      <c r="Y91" s="2" t="b">
        <f t="shared" si="22"/>
        <v>0</v>
      </c>
      <c r="Z91" s="2" t="b">
        <f t="shared" si="23"/>
        <v>0</v>
      </c>
      <c r="AE91" s="46">
        <f t="shared" si="16"/>
        <v>842</v>
      </c>
      <c r="AF91" s="46">
        <f t="shared" si="17"/>
        <v>851</v>
      </c>
      <c r="AG91" s="33" t="e">
        <f>IFERROR(AVERAGEIFS(data_brute!M:M,data_brute!J:J,"&gt;="&amp;AE91,data_brute!J:J,"&lt;="&amp;AF91),NA())</f>
        <v>#N/A</v>
      </c>
      <c r="AH91" s="46" t="e">
        <f t="shared" si="18"/>
        <v>#N/A</v>
      </c>
      <c r="AJ91" s="46">
        <f t="shared" si="19"/>
        <v>842</v>
      </c>
      <c r="AK91" s="46">
        <f t="shared" si="20"/>
        <v>851</v>
      </c>
      <c r="AL91" s="33">
        <f ca="1">IFERROR(AVERAGEIFS(data_brute!M:M,data_brute!J:J,"&lt;="&amp;AK91),NA())</f>
        <v>27.783750000000012</v>
      </c>
      <c r="AM91" s="46">
        <f t="shared" ca="1" si="21"/>
        <v>850</v>
      </c>
      <c r="AN91" s="46" t="b">
        <f t="shared" si="24"/>
        <v>0</v>
      </c>
      <c r="AO91" s="50" t="b">
        <f t="shared" si="25"/>
        <v>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6"/>
        <v>852</v>
      </c>
      <c r="V92" s="46">
        <f t="shared" si="27"/>
        <v>861</v>
      </c>
      <c r="W92" s="33" t="e">
        <f>IFERROR(AVERAGEIFS(data_brute!M:M,data_brute!J:J,"&lt;="&amp;V92,data_brute!J:J,"&gt;="&amp;U92),NA())</f>
        <v>#N/A</v>
      </c>
      <c r="X92" s="46" t="e">
        <f t="shared" si="28"/>
        <v>#N/A</v>
      </c>
      <c r="Y92" s="2" t="b">
        <f t="shared" si="22"/>
        <v>0</v>
      </c>
      <c r="Z92" s="2" t="b">
        <f t="shared" si="23"/>
        <v>0</v>
      </c>
      <c r="AE92" s="46">
        <f t="shared" si="16"/>
        <v>852</v>
      </c>
      <c r="AF92" s="46">
        <f t="shared" si="17"/>
        <v>861</v>
      </c>
      <c r="AG92" s="33" t="e">
        <f>IFERROR(AVERAGEIFS(data_brute!M:M,data_brute!J:J,"&gt;="&amp;AE92,data_brute!J:J,"&lt;="&amp;AF92),NA())</f>
        <v>#N/A</v>
      </c>
      <c r="AH92" s="46" t="e">
        <f t="shared" si="18"/>
        <v>#N/A</v>
      </c>
      <c r="AJ92" s="46">
        <f t="shared" si="19"/>
        <v>852</v>
      </c>
      <c r="AK92" s="46">
        <f t="shared" si="20"/>
        <v>861</v>
      </c>
      <c r="AL92" s="33">
        <f ca="1">IFERROR(AVERAGEIFS(data_brute!M:M,data_brute!J:J,"&lt;="&amp;AK92),NA())</f>
        <v>27.783750000000012</v>
      </c>
      <c r="AM92" s="46">
        <f t="shared" ca="1" si="21"/>
        <v>860</v>
      </c>
      <c r="AN92" s="46" t="b">
        <f t="shared" si="24"/>
        <v>0</v>
      </c>
      <c r="AO92" s="50" t="b">
        <f t="shared" si="25"/>
        <v>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6"/>
        <v>862</v>
      </c>
      <c r="V93" s="46">
        <f t="shared" si="27"/>
        <v>871</v>
      </c>
      <c r="W93" s="33" t="e">
        <f>IFERROR(AVERAGEIFS(data_brute!M:M,data_brute!J:J,"&lt;="&amp;V93,data_brute!J:J,"&gt;="&amp;U93),NA())</f>
        <v>#N/A</v>
      </c>
      <c r="X93" s="46" t="e">
        <f t="shared" si="28"/>
        <v>#N/A</v>
      </c>
      <c r="Y93" s="2" t="b">
        <f t="shared" si="22"/>
        <v>0</v>
      </c>
      <c r="Z93" s="2" t="b">
        <f t="shared" si="23"/>
        <v>0</v>
      </c>
      <c r="AE93" s="46">
        <f t="shared" si="16"/>
        <v>862</v>
      </c>
      <c r="AF93" s="46">
        <f t="shared" si="17"/>
        <v>871</v>
      </c>
      <c r="AG93" s="33" t="e">
        <f>IFERROR(AVERAGEIFS(data_brute!M:M,data_brute!J:J,"&gt;="&amp;AE93,data_brute!J:J,"&lt;="&amp;AF93),NA())</f>
        <v>#N/A</v>
      </c>
      <c r="AH93" s="46" t="e">
        <f t="shared" si="18"/>
        <v>#N/A</v>
      </c>
      <c r="AJ93" s="46">
        <f t="shared" si="19"/>
        <v>862</v>
      </c>
      <c r="AK93" s="46">
        <f t="shared" si="20"/>
        <v>871</v>
      </c>
      <c r="AL93" s="33">
        <f ca="1">IFERROR(AVERAGEIFS(data_brute!M:M,data_brute!J:J,"&lt;="&amp;AK93),NA())</f>
        <v>27.783750000000012</v>
      </c>
      <c r="AM93" s="46">
        <f t="shared" ca="1" si="21"/>
        <v>870</v>
      </c>
      <c r="AN93" s="46" t="b">
        <f t="shared" si="24"/>
        <v>0</v>
      </c>
      <c r="AO93" s="50" t="b">
        <f t="shared" si="25"/>
        <v>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6"/>
        <v>872</v>
      </c>
      <c r="V94" s="46">
        <f t="shared" si="27"/>
        <v>881</v>
      </c>
      <c r="W94" s="33" t="e">
        <f>IFERROR(AVERAGEIFS(data_brute!M:M,data_brute!J:J,"&lt;="&amp;V94,data_brute!J:J,"&gt;="&amp;U94),NA())</f>
        <v>#N/A</v>
      </c>
      <c r="X94" s="46" t="e">
        <f t="shared" si="28"/>
        <v>#N/A</v>
      </c>
      <c r="Y94" s="2" t="b">
        <f t="shared" si="22"/>
        <v>0</v>
      </c>
      <c r="Z94" s="2" t="b">
        <f t="shared" si="23"/>
        <v>0</v>
      </c>
      <c r="AE94" s="46">
        <f t="shared" si="16"/>
        <v>872</v>
      </c>
      <c r="AF94" s="46">
        <f t="shared" si="17"/>
        <v>881</v>
      </c>
      <c r="AG94" s="33" t="e">
        <f>IFERROR(AVERAGEIFS(data_brute!M:M,data_brute!J:J,"&gt;="&amp;AE94,data_brute!J:J,"&lt;="&amp;AF94),NA())</f>
        <v>#N/A</v>
      </c>
      <c r="AH94" s="46" t="e">
        <f t="shared" si="18"/>
        <v>#N/A</v>
      </c>
      <c r="AJ94" s="46">
        <f t="shared" si="19"/>
        <v>872</v>
      </c>
      <c r="AK94" s="46">
        <f t="shared" si="20"/>
        <v>881</v>
      </c>
      <c r="AL94" s="33">
        <f ca="1">IFERROR(AVERAGEIFS(data_brute!M:M,data_brute!J:J,"&lt;="&amp;AK94),NA())</f>
        <v>27.783750000000012</v>
      </c>
      <c r="AM94" s="46">
        <f t="shared" ca="1" si="21"/>
        <v>880</v>
      </c>
      <c r="AN94" s="46" t="b">
        <f t="shared" si="24"/>
        <v>0</v>
      </c>
      <c r="AO94" s="50" t="b">
        <f t="shared" si="25"/>
        <v>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6"/>
        <v>882</v>
      </c>
      <c r="V95" s="46">
        <f t="shared" si="27"/>
        <v>891</v>
      </c>
      <c r="W95" s="33" t="e">
        <f>IFERROR(AVERAGEIFS(data_brute!M:M,data_brute!J:J,"&lt;="&amp;V95,data_brute!J:J,"&gt;="&amp;U95),NA())</f>
        <v>#N/A</v>
      </c>
      <c r="X95" s="46" t="e">
        <f t="shared" si="28"/>
        <v>#N/A</v>
      </c>
      <c r="Y95" s="2" t="b">
        <f t="shared" si="22"/>
        <v>0</v>
      </c>
      <c r="Z95" s="2" t="b">
        <f t="shared" si="23"/>
        <v>0</v>
      </c>
      <c r="AE95" s="46">
        <f t="shared" si="16"/>
        <v>882</v>
      </c>
      <c r="AF95" s="46">
        <f t="shared" si="17"/>
        <v>891</v>
      </c>
      <c r="AG95" s="33" t="e">
        <f>IFERROR(AVERAGEIFS(data_brute!M:M,data_brute!J:J,"&gt;="&amp;AE95,data_brute!J:J,"&lt;="&amp;AF95),NA())</f>
        <v>#N/A</v>
      </c>
      <c r="AH95" s="46" t="e">
        <f t="shared" si="18"/>
        <v>#N/A</v>
      </c>
      <c r="AJ95" s="46">
        <f t="shared" si="19"/>
        <v>882</v>
      </c>
      <c r="AK95" s="46">
        <f t="shared" si="20"/>
        <v>891</v>
      </c>
      <c r="AL95" s="33">
        <f ca="1">IFERROR(AVERAGEIFS(data_brute!M:M,data_brute!J:J,"&lt;="&amp;AK95),NA())</f>
        <v>27.783750000000012</v>
      </c>
      <c r="AM95" s="46">
        <f t="shared" ca="1" si="21"/>
        <v>890</v>
      </c>
      <c r="AN95" s="46" t="b">
        <f t="shared" si="24"/>
        <v>0</v>
      </c>
      <c r="AO95" s="50" t="b">
        <f t="shared" si="25"/>
        <v>0</v>
      </c>
    </row>
    <row r="96" spans="21:57" x14ac:dyDescent="0.2">
      <c r="U96" s="46">
        <f t="shared" si="26"/>
        <v>892</v>
      </c>
      <c r="V96" s="46">
        <f t="shared" si="27"/>
        <v>901</v>
      </c>
      <c r="W96" s="33" t="e">
        <f>IFERROR(AVERAGEIFS(data_brute!M:M,data_brute!J:J,"&lt;="&amp;V96,data_brute!J:J,"&gt;="&amp;U96),NA())</f>
        <v>#N/A</v>
      </c>
      <c r="X96" s="46" t="e">
        <f t="shared" si="28"/>
        <v>#N/A</v>
      </c>
      <c r="Y96" s="2" t="b">
        <f t="shared" si="22"/>
        <v>0</v>
      </c>
      <c r="Z96" s="2" t="b">
        <f t="shared" si="23"/>
        <v>0</v>
      </c>
      <c r="AE96" s="46">
        <f t="shared" si="16"/>
        <v>892</v>
      </c>
      <c r="AF96" s="46">
        <f t="shared" si="17"/>
        <v>901</v>
      </c>
      <c r="AG96" s="33" t="e">
        <f>IFERROR(AVERAGEIFS(data_brute!M:M,data_brute!J:J,"&gt;="&amp;AE96,data_brute!J:J,"&lt;="&amp;AF96),NA())</f>
        <v>#N/A</v>
      </c>
      <c r="AH96" s="46" t="e">
        <f t="shared" si="18"/>
        <v>#N/A</v>
      </c>
      <c r="AJ96" s="46">
        <f t="shared" si="19"/>
        <v>892</v>
      </c>
      <c r="AK96" s="46">
        <f t="shared" si="20"/>
        <v>901</v>
      </c>
      <c r="AL96" s="33">
        <f ca="1">IFERROR(AVERAGEIFS(data_brute!M:M,data_brute!J:J,"&lt;="&amp;AK96),NA())</f>
        <v>27.783750000000012</v>
      </c>
      <c r="AM96" s="46">
        <f t="shared" ca="1" si="21"/>
        <v>900</v>
      </c>
      <c r="AN96" s="46" t="b">
        <f t="shared" si="24"/>
        <v>0</v>
      </c>
      <c r="AO96" s="50" t="b">
        <f t="shared" si="25"/>
        <v>0</v>
      </c>
    </row>
    <row r="97" spans="21:41" x14ac:dyDescent="0.2">
      <c r="U97" s="46">
        <f t="shared" si="26"/>
        <v>902</v>
      </c>
      <c r="V97" s="46">
        <f t="shared" si="27"/>
        <v>911</v>
      </c>
      <c r="W97" s="33" t="e">
        <f>IFERROR(AVERAGEIFS(data_brute!M:M,data_brute!J:J,"&lt;="&amp;V97,data_brute!J:J,"&gt;="&amp;U97),NA())</f>
        <v>#N/A</v>
      </c>
      <c r="X97" s="46" t="e">
        <f t="shared" si="28"/>
        <v>#N/A</v>
      </c>
      <c r="Y97" s="2" t="b">
        <f t="shared" si="22"/>
        <v>0</v>
      </c>
      <c r="Z97" s="2" t="b">
        <f t="shared" si="23"/>
        <v>0</v>
      </c>
      <c r="AE97" s="46">
        <f t="shared" si="16"/>
        <v>902</v>
      </c>
      <c r="AF97" s="46">
        <f t="shared" si="17"/>
        <v>911</v>
      </c>
      <c r="AG97" s="33" t="e">
        <f>IFERROR(AVERAGEIFS(data_brute!M:M,data_brute!J:J,"&gt;="&amp;AE97,data_brute!J:J,"&lt;="&amp;AF97),NA())</f>
        <v>#N/A</v>
      </c>
      <c r="AH97" s="46" t="e">
        <f t="shared" si="18"/>
        <v>#N/A</v>
      </c>
      <c r="AJ97" s="46">
        <f t="shared" si="19"/>
        <v>902</v>
      </c>
      <c r="AK97" s="46">
        <f t="shared" si="20"/>
        <v>911</v>
      </c>
      <c r="AL97" s="33">
        <f ca="1">IFERROR(AVERAGEIFS(data_brute!M:M,data_brute!J:J,"&lt;="&amp;AK97),NA())</f>
        <v>27.783750000000012</v>
      </c>
      <c r="AM97" s="46">
        <f t="shared" ca="1" si="21"/>
        <v>910</v>
      </c>
      <c r="AN97" s="46" t="b">
        <f t="shared" si="24"/>
        <v>0</v>
      </c>
      <c r="AO97" s="50" t="b">
        <f t="shared" si="25"/>
        <v>0</v>
      </c>
    </row>
    <row r="98" spans="21:41" x14ac:dyDescent="0.2">
      <c r="U98" s="46">
        <f t="shared" si="26"/>
        <v>912</v>
      </c>
      <c r="V98" s="46">
        <f t="shared" si="27"/>
        <v>921</v>
      </c>
      <c r="W98" s="33" t="e">
        <f>IFERROR(AVERAGEIFS(data_brute!M:M,data_brute!J:J,"&lt;="&amp;V98,data_brute!J:J,"&gt;="&amp;U98),NA())</f>
        <v>#N/A</v>
      </c>
      <c r="X98" s="46" t="e">
        <f t="shared" si="28"/>
        <v>#N/A</v>
      </c>
      <c r="Y98" s="2" t="b">
        <f t="shared" si="22"/>
        <v>0</v>
      </c>
      <c r="Z98" s="2" t="b">
        <f t="shared" si="23"/>
        <v>0</v>
      </c>
      <c r="AE98" s="46">
        <f t="shared" si="16"/>
        <v>912</v>
      </c>
      <c r="AF98" s="46">
        <f t="shared" si="17"/>
        <v>921</v>
      </c>
      <c r="AG98" s="33" t="e">
        <f>IFERROR(AVERAGEIFS(data_brute!M:M,data_brute!J:J,"&gt;="&amp;AE98,data_brute!J:J,"&lt;="&amp;AF98),NA())</f>
        <v>#N/A</v>
      </c>
      <c r="AH98" s="46" t="e">
        <f t="shared" si="18"/>
        <v>#N/A</v>
      </c>
      <c r="AJ98" s="46">
        <f t="shared" si="19"/>
        <v>912</v>
      </c>
      <c r="AK98" s="46">
        <f t="shared" si="20"/>
        <v>921</v>
      </c>
      <c r="AL98" s="33">
        <f ca="1">IFERROR(AVERAGEIFS(data_brute!M:M,data_brute!J:J,"&lt;="&amp;AK98),NA())</f>
        <v>27.783750000000012</v>
      </c>
      <c r="AM98" s="46">
        <f t="shared" ca="1" si="21"/>
        <v>920</v>
      </c>
      <c r="AN98" s="46" t="b">
        <f t="shared" si="24"/>
        <v>0</v>
      </c>
      <c r="AO98" s="50" t="b">
        <f t="shared" si="25"/>
        <v>0</v>
      </c>
    </row>
    <row r="99" spans="21:41" x14ac:dyDescent="0.2">
      <c r="U99" s="46">
        <f t="shared" si="26"/>
        <v>922</v>
      </c>
      <c r="V99" s="46">
        <f t="shared" si="27"/>
        <v>931</v>
      </c>
      <c r="W99" s="33" t="e">
        <f>IFERROR(AVERAGEIFS(data_brute!M:M,data_brute!J:J,"&lt;="&amp;V99,data_brute!J:J,"&gt;="&amp;U99),NA())</f>
        <v>#N/A</v>
      </c>
      <c r="X99" s="46" t="e">
        <f t="shared" si="28"/>
        <v>#N/A</v>
      </c>
      <c r="Y99" s="2" t="b">
        <f t="shared" si="22"/>
        <v>0</v>
      </c>
      <c r="Z99" s="2" t="b">
        <f t="shared" si="23"/>
        <v>0</v>
      </c>
      <c r="AE99" s="46">
        <f t="shared" si="16"/>
        <v>922</v>
      </c>
      <c r="AF99" s="46">
        <f t="shared" si="17"/>
        <v>931</v>
      </c>
      <c r="AG99" s="33" t="e">
        <f>IFERROR(AVERAGEIFS(data_brute!M:M,data_brute!J:J,"&gt;="&amp;AE99,data_brute!J:J,"&lt;="&amp;AF99),NA())</f>
        <v>#N/A</v>
      </c>
      <c r="AH99" s="46" t="e">
        <f t="shared" si="18"/>
        <v>#N/A</v>
      </c>
      <c r="AJ99" s="46">
        <f t="shared" si="19"/>
        <v>922</v>
      </c>
      <c r="AK99" s="46">
        <f t="shared" si="20"/>
        <v>931</v>
      </c>
      <c r="AL99" s="33">
        <f ca="1">IFERROR(AVERAGEIFS(data_brute!M:M,data_brute!J:J,"&lt;="&amp;AK99),NA())</f>
        <v>27.783750000000012</v>
      </c>
      <c r="AM99" s="46">
        <f t="shared" ca="1" si="21"/>
        <v>930</v>
      </c>
      <c r="AN99" s="46" t="b">
        <f t="shared" si="24"/>
        <v>0</v>
      </c>
      <c r="AO99" s="50" t="b">
        <f t="shared" si="25"/>
        <v>0</v>
      </c>
    </row>
    <row r="100" spans="21:41" x14ac:dyDescent="0.2">
      <c r="U100" s="46">
        <f t="shared" si="26"/>
        <v>932</v>
      </c>
      <c r="V100" s="46">
        <f t="shared" si="27"/>
        <v>941</v>
      </c>
      <c r="W100" s="33" t="e">
        <f>IFERROR(AVERAGEIFS(data_brute!M:M,data_brute!J:J,"&lt;="&amp;V100,data_brute!J:J,"&gt;="&amp;U100),NA())</f>
        <v>#N/A</v>
      </c>
      <c r="X100" s="46" t="e">
        <f t="shared" si="28"/>
        <v>#N/A</v>
      </c>
      <c r="Y100" s="2" t="b">
        <f t="shared" si="22"/>
        <v>0</v>
      </c>
      <c r="Z100" s="2" t="b">
        <f t="shared" si="23"/>
        <v>0</v>
      </c>
      <c r="AE100" s="46">
        <f t="shared" si="16"/>
        <v>932</v>
      </c>
      <c r="AF100" s="46">
        <f t="shared" si="17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8"/>
        <v>#N/A</v>
      </c>
      <c r="AJ100" s="46">
        <f t="shared" si="19"/>
        <v>932</v>
      </c>
      <c r="AK100" s="46">
        <f t="shared" si="20"/>
        <v>941</v>
      </c>
      <c r="AL100" s="33">
        <f ca="1">IFERROR(AVERAGEIFS(data_brute!M:M,data_brute!J:J,"&lt;="&amp;AK100),NA())</f>
        <v>27.783750000000012</v>
      </c>
      <c r="AM100" s="46">
        <f t="shared" ca="1" si="21"/>
        <v>940</v>
      </c>
      <c r="AN100" s="46" t="b">
        <f t="shared" si="24"/>
        <v>0</v>
      </c>
      <c r="AO100" s="50" t="b">
        <f t="shared" si="25"/>
        <v>0</v>
      </c>
    </row>
  </sheetData>
  <sheetProtection algorithmName="SHA-512" hashValue="LncN7UX1s6wGu8EH8j9iuy62CzRN0pfAH23JVkYLOvft3qbwbmXMxdxkSAGU47HMOB+EirdG6bIA3basKAsoog==" saltValue="PvmYcKBWCrpUSGVYvYSuWg==" spinCount="100000" sheet="1"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workbookViewId="0"/>
    <sheetView workbookViewId="1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66.83203125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45</v>
      </c>
      <c r="I2" s="42" t="s">
        <v>46</v>
      </c>
      <c r="J2" s="42" t="s">
        <v>47</v>
      </c>
      <c r="K2" s="42" t="s">
        <v>48</v>
      </c>
      <c r="L2" s="42" t="s">
        <v>49</v>
      </c>
      <c r="M2" s="42" t="s">
        <v>50</v>
      </c>
    </row>
    <row r="3" spans="2:13" s="25" customFormat="1" ht="221" x14ac:dyDescent="0.2">
      <c r="B3" s="25" t="s">
        <v>80</v>
      </c>
      <c r="C3" s="25" t="s">
        <v>57</v>
      </c>
      <c r="D3" s="39"/>
      <c r="E3" s="39" t="str">
        <f ca="1">IF(interface!M3&gt;=interface!C5, "Fin de lot - PROD conforme (Moyenne Longue : "&amp;ROUND(interface!M3,2)&amp;" - QN : "&amp;interface!C5&amp;")","Fin de lot - PROD non conforme (Moyenne Longue : "&amp;ROUND(interface!M3,2)&amp;" - QN : "&amp;interface!C5&amp;")")</f>
        <v>Fin de lot - PROD conforme (Moyenne Longue : 27,78 - QN : 25)</v>
      </c>
      <c r="F3" s="39" t="s">
        <v>80</v>
      </c>
      <c r="G3" s="39" t="str">
        <f ca="1">IF(interface!M3&gt;=interface!C5, "Fin équipe - PROD conforme (Moyenne Longue : "&amp;ROUND(interface!M3,2)&amp;" - QN : "&amp;interface!C5&amp;")","Fin de lot - PROD non conforme (Moyenne Longue : "&amp;ROUND(interface!M3,2)&amp;" - QN : "&amp;interface!C5&amp;")")</f>
        <v>Fin équipe - PROD conforme (Moyenne Longue : 27,78 - QN : 25)</v>
      </c>
      <c r="H3" s="39" t="s">
        <v>64</v>
      </c>
      <c r="I3" s="39" t="s">
        <v>65</v>
      </c>
      <c r="J3" s="39" t="s">
        <v>65</v>
      </c>
      <c r="K3" s="39" t="s">
        <v>83</v>
      </c>
      <c r="L3" s="39" t="s">
        <v>82</v>
      </c>
      <c r="M3" s="39" t="s">
        <v>51</v>
      </c>
    </row>
    <row r="4" spans="2:13" s="25" customFormat="1" ht="34" x14ac:dyDescent="0.2">
      <c r="B4" s="25" t="s">
        <v>79</v>
      </c>
      <c r="C4" s="39" t="s">
        <v>43</v>
      </c>
      <c r="D4" s="39"/>
      <c r="E4" s="39" t="s">
        <v>86</v>
      </c>
      <c r="F4" s="39" t="s">
        <v>60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81</v>
      </c>
      <c r="C5" s="25" t="s">
        <v>58</v>
      </c>
      <c r="D5" s="39"/>
      <c r="E5" s="39"/>
      <c r="F5" s="39" t="s">
        <v>61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59</v>
      </c>
      <c r="D6" s="39"/>
      <c r="E6" s="39"/>
      <c r="F6" s="39" t="s">
        <v>62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66</v>
      </c>
      <c r="D7" s="39"/>
      <c r="E7" s="39"/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67</v>
      </c>
      <c r="D8" s="39"/>
      <c r="F8" s="25" t="s">
        <v>79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44</v>
      </c>
      <c r="D9" s="39"/>
      <c r="E9" s="39"/>
      <c r="F9" s="39" t="s">
        <v>81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C10" s="25" t="s">
        <v>87</v>
      </c>
      <c r="F10" s="39" t="s">
        <v>63</v>
      </c>
    </row>
  </sheetData>
  <sheetProtection algorithmName="SHA-512" hashValue="ub/d8rbIwh0MnBbbGR9SM+wYPkobXIB2+OxxmOEKUOX+fhOdEo/eEFGL0rQbHl5E9IZORX5OLsQiZ6u33Sttvg==" saltValue="h4auJZWgw05MBnmC7fYI5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2025-02-25T21:42:59Z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ize_Factor">
    <vt:lpwstr>Large</vt:lpwstr>
  </property>
  <property fmtid="{D5CDD505-2E9C-101B-9397-08002B2CF9AE}" pid="3" name="LargeurPlage">
    <vt:lpwstr>2,54</vt:lpwstr>
  </property>
</Properties>
</file>