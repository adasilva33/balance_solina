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47EC0FB5-7A6A-794F-B00E-586C9C0ADD1B}" xr6:coauthVersionLast="47" xr6:coauthVersionMax="47" xr10:uidLastSave="{00000000-0000-0000-0000-000000000000}"/>
  <bookViews>
    <workbookView xWindow="-3740" yWindow="-21100" windowWidth="38400" windowHeight="21100" activeTab="1" xr2:uid="{5FB1850A-4562-1941-A4C6-C6D993284B38}"/>
  </bookViews>
  <sheets>
    <sheet name="data_brute" sheetId="10" r:id="rId1"/>
    <sheet name="interface" sheetId="1" r:id="rId2"/>
    <sheet name="calculs_intermediaires" sheetId="3" r:id="rId3"/>
    <sheet name="idea" sheetId="9" r:id="rId4"/>
    <sheet name="test" sheetId="8" r:id="rId5"/>
    <sheet name="draft" sheetId="6" r:id="rId6"/>
    <sheet name="pop_up" sheetId="5" r:id="rId7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0" l="1" a="1"/>
  <c r="D2" i="10" s="1"/>
  <c r="H2" i="10" s="1" a="1"/>
  <c r="H2" i="10" s="1"/>
  <c r="A2" i="10" a="1"/>
  <c r="A2" i="10" s="1"/>
  <c r="V6" i="3"/>
  <c r="W6" i="3"/>
  <c r="X6" i="3"/>
  <c r="Y6" i="3"/>
  <c r="Z6" i="3"/>
  <c r="AA6" i="3"/>
  <c r="AB6" i="3"/>
  <c r="U6" i="3"/>
  <c r="F3" i="3"/>
  <c r="O7" i="3" s="1"/>
  <c r="H10" i="1"/>
  <c r="H9" i="8"/>
  <c r="C9" i="8"/>
  <c r="F9" i="8"/>
  <c r="E3" i="6" a="1"/>
  <c r="E3" i="6" s="1"/>
  <c r="G9" i="8"/>
  <c r="E9" i="8"/>
  <c r="D9" i="8"/>
  <c r="C22" i="3"/>
  <c r="H11" i="1"/>
  <c r="H28" i="3"/>
  <c r="G28" i="3"/>
  <c r="E2" i="10" l="1" a="1"/>
  <c r="E2" i="10" s="1"/>
  <c r="F4" i="3"/>
  <c r="F5" i="3" s="1"/>
  <c r="N4" i="3"/>
  <c r="P7" i="3" s="1"/>
  <c r="AE7" i="3"/>
  <c r="AF7" i="3" s="1"/>
  <c r="AE8" i="3" s="1"/>
  <c r="AF8" i="3" s="1"/>
  <c r="AE9" i="3" s="1"/>
  <c r="AF9" i="3" s="1"/>
  <c r="AE10" i="3" s="1"/>
  <c r="AF10" i="3" s="1"/>
  <c r="AE11" i="3" s="1"/>
  <c r="C4" i="3"/>
  <c r="F2" i="10" l="1" a="1"/>
  <c r="F2" i="10" s="1"/>
  <c r="G2" i="10" s="1" a="1"/>
  <c r="G2" i="10" s="1"/>
  <c r="AF11" i="3"/>
  <c r="AE12" i="3" s="1"/>
  <c r="Y3" i="3"/>
  <c r="Y2" i="3"/>
  <c r="AG9" i="3"/>
  <c r="AH9" i="3" s="1"/>
  <c r="AG10" i="3"/>
  <c r="AH10" i="3" s="1"/>
  <c r="U7" i="3" a="1"/>
  <c r="AB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G8" i="3" l="1"/>
  <c r="AH8" i="3" s="1"/>
  <c r="AF12" i="3"/>
  <c r="AE13" i="3" s="1"/>
  <c r="AG12" i="3"/>
  <c r="AH12" i="3" s="1"/>
  <c r="AG11" i="3"/>
  <c r="AH11" i="3" s="1"/>
  <c r="AG7" i="3"/>
  <c r="AH7" i="3" s="1"/>
  <c r="AB3" i="3"/>
  <c r="U7" i="3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3" i="3" l="1"/>
  <c r="AE14" i="3" s="1"/>
  <c r="K16" i="3" a="1"/>
  <c r="K16" i="3" s="1"/>
  <c r="C6" i="3"/>
  <c r="C18" i="3" s="1" a="1"/>
  <c r="C18" i="3" s="1"/>
  <c r="D11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2" i="1" s="1"/>
  <c r="AF15" i="3" l="1"/>
  <c r="AE16" i="3" s="1"/>
  <c r="AG14" i="3"/>
  <c r="AH14" i="3" s="1"/>
  <c r="C26" i="3"/>
  <c r="C25" i="3"/>
  <c r="AF16" i="3" l="1"/>
  <c r="AE17" i="3" s="1"/>
  <c r="AG15" i="3"/>
  <c r="AH15" i="3" s="1"/>
  <c r="C2" i="1"/>
  <c r="AF17" i="3" l="1"/>
  <c r="AE18" i="3" s="1"/>
  <c r="AG16" i="3"/>
  <c r="AH16" i="3" s="1"/>
  <c r="Q4" i="3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<sst xmlns="http://schemas.openxmlformats.org/spreadsheetml/2006/main" count="113" uniqueCount="96">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</sst>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5" fmlaLink="$L$2" max="30000" page="10" val="3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2</xdr:row>
          <xdr:rowOff>152400</xdr:rowOff>
        </xdr:from>
        <xdr:to>
          <xdr:col>11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L40"/>
  <sheetViews>
    <sheetView showGridLines="0" workbookViewId="0">
      <selection activeCell="J20" sqref="J20"/>
    </sheetView>
  </sheetViews>
  <sheetFormatPr baseColWidth="10" defaultRowHeight="16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8" style="2" customWidth="1"/>
    <col min="10" max="16384" width="10.83203125" style="2"/>
  </cols>
  <sheetData>
    <row r="1" spans="1:12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57</v>
      </c>
      <c r="F1" s="4" t="s">
        <v>40</v>
      </c>
      <c r="G1" s="4" t="s">
        <v>32</v>
      </c>
      <c r="H1" s="43" t="s">
        <v>26</v>
      </c>
    </row>
    <row r="2" spans="1:12" x14ac:dyDescent="0.2">
      <c r="A2" s="2" cm="1">
        <f t="array" ref="A2:A40">_xlfn.SEQUENCE(L2)</f>
        <v>1</v>
      </c>
      <c r="D2" s="38" cm="1">
        <f t="array" aca="1" ref="D2:D40" ca="1">_xlfn.RANDARRAY(L2,1,75,85,FALSE)</f>
        <v>75.788200797324393</v>
      </c>
      <c r="E2" s="2" cm="1">
        <f t="array" ref="E2:E40">IF(_xlfn.ANCHORARRAY(A2)&lt;&gt;0,ROW(_xlfn.ANCHORARRAY(A2)))</f>
        <v>2</v>
      </c>
      <c r="F2" s="2" cm="1">
        <f t="array" ref="F2:F40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40">INDEX(calculs_intermediaires!$N$7:$N$100,MATCH(_xlfn.ANCHORARRAY(F2),calculs_intermediaires!$M$7:$M$100,0))</f>
        <v>5</v>
      </c>
      <c r="H2" s="38" cm="1">
        <f t="array" aca="1" ref="H2:H40" ca="1">_xlfn.ANCHORARRAY(D2)-_xlfn.ANCHORARRAY(G2)</f>
        <v>70.788200797324393</v>
      </c>
      <c r="K2" s="14" t="s">
        <v>95</v>
      </c>
      <c r="L2" s="2">
        <v>39</v>
      </c>
    </row>
    <row r="3" spans="1:12" x14ac:dyDescent="0.2">
      <c r="A3" s="2">
        <v>2</v>
      </c>
      <c r="D3" s="38">
        <f ca="1"/>
        <v>81.305668028417131</v>
      </c>
      <c r="E3" s="2">
        <v>3</v>
      </c>
      <c r="F3" s="2">
        <v>1</v>
      </c>
      <c r="G3" s="2">
        <v>5</v>
      </c>
      <c r="H3" s="38">
        <f ca="1"/>
        <v>76.305668028417131</v>
      </c>
    </row>
    <row r="4" spans="1:12" x14ac:dyDescent="0.2">
      <c r="A4" s="2">
        <v>3</v>
      </c>
      <c r="D4" s="38">
        <f ca="1"/>
        <v>77.531607735210329</v>
      </c>
      <c r="E4" s="2">
        <v>4</v>
      </c>
      <c r="F4" s="2">
        <v>1</v>
      </c>
      <c r="G4" s="2">
        <v>5</v>
      </c>
      <c r="H4" s="38">
        <f ca="1"/>
        <v>72.531607735210329</v>
      </c>
    </row>
    <row r="5" spans="1:12" x14ac:dyDescent="0.2">
      <c r="A5" s="2">
        <v>4</v>
      </c>
      <c r="D5" s="38">
        <f ca="1"/>
        <v>75.780264710489618</v>
      </c>
      <c r="E5" s="2">
        <v>5</v>
      </c>
      <c r="F5" s="2">
        <v>1</v>
      </c>
      <c r="G5" s="2">
        <v>5</v>
      </c>
      <c r="H5" s="38">
        <f ca="1"/>
        <v>70.780264710489618</v>
      </c>
    </row>
    <row r="6" spans="1:12" x14ac:dyDescent="0.2">
      <c r="A6" s="2">
        <v>5</v>
      </c>
      <c r="D6" s="38">
        <f ca="1"/>
        <v>83.224009862782395</v>
      </c>
      <c r="E6" s="2">
        <v>6</v>
      </c>
      <c r="F6" s="2">
        <v>1</v>
      </c>
      <c r="G6" s="2">
        <v>5</v>
      </c>
      <c r="H6" s="38">
        <f ca="1"/>
        <v>78.224009862782395</v>
      </c>
    </row>
    <row r="7" spans="1:12" x14ac:dyDescent="0.2">
      <c r="A7" s="2">
        <v>6</v>
      </c>
      <c r="D7" s="38">
        <f ca="1"/>
        <v>84.051891498863341</v>
      </c>
      <c r="E7" s="2">
        <v>7</v>
      </c>
      <c r="F7" s="2">
        <v>1</v>
      </c>
      <c r="G7" s="2">
        <v>5</v>
      </c>
      <c r="H7" s="38">
        <f ca="1"/>
        <v>79.051891498863341</v>
      </c>
    </row>
    <row r="8" spans="1:12" x14ac:dyDescent="0.2">
      <c r="A8" s="2">
        <v>7</v>
      </c>
      <c r="D8" s="38">
        <f ca="1"/>
        <v>75.224437914724462</v>
      </c>
      <c r="E8" s="2">
        <v>8</v>
      </c>
      <c r="F8" s="2">
        <v>1</v>
      </c>
      <c r="G8" s="2">
        <v>5</v>
      </c>
      <c r="H8" s="38">
        <f ca="1"/>
        <v>70.224437914724462</v>
      </c>
    </row>
    <row r="9" spans="1:12" x14ac:dyDescent="0.2">
      <c r="A9" s="2">
        <v>8</v>
      </c>
      <c r="D9" s="38">
        <f ca="1"/>
        <v>76.539786918359169</v>
      </c>
      <c r="E9" s="2">
        <v>9</v>
      </c>
      <c r="F9" s="2">
        <v>1</v>
      </c>
      <c r="G9" s="2">
        <v>5</v>
      </c>
      <c r="H9" s="38">
        <f ca="1"/>
        <v>71.539786918359169</v>
      </c>
    </row>
    <row r="10" spans="1:12" x14ac:dyDescent="0.2">
      <c r="A10" s="2">
        <v>9</v>
      </c>
      <c r="D10" s="38">
        <f ca="1"/>
        <v>75.17635017390657</v>
      </c>
      <c r="E10" s="2">
        <v>10</v>
      </c>
      <c r="F10" s="2">
        <v>1</v>
      </c>
      <c r="G10" s="2">
        <v>5</v>
      </c>
      <c r="H10" s="38">
        <f ca="1"/>
        <v>70.17635017390657</v>
      </c>
    </row>
    <row r="11" spans="1:12" x14ac:dyDescent="0.2">
      <c r="A11" s="2">
        <v>10</v>
      </c>
      <c r="D11" s="38">
        <f ca="1"/>
        <v>83.745910706173419</v>
      </c>
      <c r="E11" s="2">
        <v>11</v>
      </c>
      <c r="F11" s="2">
        <v>1</v>
      </c>
      <c r="G11" s="2">
        <v>5</v>
      </c>
      <c r="H11" s="38">
        <f ca="1"/>
        <v>78.745910706173419</v>
      </c>
    </row>
    <row r="12" spans="1:12" x14ac:dyDescent="0.2">
      <c r="A12" s="2">
        <v>11</v>
      </c>
      <c r="D12" s="38">
        <f ca="1"/>
        <v>84.609504137656486</v>
      </c>
      <c r="E12" s="2">
        <v>12</v>
      </c>
      <c r="F12" s="2">
        <v>1</v>
      </c>
      <c r="G12" s="2">
        <v>5</v>
      </c>
      <c r="H12" s="38">
        <f ca="1"/>
        <v>79.609504137656486</v>
      </c>
    </row>
    <row r="13" spans="1:12" x14ac:dyDescent="0.2">
      <c r="A13" s="2">
        <v>12</v>
      </c>
      <c r="D13" s="38">
        <f ca="1"/>
        <v>77.192573417089619</v>
      </c>
      <c r="E13" s="2">
        <v>13</v>
      </c>
      <c r="F13" s="2">
        <v>1</v>
      </c>
      <c r="G13" s="2">
        <v>5</v>
      </c>
      <c r="H13" s="38">
        <f ca="1"/>
        <v>72.192573417089619</v>
      </c>
    </row>
    <row r="14" spans="1:12" x14ac:dyDescent="0.2">
      <c r="A14" s="2">
        <v>13</v>
      </c>
      <c r="D14" s="38">
        <f ca="1"/>
        <v>82.011168180129559</v>
      </c>
      <c r="E14" s="2">
        <v>14</v>
      </c>
      <c r="F14" s="2">
        <v>1</v>
      </c>
      <c r="G14" s="2">
        <v>5</v>
      </c>
      <c r="H14" s="38">
        <f ca="1"/>
        <v>77.011168180129559</v>
      </c>
    </row>
    <row r="15" spans="1:12" x14ac:dyDescent="0.2">
      <c r="A15" s="2">
        <v>14</v>
      </c>
      <c r="D15" s="38">
        <f ca="1"/>
        <v>78.25869874172939</v>
      </c>
      <c r="E15" s="2">
        <v>15</v>
      </c>
      <c r="F15" s="2">
        <v>1</v>
      </c>
      <c r="G15" s="2">
        <v>5</v>
      </c>
      <c r="H15" s="38">
        <f ca="1"/>
        <v>73.25869874172939</v>
      </c>
    </row>
    <row r="16" spans="1:12" x14ac:dyDescent="0.2">
      <c r="A16" s="2">
        <v>15</v>
      </c>
      <c r="D16" s="38">
        <f ca="1"/>
        <v>76.971940897615127</v>
      </c>
      <c r="E16" s="2">
        <v>16</v>
      </c>
      <c r="F16" s="2">
        <v>1</v>
      </c>
      <c r="G16" s="2">
        <v>5</v>
      </c>
      <c r="H16" s="38">
        <f ca="1"/>
        <v>71.971940897615127</v>
      </c>
    </row>
    <row r="17" spans="1:8" x14ac:dyDescent="0.2">
      <c r="A17" s="2">
        <v>16</v>
      </c>
      <c r="D17" s="38">
        <f ca="1"/>
        <v>77.297505124857821</v>
      </c>
      <c r="E17" s="2">
        <v>17</v>
      </c>
      <c r="F17" s="2">
        <v>1</v>
      </c>
      <c r="G17" s="2">
        <v>5</v>
      </c>
      <c r="H17" s="38">
        <f ca="1"/>
        <v>72.297505124857821</v>
      </c>
    </row>
    <row r="18" spans="1:8" x14ac:dyDescent="0.2">
      <c r="A18" s="2">
        <v>17</v>
      </c>
      <c r="D18" s="38">
        <f ca="1"/>
        <v>79.509360340594554</v>
      </c>
      <c r="E18" s="2">
        <v>18</v>
      </c>
      <c r="F18" s="2">
        <v>1</v>
      </c>
      <c r="G18" s="2">
        <v>5</v>
      </c>
      <c r="H18" s="38">
        <f ca="1"/>
        <v>74.509360340594554</v>
      </c>
    </row>
    <row r="19" spans="1:8" x14ac:dyDescent="0.2">
      <c r="A19" s="2">
        <v>18</v>
      </c>
      <c r="D19" s="38">
        <f ca="1"/>
        <v>80.456813446334493</v>
      </c>
      <c r="E19" s="2">
        <v>19</v>
      </c>
      <c r="F19" s="2">
        <v>1</v>
      </c>
      <c r="G19" s="2">
        <v>5</v>
      </c>
      <c r="H19" s="38">
        <f ca="1"/>
        <v>75.456813446334493</v>
      </c>
    </row>
    <row r="20" spans="1:8" x14ac:dyDescent="0.2">
      <c r="A20" s="2">
        <v>19</v>
      </c>
      <c r="D20" s="38">
        <f ca="1"/>
        <v>76.027133684098729</v>
      </c>
      <c r="E20" s="2">
        <v>20</v>
      </c>
      <c r="F20" s="2">
        <v>1</v>
      </c>
      <c r="G20" s="2">
        <v>5</v>
      </c>
      <c r="H20" s="38">
        <f ca="1"/>
        <v>71.027133684098729</v>
      </c>
    </row>
    <row r="21" spans="1:8" x14ac:dyDescent="0.2">
      <c r="A21" s="2">
        <v>20</v>
      </c>
      <c r="D21" s="38">
        <f ca="1"/>
        <v>84.896127011657754</v>
      </c>
      <c r="E21" s="2">
        <v>21</v>
      </c>
      <c r="F21" s="2">
        <v>1</v>
      </c>
      <c r="G21" s="2">
        <v>5</v>
      </c>
      <c r="H21" s="38">
        <f ca="1"/>
        <v>79.896127011657754</v>
      </c>
    </row>
    <row r="22" spans="1:8" x14ac:dyDescent="0.2">
      <c r="A22" s="2">
        <v>21</v>
      </c>
      <c r="D22" s="38">
        <f ca="1"/>
        <v>77.945459462082709</v>
      </c>
      <c r="E22" s="2">
        <v>22</v>
      </c>
      <c r="F22" s="2">
        <v>1</v>
      </c>
      <c r="G22" s="2">
        <v>5</v>
      </c>
      <c r="H22" s="38">
        <f ca="1"/>
        <v>72.945459462082709</v>
      </c>
    </row>
    <row r="23" spans="1:8" x14ac:dyDescent="0.2">
      <c r="A23" s="2">
        <v>22</v>
      </c>
      <c r="D23" s="38">
        <f ca="1"/>
        <v>82.279924078701441</v>
      </c>
      <c r="E23" s="2">
        <v>23</v>
      </c>
      <c r="F23" s="2">
        <v>1</v>
      </c>
      <c r="G23" s="2">
        <v>5</v>
      </c>
      <c r="H23" s="38">
        <f ca="1"/>
        <v>77.279924078701441</v>
      </c>
    </row>
    <row r="24" spans="1:8" x14ac:dyDescent="0.2">
      <c r="A24" s="2">
        <v>23</v>
      </c>
      <c r="D24" s="38">
        <f ca="1"/>
        <v>84.579723202546617</v>
      </c>
      <c r="E24" s="2">
        <v>24</v>
      </c>
      <c r="F24" s="2">
        <v>1</v>
      </c>
      <c r="G24" s="2">
        <v>5</v>
      </c>
      <c r="H24" s="38">
        <f ca="1"/>
        <v>79.579723202546617</v>
      </c>
    </row>
    <row r="25" spans="1:8" x14ac:dyDescent="0.2">
      <c r="A25" s="2">
        <v>24</v>
      </c>
      <c r="D25" s="38">
        <f ca="1"/>
        <v>75.263931147555951</v>
      </c>
      <c r="E25" s="2">
        <v>25</v>
      </c>
      <c r="F25" s="2">
        <v>1</v>
      </c>
      <c r="G25" s="2">
        <v>5</v>
      </c>
      <c r="H25" s="38">
        <f ca="1"/>
        <v>70.263931147555951</v>
      </c>
    </row>
    <row r="26" spans="1:8" x14ac:dyDescent="0.2">
      <c r="A26" s="2">
        <v>25</v>
      </c>
      <c r="D26" s="38">
        <f ca="1"/>
        <v>82.795003910186423</v>
      </c>
      <c r="E26" s="2">
        <v>26</v>
      </c>
      <c r="F26" s="2">
        <v>1</v>
      </c>
      <c r="G26" s="2">
        <v>5</v>
      </c>
      <c r="H26" s="38">
        <f ca="1"/>
        <v>77.795003910186423</v>
      </c>
    </row>
    <row r="27" spans="1:8" x14ac:dyDescent="0.2">
      <c r="A27" s="2">
        <v>26</v>
      </c>
      <c r="D27" s="38">
        <f ca="1"/>
        <v>76.835386796423165</v>
      </c>
      <c r="E27" s="2">
        <v>27</v>
      </c>
      <c r="F27" s="2">
        <v>1</v>
      </c>
      <c r="G27" s="2">
        <v>5</v>
      </c>
      <c r="H27" s="38">
        <f ca="1"/>
        <v>71.835386796423165</v>
      </c>
    </row>
    <row r="28" spans="1:8" x14ac:dyDescent="0.2">
      <c r="A28" s="2">
        <v>27</v>
      </c>
      <c r="D28" s="38">
        <f ca="1"/>
        <v>77.292489522438629</v>
      </c>
      <c r="E28" s="2">
        <v>28</v>
      </c>
      <c r="F28" s="2">
        <v>1</v>
      </c>
      <c r="G28" s="2">
        <v>5</v>
      </c>
      <c r="H28" s="38">
        <f ca="1"/>
        <v>72.292489522438629</v>
      </c>
    </row>
    <row r="29" spans="1:8" x14ac:dyDescent="0.2">
      <c r="A29" s="2">
        <v>28</v>
      </c>
      <c r="D29" s="38">
        <f ca="1"/>
        <v>75.452871487692335</v>
      </c>
      <c r="E29" s="2">
        <v>29</v>
      </c>
      <c r="F29" s="2">
        <v>1</v>
      </c>
      <c r="G29" s="2">
        <v>5</v>
      </c>
      <c r="H29" s="38">
        <f ca="1"/>
        <v>70.452871487692335</v>
      </c>
    </row>
    <row r="30" spans="1:8" x14ac:dyDescent="0.2">
      <c r="A30" s="2">
        <v>29</v>
      </c>
      <c r="D30" s="38">
        <f ca="1"/>
        <v>75.750181724237592</v>
      </c>
      <c r="E30" s="2">
        <v>30</v>
      </c>
      <c r="F30" s="2">
        <v>1</v>
      </c>
      <c r="G30" s="2">
        <v>5</v>
      </c>
      <c r="H30" s="38">
        <f ca="1"/>
        <v>70.750181724237592</v>
      </c>
    </row>
    <row r="31" spans="1:8" x14ac:dyDescent="0.2">
      <c r="A31" s="2">
        <v>30</v>
      </c>
      <c r="D31" s="38">
        <f ca="1"/>
        <v>79.945062890226282</v>
      </c>
      <c r="E31" s="2">
        <v>31</v>
      </c>
      <c r="F31" s="2">
        <v>1</v>
      </c>
      <c r="G31" s="2">
        <v>5</v>
      </c>
      <c r="H31" s="38">
        <f ca="1"/>
        <v>74.945062890226282</v>
      </c>
    </row>
    <row r="32" spans="1:8" x14ac:dyDescent="0.2">
      <c r="A32" s="2">
        <v>31</v>
      </c>
      <c r="D32" s="38">
        <f ca="1"/>
        <v>76.389466660542098</v>
      </c>
      <c r="E32" s="2">
        <v>32</v>
      </c>
      <c r="F32" s="2">
        <v>1</v>
      </c>
      <c r="G32" s="2">
        <v>5</v>
      </c>
      <c r="H32" s="38">
        <f ca="1"/>
        <v>71.389466660542098</v>
      </c>
    </row>
    <row r="33" spans="1:8" x14ac:dyDescent="0.2">
      <c r="A33" s="2">
        <v>32</v>
      </c>
      <c r="D33" s="38">
        <f ca="1"/>
        <v>79.074278493224938</v>
      </c>
      <c r="E33" s="2">
        <v>33</v>
      </c>
      <c r="F33" s="2">
        <v>1</v>
      </c>
      <c r="G33" s="2">
        <v>5</v>
      </c>
      <c r="H33" s="38">
        <f ca="1"/>
        <v>74.074278493224938</v>
      </c>
    </row>
    <row r="34" spans="1:8" x14ac:dyDescent="0.2">
      <c r="A34" s="2">
        <v>33</v>
      </c>
      <c r="D34" s="38">
        <f ca="1"/>
        <v>80.352672350022502</v>
      </c>
      <c r="E34" s="2">
        <v>34</v>
      </c>
      <c r="F34" s="2">
        <v>1</v>
      </c>
      <c r="G34" s="2">
        <v>5</v>
      </c>
      <c r="H34" s="38">
        <f ca="1"/>
        <v>75.352672350022502</v>
      </c>
    </row>
    <row r="35" spans="1:8" x14ac:dyDescent="0.2">
      <c r="A35" s="2">
        <v>34</v>
      </c>
      <c r="D35" s="38">
        <f ca="1"/>
        <v>82.54085242933597</v>
      </c>
      <c r="E35" s="2">
        <v>35</v>
      </c>
      <c r="F35" s="2">
        <v>1</v>
      </c>
      <c r="G35" s="2">
        <v>5</v>
      </c>
      <c r="H35" s="38">
        <f ca="1"/>
        <v>77.54085242933597</v>
      </c>
    </row>
    <row r="36" spans="1:8" x14ac:dyDescent="0.2">
      <c r="A36" s="2">
        <v>35</v>
      </c>
      <c r="D36" s="38">
        <f ca="1"/>
        <v>82.915173036081057</v>
      </c>
      <c r="E36" s="2">
        <v>36</v>
      </c>
      <c r="F36" s="2">
        <v>1</v>
      </c>
      <c r="G36" s="2">
        <v>5</v>
      </c>
      <c r="H36" s="38">
        <f ca="1"/>
        <v>77.915173036081057</v>
      </c>
    </row>
    <row r="37" spans="1:8" x14ac:dyDescent="0.2">
      <c r="A37" s="2">
        <v>36</v>
      </c>
      <c r="D37" s="38">
        <f ca="1"/>
        <v>77.171085439905426</v>
      </c>
      <c r="E37" s="2">
        <v>37</v>
      </c>
      <c r="F37" s="2">
        <v>1</v>
      </c>
      <c r="G37" s="2">
        <v>5</v>
      </c>
      <c r="H37" s="38">
        <f ca="1"/>
        <v>72.171085439905426</v>
      </c>
    </row>
    <row r="38" spans="1:8" x14ac:dyDescent="0.2">
      <c r="A38" s="2">
        <v>37</v>
      </c>
      <c r="D38" s="38">
        <f ca="1"/>
        <v>75.338124030197562</v>
      </c>
      <c r="E38" s="2">
        <v>38</v>
      </c>
      <c r="F38" s="2">
        <v>1</v>
      </c>
      <c r="G38" s="2">
        <v>5</v>
      </c>
      <c r="H38" s="38">
        <f ca="1"/>
        <v>70.338124030197562</v>
      </c>
    </row>
    <row r="39" spans="1:8" x14ac:dyDescent="0.2">
      <c r="A39" s="2">
        <v>38</v>
      </c>
      <c r="D39" s="38">
        <f ca="1"/>
        <v>82.432898458858745</v>
      </c>
      <c r="E39" s="2">
        <v>39</v>
      </c>
      <c r="F39" s="2">
        <v>1</v>
      </c>
      <c r="G39" s="2">
        <v>5</v>
      </c>
      <c r="H39" s="38">
        <f ca="1"/>
        <v>77.432898458858745</v>
      </c>
    </row>
    <row r="40" spans="1:8" x14ac:dyDescent="0.2">
      <c r="A40" s="2">
        <v>39</v>
      </c>
      <c r="D40" s="38">
        <f ca="1"/>
        <v>79.078990071566636</v>
      </c>
      <c r="E40" s="2">
        <v>40</v>
      </c>
      <c r="F40" s="2">
        <v>1</v>
      </c>
      <c r="G40" s="2">
        <v>5</v>
      </c>
      <c r="H40" s="38">
        <f ca="1"/>
        <v>74.078990071566636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9</xdr:col>
                    <xdr:colOff>520700</xdr:colOff>
                    <xdr:row>2</xdr:row>
                    <xdr:rowOff>152400</xdr:rowOff>
                  </from>
                  <to>
                    <xdr:col>11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M16" sqref="M16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45685.858523379633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I8" s="2"/>
      <c r="J8" s="2"/>
      <c r="K8" s="2"/>
      <c r="L8" s="2"/>
      <c r="M8" s="2"/>
    </row>
    <row r="9" spans="1:13" x14ac:dyDescent="0.2">
      <c r="A9" s="31"/>
      <c r="B9" s="2"/>
      <c r="C9" s="28"/>
      <c r="D9" s="28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 t="s">
        <v>29</v>
      </c>
      <c r="E10" s="2" t="s">
        <v>27</v>
      </c>
      <c r="F10" s="2"/>
      <c r="G10" s="14" t="s">
        <v>47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13" x14ac:dyDescent="0.2">
      <c r="B11" s="2"/>
      <c r="C11" s="2" t="s">
        <v>5</v>
      </c>
      <c r="D11" s="2">
        <f>calculs_intermediaires!C18</f>
        <v>75.5</v>
      </c>
      <c r="G11" s="32" t="s">
        <v>49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13" x14ac:dyDescent="0.2">
      <c r="B12" s="2"/>
      <c r="C12" s="2" t="s">
        <v>9</v>
      </c>
      <c r="D12" s="2">
        <f>calculs_intermediaires!C19</f>
        <v>71</v>
      </c>
      <c r="E12" s="28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showGridLines="0" topLeftCell="S1" zoomScale="106" workbookViewId="0">
      <selection activeCell="AB3" sqref="AB3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90</v>
      </c>
      <c r="V2" s="3">
        <v>10</v>
      </c>
      <c r="X2" s="2" t="s">
        <v>91</v>
      </c>
      <c r="Y2" s="25">
        <f>F5-V2+1</f>
        <v>31</v>
      </c>
      <c r="Z2"/>
      <c r="AA2" s="2" t="s">
        <v>94</v>
      </c>
      <c r="AB2" s="39">
        <f ca="1">AVERAGE(OFFSET($AB$7, 0, 0, V2, 1))</f>
        <v>74.52386038599613</v>
      </c>
      <c r="AE2" s="6" t="s">
        <v>53</v>
      </c>
      <c r="AG2" s="46">
        <v>10</v>
      </c>
    </row>
    <row r="3" spans="2:35" x14ac:dyDescent="0.2">
      <c r="E3" s="14" t="s">
        <v>52</v>
      </c>
      <c r="F3" s="44">
        <f>ROW(data_brute!A2)</f>
        <v>2</v>
      </c>
      <c r="U3"/>
      <c r="V3"/>
      <c r="W3"/>
      <c r="X3" s="2" t="s">
        <v>92</v>
      </c>
      <c r="Y3" s="27">
        <f>F5</f>
        <v>40</v>
      </c>
      <c r="Z3"/>
      <c r="AA3" s="2" t="s">
        <v>93</v>
      </c>
      <c r="AB3" s="38">
        <f ca="1">AVERAGE(data_brute!H:H)</f>
        <v>74.205962269739487</v>
      </c>
    </row>
    <row r="4" spans="2:35" x14ac:dyDescent="0.2">
      <c r="B4" s="2" t="s">
        <v>6</v>
      </c>
      <c r="C4" s="23">
        <f>interface!C6</f>
        <v>80</v>
      </c>
      <c r="E4" s="14" t="s">
        <v>54</v>
      </c>
      <c r="F4" s="45">
        <f>COUNTA(data_brute!A:A)-1</f>
        <v>39</v>
      </c>
      <c r="M4" s="14" t="s">
        <v>28</v>
      </c>
      <c r="N4" s="35">
        <f>F4</f>
        <v>39</v>
      </c>
      <c r="O4" s="14"/>
      <c r="P4" s="14" t="s">
        <v>58</v>
      </c>
      <c r="Q4" s="2">
        <f>N4-SUMIFS(Q7:Q100,R7:R100,FALSE)</f>
        <v>39</v>
      </c>
      <c r="AI4" s="2"/>
    </row>
    <row r="5" spans="2:35" x14ac:dyDescent="0.2">
      <c r="E5" s="14" t="s">
        <v>55</v>
      </c>
      <c r="F5" s="2">
        <f>F3+F4-1</f>
        <v>40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45</v>
      </c>
      <c r="P6" s="4" t="s">
        <v>46</v>
      </c>
      <c r="Q6" s="4" t="s">
        <v>48</v>
      </c>
      <c r="R6" s="4" t="s">
        <v>16</v>
      </c>
      <c r="U6" s="60" t="str">
        <f>data_brute!A1</f>
        <v>Pesée</v>
      </c>
      <c r="V6" s="60" t="str">
        <f>data_brute!B1</f>
        <v>Date</v>
      </c>
      <c r="W6" s="60" t="str">
        <f>data_brute!C1</f>
        <v>Heure</v>
      </c>
      <c r="X6" s="60" t="str">
        <f>data_brute!D1</f>
        <v>Poids Brut</v>
      </c>
      <c r="Y6" s="60" t="str">
        <f>data_brute!E1</f>
        <v>Ligne</v>
      </c>
      <c r="Z6" s="60" t="str">
        <f>data_brute!F1</f>
        <v>Bobine</v>
      </c>
      <c r="AA6" s="60" t="str">
        <f>data_brute!G1</f>
        <v>Tare</v>
      </c>
      <c r="AB6" s="60" t="str">
        <f>data_brute!H1</f>
        <v>Poids net</v>
      </c>
      <c r="AE6" s="60" t="s">
        <v>51</v>
      </c>
      <c r="AF6" s="60" t="s">
        <v>46</v>
      </c>
      <c r="AG6" s="62" t="s">
        <v>50</v>
      </c>
      <c r="AH6" s="60" t="s">
        <v>56</v>
      </c>
    </row>
    <row r="7" spans="2:35" ht="17" thickTop="1" x14ac:dyDescent="0.2">
      <c r="M7" s="2">
        <v>1</v>
      </c>
      <c r="N7" s="2">
        <v>5</v>
      </c>
      <c r="O7" s="28">
        <f>F3</f>
        <v>2</v>
      </c>
      <c r="P7" s="2">
        <f>O7+N4-1</f>
        <v>40</v>
      </c>
      <c r="Q7" s="2">
        <f>P7-O7+1</f>
        <v>39</v>
      </c>
      <c r="R7" s="2" t="b">
        <v>1</v>
      </c>
      <c r="U7" s="59" cm="1">
        <f t="array" aca="1" ref="U7:AB16" ca="1">_xlfn._xlws.FILTER(data_brute!A:H,(data_brute!E:E&gt;=Y2)*(data_brute!E:E&lt;=Y3),"")</f>
        <v>30</v>
      </c>
      <c r="V7" s="56">
        <f ca="1"/>
        <v>0</v>
      </c>
      <c r="W7" s="57">
        <f ca="1"/>
        <v>0</v>
      </c>
      <c r="X7" s="58">
        <f ca="1"/>
        <v>79.945062890226282</v>
      </c>
      <c r="Y7" s="2">
        <f ca="1"/>
        <v>31</v>
      </c>
      <c r="Z7" s="2">
        <f ca="1"/>
        <v>1</v>
      </c>
      <c r="AA7" s="2">
        <f ca="1"/>
        <v>5</v>
      </c>
      <c r="AB7" s="38">
        <f ca="1"/>
        <v>74.945062890226282</v>
      </c>
      <c r="AE7" s="2">
        <f>F3</f>
        <v>2</v>
      </c>
      <c r="AF7" s="61">
        <f>AE7+$AG$2-1</f>
        <v>11</v>
      </c>
      <c r="AG7" s="38">
        <f ca="1">IFERROR(AVERAGEIFS(data_brute!H:H,data_brute!E:E,"&gt;="&amp;AE7,data_brute!E:E,"&lt;="&amp;AF7),NA())</f>
        <v>73.836812834625078</v>
      </c>
      <c r="AH7" s="61">
        <f ca="1">IF(AG7&lt;&gt;"",$AG$2*(ROW()-ROW($AH$6)),NA())</f>
        <v>10</v>
      </c>
    </row>
    <row r="8" spans="2:35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31</v>
      </c>
      <c r="V8" s="56">
        <f ca="1"/>
        <v>0</v>
      </c>
      <c r="W8" s="57">
        <f ca="1"/>
        <v>0</v>
      </c>
      <c r="X8" s="58">
        <f ca="1"/>
        <v>76.389466660542098</v>
      </c>
      <c r="Y8" s="2">
        <f ca="1"/>
        <v>32</v>
      </c>
      <c r="Z8" s="2">
        <f ca="1"/>
        <v>1</v>
      </c>
      <c r="AA8" s="2">
        <f ca="1"/>
        <v>5</v>
      </c>
      <c r="AB8" s="38">
        <f ca="1"/>
        <v>71.389466660542098</v>
      </c>
      <c r="AE8" s="61">
        <f>AF7+1</f>
        <v>12</v>
      </c>
      <c r="AF8" s="61">
        <f>AE8+$AG$2-1</f>
        <v>21</v>
      </c>
      <c r="AG8" s="38">
        <f ca="1">IFERROR(AVERAGEIFS(data_brute!H:H,data_brute!E:E,"&gt;="&amp;AE8,data_brute!E:E,"&lt;="&amp;AF8),NA())</f>
        <v>74.723082498176367</v>
      </c>
      <c r="AH8" s="61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32</v>
      </c>
      <c r="V9" s="56">
        <f ca="1"/>
        <v>0</v>
      </c>
      <c r="W9" s="57">
        <f ca="1"/>
        <v>0</v>
      </c>
      <c r="X9" s="58">
        <f ca="1"/>
        <v>79.074278493224938</v>
      </c>
      <c r="Y9" s="2">
        <f ca="1"/>
        <v>33</v>
      </c>
      <c r="Z9" s="2">
        <f ca="1"/>
        <v>1</v>
      </c>
      <c r="AA9" s="2">
        <f ca="1"/>
        <v>5</v>
      </c>
      <c r="AB9" s="38">
        <f ca="1"/>
        <v>74.074278493224938</v>
      </c>
      <c r="AE9" s="61">
        <f t="shared" ref="AE9:AE42" si="0">AF8+1</f>
        <v>22</v>
      </c>
      <c r="AF9" s="61">
        <f t="shared" ref="AF9:AF42" si="1">AE9+$AG$2-1</f>
        <v>31</v>
      </c>
      <c r="AG9" s="38">
        <f ca="1">IFERROR(AVERAGEIFS(data_brute!H:H,data_brute!E:E,"&gt;="&amp;AE9,data_brute!E:E,"&lt;="&amp;AF9),NA())</f>
        <v>73.814003422209126</v>
      </c>
      <c r="AH9" s="61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33</v>
      </c>
      <c r="V10" s="56">
        <f ca="1"/>
        <v>0</v>
      </c>
      <c r="W10" s="57">
        <f ca="1"/>
        <v>0</v>
      </c>
      <c r="X10" s="58">
        <f ca="1"/>
        <v>80.352672350022502</v>
      </c>
      <c r="Y10" s="2">
        <f ca="1"/>
        <v>34</v>
      </c>
      <c r="Z10" s="2">
        <f ca="1"/>
        <v>1</v>
      </c>
      <c r="AA10" s="2">
        <f ca="1"/>
        <v>5</v>
      </c>
      <c r="AB10" s="38">
        <f ca="1"/>
        <v>75.352672350022502</v>
      </c>
      <c r="AE10" s="61">
        <f t="shared" si="0"/>
        <v>32</v>
      </c>
      <c r="AF10" s="61">
        <f t="shared" si="1"/>
        <v>41</v>
      </c>
      <c r="AG10" s="38">
        <f ca="1">IFERROR(AVERAGEIFS(data_brute!H:H,data_brute!E:E,"&gt;="&amp;AE10,data_brute!E:E,"&lt;="&amp;AF10),NA())</f>
        <v>74.477060107748329</v>
      </c>
      <c r="AH10" s="61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34</v>
      </c>
      <c r="V11" s="56">
        <f ca="1"/>
        <v>0</v>
      </c>
      <c r="W11" s="57">
        <f ca="1"/>
        <v>0</v>
      </c>
      <c r="X11" s="58">
        <f ca="1"/>
        <v>82.54085242933597</v>
      </c>
      <c r="Y11" s="2">
        <f ca="1"/>
        <v>35</v>
      </c>
      <c r="Z11" s="2">
        <f ca="1"/>
        <v>1</v>
      </c>
      <c r="AA11" s="2">
        <f ca="1"/>
        <v>5</v>
      </c>
      <c r="AB11" s="38">
        <f ca="1"/>
        <v>77.54085242933597</v>
      </c>
      <c r="AE11" s="61">
        <f t="shared" si="0"/>
        <v>42</v>
      </c>
      <c r="AF11" s="61">
        <f t="shared" si="1"/>
        <v>51</v>
      </c>
      <c r="AG11" s="38" t="e">
        <f>IFERROR(AVERAGEIFS(data_brute!H:H,data_brute!E:E,"&gt;="&amp;AE11,data_brute!E:E,"&lt;="&amp;AF11),NA())</f>
        <v>#N/A</v>
      </c>
      <c r="AH11" s="61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35</v>
      </c>
      <c r="V12" s="56">
        <f ca="1"/>
        <v>0</v>
      </c>
      <c r="W12" s="57">
        <f ca="1"/>
        <v>0</v>
      </c>
      <c r="X12" s="58">
        <f ca="1"/>
        <v>82.915173036081057</v>
      </c>
      <c r="Y12" s="2">
        <f ca="1"/>
        <v>36</v>
      </c>
      <c r="Z12" s="2">
        <f ca="1"/>
        <v>1</v>
      </c>
      <c r="AA12" s="2">
        <f ca="1"/>
        <v>5</v>
      </c>
      <c r="AB12" s="38">
        <f ca="1"/>
        <v>77.915173036081057</v>
      </c>
      <c r="AE12" s="61">
        <f t="shared" si="0"/>
        <v>52</v>
      </c>
      <c r="AF12" s="61">
        <f t="shared" si="1"/>
        <v>61</v>
      </c>
      <c r="AG12" s="38" t="e">
        <f>IFERROR(AVERAGEIFS(data_brute!H:H,data_brute!E:E,"&gt;="&amp;AE12,data_brute!E:E,"&lt;="&amp;AF12),NA())</f>
        <v>#N/A</v>
      </c>
      <c r="AH12" s="61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36</v>
      </c>
      <c r="V13" s="56">
        <f ca="1"/>
        <v>0</v>
      </c>
      <c r="W13" s="57">
        <f ca="1"/>
        <v>0</v>
      </c>
      <c r="X13" s="58">
        <f ca="1"/>
        <v>77.171085439905426</v>
      </c>
      <c r="Y13" s="2">
        <f ca="1"/>
        <v>37</v>
      </c>
      <c r="Z13" s="2">
        <f ca="1"/>
        <v>1</v>
      </c>
      <c r="AA13" s="2">
        <f ca="1"/>
        <v>5</v>
      </c>
      <c r="AB13" s="38">
        <f ca="1"/>
        <v>72.171085439905426</v>
      </c>
      <c r="AE13" s="61">
        <f t="shared" si="0"/>
        <v>62</v>
      </c>
      <c r="AF13" s="61">
        <f t="shared" si="1"/>
        <v>71</v>
      </c>
      <c r="AG13" s="38" t="e">
        <f>IFERROR(AVERAGEIFS(data_brute!H:H,data_brute!E:E,"&gt;="&amp;AE13,data_brute!E:E,"&lt;="&amp;AF13),NA())</f>
        <v>#N/A</v>
      </c>
      <c r="AH13" s="61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37</v>
      </c>
      <c r="V14" s="56">
        <f ca="1"/>
        <v>0</v>
      </c>
      <c r="W14" s="57">
        <f ca="1"/>
        <v>0</v>
      </c>
      <c r="X14" s="58">
        <f ca="1"/>
        <v>75.338124030197562</v>
      </c>
      <c r="Y14" s="2">
        <f ca="1"/>
        <v>38</v>
      </c>
      <c r="Z14" s="2">
        <f ca="1"/>
        <v>1</v>
      </c>
      <c r="AA14" s="2">
        <f ca="1"/>
        <v>5</v>
      </c>
      <c r="AB14" s="38">
        <f ca="1"/>
        <v>70.338124030197562</v>
      </c>
      <c r="AE14" s="61">
        <f t="shared" si="0"/>
        <v>72</v>
      </c>
      <c r="AF14" s="61">
        <f t="shared" si="1"/>
        <v>81</v>
      </c>
      <c r="AG14" s="38" t="e">
        <f>IFERROR(AVERAGEIFS(data_brute!H:H,data_brute!E:E,"&gt;="&amp;AE14,data_brute!E:E,"&lt;="&amp;AF14),NA())</f>
        <v>#N/A</v>
      </c>
      <c r="AH14" s="61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38</v>
      </c>
      <c r="V15" s="56">
        <f ca="1"/>
        <v>0</v>
      </c>
      <c r="W15" s="57">
        <f ca="1"/>
        <v>0</v>
      </c>
      <c r="X15" s="58">
        <f ca="1"/>
        <v>82.432898458858745</v>
      </c>
      <c r="Y15" s="2">
        <f ca="1"/>
        <v>39</v>
      </c>
      <c r="Z15" s="2">
        <f ca="1"/>
        <v>1</v>
      </c>
      <c r="AA15" s="2">
        <f ca="1"/>
        <v>5</v>
      </c>
      <c r="AB15" s="38">
        <f ca="1"/>
        <v>77.432898458858745</v>
      </c>
      <c r="AE15" s="61">
        <f t="shared" si="0"/>
        <v>82</v>
      </c>
      <c r="AF15" s="61">
        <f t="shared" si="1"/>
        <v>91</v>
      </c>
      <c r="AG15" s="38" t="e">
        <f>IFERROR(AVERAGEIFS(data_brute!H:H,data_brute!E:E,"&gt;="&amp;AE15,data_brute!E:E,"&lt;="&amp;AF15),NA())</f>
        <v>#N/A</v>
      </c>
      <c r="AH15" s="61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39</v>
      </c>
      <c r="V16" s="56">
        <f ca="1"/>
        <v>0</v>
      </c>
      <c r="W16" s="57">
        <f ca="1"/>
        <v>0</v>
      </c>
      <c r="X16" s="58">
        <f ca="1"/>
        <v>79.078990071566636</v>
      </c>
      <c r="Y16" s="2">
        <f ca="1"/>
        <v>40</v>
      </c>
      <c r="Z16" s="2">
        <f ca="1"/>
        <v>1</v>
      </c>
      <c r="AA16" s="2">
        <f ca="1"/>
        <v>5</v>
      </c>
      <c r="AB16" s="38">
        <f ca="1"/>
        <v>74.078990071566636</v>
      </c>
      <c r="AE16" s="61">
        <f t="shared" si="0"/>
        <v>92</v>
      </c>
      <c r="AF16" s="61">
        <f t="shared" si="1"/>
        <v>101</v>
      </c>
      <c r="AG16" s="38" t="e">
        <f>IFERROR(AVERAGEIFS(data_brute!H:H,data_brute!E:E,"&gt;="&amp;AE16,data_brute!E:E,"&lt;="&amp;AF16),NA())</f>
        <v>#N/A</v>
      </c>
      <c r="AH16" s="61" t="e">
        <f t="shared" si="2"/>
        <v>#N/A</v>
      </c>
    </row>
    <row r="17" spans="2:34" x14ac:dyDescent="0.2">
      <c r="U17" s="5"/>
      <c r="AE17" s="61">
        <f t="shared" si="0"/>
        <v>102</v>
      </c>
      <c r="AF17" s="61">
        <f t="shared" si="1"/>
        <v>111</v>
      </c>
      <c r="AG17" s="38" t="e">
        <f>IFERROR(AVERAGEIFS(data_brute!H:H,data_brute!E:E,"&gt;="&amp;AE17,data_brute!E:E,"&lt;="&amp;AF17),NA())</f>
        <v>#N/A</v>
      </c>
      <c r="AH17" s="61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1">
        <f t="shared" si="0"/>
        <v>112</v>
      </c>
      <c r="AF18" s="61">
        <f t="shared" si="1"/>
        <v>121</v>
      </c>
      <c r="AG18" s="38" t="e">
        <f>IFERROR(AVERAGEIFS(data_brute!H:H,data_brute!E:E,"&gt;="&amp;AE18,data_brute!E:E,"&lt;="&amp;AF18),NA())</f>
        <v>#N/A</v>
      </c>
      <c r="AH18" s="61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1">
        <f t="shared" si="0"/>
        <v>122</v>
      </c>
      <c r="AF19" s="61">
        <f t="shared" si="1"/>
        <v>131</v>
      </c>
      <c r="AG19" s="38" t="e">
        <f>IFERROR(AVERAGEIFS(data_brute!H:H,data_brute!E:E,"&gt;="&amp;AE19,data_brute!E:E,"&lt;="&amp;AF19),NA())</f>
        <v>#N/A</v>
      </c>
      <c r="AH19" s="61" t="e">
        <f t="shared" si="2"/>
        <v>#N/A</v>
      </c>
    </row>
    <row r="20" spans="2:34" x14ac:dyDescent="0.2">
      <c r="AE20" s="61">
        <f t="shared" si="0"/>
        <v>132</v>
      </c>
      <c r="AF20" s="61">
        <f t="shared" si="1"/>
        <v>141</v>
      </c>
      <c r="AG20" s="38" t="e">
        <f>IFERROR(AVERAGEIFS(data_brute!H:H,data_brute!E:E,"&gt;="&amp;AE20,data_brute!E:E,"&lt;="&amp;AF20),NA())</f>
        <v>#N/A</v>
      </c>
      <c r="AH20" s="61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1">
        <f t="shared" si="0"/>
        <v>142</v>
      </c>
      <c r="AF21" s="61">
        <f t="shared" si="1"/>
        <v>151</v>
      </c>
      <c r="AG21" s="38" t="e">
        <f>IFERROR(AVERAGEIFS(data_brute!H:H,data_brute!E:E,"&gt;="&amp;AE21,data_brute!E:E,"&lt;="&amp;AF21),NA())</f>
        <v>#N/A</v>
      </c>
      <c r="AH21" s="61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1">
        <f t="shared" si="0"/>
        <v>152</v>
      </c>
      <c r="AF22" s="61">
        <f t="shared" si="1"/>
        <v>161</v>
      </c>
      <c r="AG22" s="38" t="e">
        <f>IFERROR(AVERAGEIFS(data_brute!H:H,data_brute!E:E,"&gt;="&amp;AE22,data_brute!E:E,"&lt;="&amp;AF22),NA())</f>
        <v>#N/A</v>
      </c>
      <c r="AH22" s="61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1">
        <f t="shared" si="0"/>
        <v>162</v>
      </c>
      <c r="AF23" s="61">
        <f t="shared" si="1"/>
        <v>171</v>
      </c>
      <c r="AG23" s="38" t="e">
        <f>IFERROR(AVERAGEIFS(data_brute!H:H,data_brute!E:E,"&gt;="&amp;AE23,data_brute!E:E,"&lt;="&amp;AF23),NA())</f>
        <v>#N/A</v>
      </c>
      <c r="AH23" s="61" t="e">
        <f t="shared" si="2"/>
        <v>#N/A</v>
      </c>
    </row>
    <row r="24" spans="2:34" x14ac:dyDescent="0.2">
      <c r="AE24" s="61">
        <f t="shared" si="0"/>
        <v>172</v>
      </c>
      <c r="AF24" s="61">
        <f t="shared" si="1"/>
        <v>181</v>
      </c>
      <c r="AG24" s="38" t="e">
        <f>IFERROR(AVERAGEIFS(data_brute!H:H,data_brute!E:E,"&gt;="&amp;AE24,data_brute!E:E,"&lt;="&amp;AF24),NA())</f>
        <v>#N/A</v>
      </c>
      <c r="AH24" s="61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1">
        <f t="shared" si="0"/>
        <v>182</v>
      </c>
      <c r="AF25" s="61">
        <f t="shared" si="1"/>
        <v>191</v>
      </c>
      <c r="AG25" s="38" t="e">
        <f>IFERROR(AVERAGEIFS(data_brute!H:H,data_brute!E:E,"&gt;="&amp;AE25,data_brute!E:E,"&lt;="&amp;AF25),NA())</f>
        <v>#N/A</v>
      </c>
      <c r="AH25" s="61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1">
        <f t="shared" si="0"/>
        <v>192</v>
      </c>
      <c r="AF26" s="61">
        <f t="shared" si="1"/>
        <v>201</v>
      </c>
      <c r="AG26" s="38" t="e">
        <f>IFERROR(AVERAGEIFS(data_brute!H:H,data_brute!E:E,"&gt;="&amp;AE26,data_brute!E:E,"&lt;="&amp;AF26),NA())</f>
        <v>#N/A</v>
      </c>
      <c r="AH26" s="61" t="e">
        <f t="shared" si="2"/>
        <v>#N/A</v>
      </c>
    </row>
    <row r="27" spans="2:34" x14ac:dyDescent="0.2">
      <c r="AE27" s="61">
        <f t="shared" si="0"/>
        <v>202</v>
      </c>
      <c r="AF27" s="61">
        <f t="shared" si="1"/>
        <v>211</v>
      </c>
      <c r="AG27" s="38" t="e">
        <f>IFERROR(AVERAGEIFS(data_brute!H:H,data_brute!E:E,"&gt;="&amp;AE27,data_brute!E:E,"&lt;="&amp;AF27),NA())</f>
        <v>#N/A</v>
      </c>
      <c r="AH27" s="61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1">
        <f t="shared" si="0"/>
        <v>212</v>
      </c>
      <c r="AF28" s="61">
        <f t="shared" si="1"/>
        <v>221</v>
      </c>
      <c r="AG28" s="38" t="e">
        <f>IFERROR(AVERAGEIFS(data_brute!H:H,data_brute!E:E,"&gt;="&amp;AE28,data_brute!E:E,"&lt;="&amp;AF28),NA())</f>
        <v>#N/A</v>
      </c>
      <c r="AH28" s="61" t="e">
        <f t="shared" si="2"/>
        <v>#N/A</v>
      </c>
    </row>
    <row r="29" spans="2:34" x14ac:dyDescent="0.2">
      <c r="B29" s="2"/>
      <c r="C29" s="2"/>
      <c r="AE29" s="61">
        <f t="shared" si="0"/>
        <v>222</v>
      </c>
      <c r="AF29" s="61">
        <f t="shared" si="1"/>
        <v>231</v>
      </c>
      <c r="AG29" s="38" t="e">
        <f>IFERROR(AVERAGEIFS(data_brute!H:H,data_brute!E:E,"&gt;="&amp;AE29,data_brute!E:E,"&lt;="&amp;AF29),NA())</f>
        <v>#N/A</v>
      </c>
      <c r="AH29" s="61" t="e">
        <f t="shared" si="2"/>
        <v>#N/A</v>
      </c>
    </row>
    <row r="30" spans="2:34" x14ac:dyDescent="0.2">
      <c r="AE30" s="61">
        <f t="shared" si="0"/>
        <v>232</v>
      </c>
      <c r="AF30" s="61">
        <f t="shared" si="1"/>
        <v>241</v>
      </c>
      <c r="AG30" s="38" t="e">
        <f>IFERROR(AVERAGEIFS(data_brute!H:H,data_brute!E:E,"&gt;="&amp;AE30,data_brute!E:E,"&lt;="&amp;AF30),NA())</f>
        <v>#N/A</v>
      </c>
      <c r="AH30" s="61" t="e">
        <f t="shared" si="2"/>
        <v>#N/A</v>
      </c>
    </row>
    <row r="31" spans="2:34" x14ac:dyDescent="0.2">
      <c r="B31" s="31"/>
      <c r="AE31" s="61">
        <f t="shared" si="0"/>
        <v>242</v>
      </c>
      <c r="AF31" s="61">
        <f t="shared" si="1"/>
        <v>251</v>
      </c>
      <c r="AG31" s="38" t="e">
        <f>IFERROR(AVERAGEIFS(data_brute!H:H,data_brute!E:E,"&gt;="&amp;AE31,data_brute!E:E,"&lt;="&amp;AF31),NA())</f>
        <v>#N/A</v>
      </c>
      <c r="AH31" s="61" t="e">
        <f t="shared" si="2"/>
        <v>#N/A</v>
      </c>
    </row>
    <row r="32" spans="2:34" x14ac:dyDescent="0.2">
      <c r="AE32" s="61">
        <f t="shared" si="0"/>
        <v>252</v>
      </c>
      <c r="AF32" s="61">
        <f t="shared" si="1"/>
        <v>261</v>
      </c>
      <c r="AG32" s="38" t="e">
        <f>IFERROR(AVERAGEIFS(data_brute!H:H,data_brute!E:E,"&gt;="&amp;AE32,data_brute!E:E,"&lt;="&amp;AF32),NA())</f>
        <v>#N/A</v>
      </c>
      <c r="AH32" s="61" t="e">
        <f t="shared" si="2"/>
        <v>#N/A</v>
      </c>
    </row>
    <row r="33" spans="11:34" x14ac:dyDescent="0.2">
      <c r="AE33" s="61">
        <f t="shared" si="0"/>
        <v>262</v>
      </c>
      <c r="AF33" s="61">
        <f t="shared" si="1"/>
        <v>271</v>
      </c>
      <c r="AG33" s="38" t="e">
        <f>IFERROR(AVERAGEIFS(data_brute!H:H,data_brute!E:E,"&gt;="&amp;AE33,data_brute!E:E,"&lt;="&amp;AF33),NA())</f>
        <v>#N/A</v>
      </c>
      <c r="AH33" s="61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1">
        <f t="shared" si="0"/>
        <v>272</v>
      </c>
      <c r="AF34" s="61">
        <f t="shared" si="1"/>
        <v>281</v>
      </c>
      <c r="AG34" s="38" t="e">
        <f>IFERROR(AVERAGEIFS(data_brute!H:H,data_brute!E:E,"&gt;="&amp;AE34,data_brute!E:E,"&lt;="&amp;AF34),NA())</f>
        <v>#N/A</v>
      </c>
      <c r="AH34" s="61" t="e">
        <f t="shared" si="2"/>
        <v>#N/A</v>
      </c>
    </row>
    <row r="35" spans="11:34" x14ac:dyDescent="0.2">
      <c r="AE35" s="61">
        <f t="shared" si="0"/>
        <v>282</v>
      </c>
      <c r="AF35" s="61">
        <f t="shared" si="1"/>
        <v>291</v>
      </c>
      <c r="AG35" s="38" t="e">
        <f>IFERROR(AVERAGEIFS(data_brute!H:H,data_brute!E:E,"&gt;="&amp;AE35,data_brute!E:E,"&lt;="&amp;AF35),NA())</f>
        <v>#N/A</v>
      </c>
      <c r="AH35" s="61" t="e">
        <f t="shared" si="2"/>
        <v>#N/A</v>
      </c>
    </row>
    <row r="36" spans="11:34" x14ac:dyDescent="0.2">
      <c r="AE36" s="61">
        <f t="shared" si="0"/>
        <v>292</v>
      </c>
      <c r="AF36" s="61">
        <f t="shared" si="1"/>
        <v>301</v>
      </c>
      <c r="AG36" s="38" t="e">
        <f>IFERROR(AVERAGEIFS(data_brute!H:H,data_brute!E:E,"&gt;="&amp;AE36,data_brute!E:E,"&lt;="&amp;AF36),NA())</f>
        <v>#N/A</v>
      </c>
      <c r="AH36" s="61" t="e">
        <f t="shared" si="2"/>
        <v>#N/A</v>
      </c>
    </row>
    <row r="37" spans="11:34" x14ac:dyDescent="0.2">
      <c r="AE37" s="61">
        <f t="shared" si="0"/>
        <v>302</v>
      </c>
      <c r="AF37" s="61">
        <f t="shared" si="1"/>
        <v>311</v>
      </c>
      <c r="AG37" s="38" t="e">
        <f>IFERROR(AVERAGEIFS(data_brute!H:H,data_brute!E:E,"&gt;="&amp;AE37,data_brute!E:E,"&lt;="&amp;AF37),NA())</f>
        <v>#N/A</v>
      </c>
      <c r="AH37" s="61" t="e">
        <f t="shared" si="2"/>
        <v>#N/A</v>
      </c>
    </row>
    <row r="38" spans="11:34" x14ac:dyDescent="0.2">
      <c r="AE38" s="61">
        <f t="shared" si="0"/>
        <v>312</v>
      </c>
      <c r="AF38" s="61">
        <f t="shared" si="1"/>
        <v>321</v>
      </c>
      <c r="AG38" s="38" t="e">
        <f>IFERROR(AVERAGEIFS(data_brute!H:H,data_brute!E:E,"&gt;="&amp;AE38,data_brute!E:E,"&lt;="&amp;AF38),NA())</f>
        <v>#N/A</v>
      </c>
      <c r="AH38" s="61" t="e">
        <f t="shared" si="2"/>
        <v>#N/A</v>
      </c>
    </row>
    <row r="39" spans="11:34" x14ac:dyDescent="0.2">
      <c r="AE39" s="61">
        <f t="shared" si="0"/>
        <v>322</v>
      </c>
      <c r="AF39" s="61">
        <f t="shared" si="1"/>
        <v>331</v>
      </c>
      <c r="AG39" s="38" t="e">
        <f>IFERROR(AVERAGEIFS(data_brute!H:H,data_brute!E:E,"&gt;="&amp;AE39,data_brute!E:E,"&lt;="&amp;AF39),NA())</f>
        <v>#N/A</v>
      </c>
      <c r="AH39" s="61" t="e">
        <f t="shared" si="2"/>
        <v>#N/A</v>
      </c>
    </row>
    <row r="40" spans="11:34" x14ac:dyDescent="0.2">
      <c r="AE40" s="61">
        <f t="shared" si="0"/>
        <v>332</v>
      </c>
      <c r="AF40" s="61">
        <f t="shared" si="1"/>
        <v>341</v>
      </c>
      <c r="AG40" s="38" t="e">
        <f>IFERROR(AVERAGEIFS(data_brute!H:H,data_brute!E:E,"&gt;="&amp;AE40,data_brute!E:E,"&lt;="&amp;AF40),NA())</f>
        <v>#N/A</v>
      </c>
      <c r="AH40" s="61" t="e">
        <f t="shared" si="2"/>
        <v>#N/A</v>
      </c>
    </row>
    <row r="41" spans="11:34" x14ac:dyDescent="0.2">
      <c r="AE41" s="61">
        <f t="shared" si="0"/>
        <v>342</v>
      </c>
      <c r="AF41" s="61">
        <f t="shared" si="1"/>
        <v>351</v>
      </c>
      <c r="AG41" s="38" t="e">
        <f>IFERROR(AVERAGEIFS(data_brute!H:H,data_brute!E:E,"&gt;="&amp;AE41,data_brute!E:E,"&lt;="&amp;AF41),NA())</f>
        <v>#N/A</v>
      </c>
      <c r="AH41" s="61" t="e">
        <f t="shared" si="2"/>
        <v>#N/A</v>
      </c>
    </row>
    <row r="42" spans="11:34" x14ac:dyDescent="0.2">
      <c r="AE42" s="61">
        <f t="shared" si="0"/>
        <v>352</v>
      </c>
      <c r="AF42" s="61">
        <f t="shared" si="1"/>
        <v>361</v>
      </c>
      <c r="AG42" s="38" t="e">
        <f>IFERROR(AVERAGEIFS(data_brute!H:H,data_brute!E:E,"&gt;="&amp;AE42,data_brute!E:E,"&lt;="&amp;AF42),NA())</f>
        <v>#N/A</v>
      </c>
      <c r="AH42" s="61" t="e">
        <f t="shared" si="2"/>
        <v>#N/A</v>
      </c>
    </row>
    <row r="43" spans="11:34" x14ac:dyDescent="0.2">
      <c r="AE43" s="2"/>
      <c r="AF43" s="2"/>
      <c r="AG43" s="38"/>
      <c r="AH43" s="61"/>
    </row>
    <row r="44" spans="11:34" x14ac:dyDescent="0.2">
      <c r="AE44" s="2"/>
      <c r="AF44" s="2"/>
      <c r="AG44" s="38"/>
      <c r="AH44" s="61"/>
    </row>
    <row r="45" spans="11:34" x14ac:dyDescent="0.2">
      <c r="AE45" s="2"/>
      <c r="AF45" s="2"/>
      <c r="AG45" s="38"/>
      <c r="AH45" s="61"/>
    </row>
    <row r="46" spans="11:34" x14ac:dyDescent="0.2">
      <c r="AE46" s="2"/>
      <c r="AF46" s="2"/>
      <c r="AG46" s="38"/>
      <c r="AH46" s="61"/>
    </row>
    <row r="47" spans="11:34" x14ac:dyDescent="0.2">
      <c r="AE47" s="2"/>
      <c r="AF47" s="2"/>
      <c r="AG47" s="38"/>
      <c r="AH47" s="61"/>
    </row>
    <row r="48" spans="11:34" x14ac:dyDescent="0.2">
      <c r="AE48" s="2"/>
      <c r="AF48" s="2"/>
      <c r="AG48" s="38"/>
      <c r="AH48" s="61"/>
    </row>
    <row r="49" spans="31:34" x14ac:dyDescent="0.2">
      <c r="AE49" s="2"/>
      <c r="AF49" s="2"/>
      <c r="AG49" s="38"/>
      <c r="AH49" s="61"/>
    </row>
    <row r="50" spans="31:34" x14ac:dyDescent="0.2">
      <c r="AE50" s="2"/>
      <c r="AF50" s="2"/>
      <c r="AG50" s="38"/>
      <c r="AH50" s="61"/>
    </row>
    <row r="51" spans="31:34" x14ac:dyDescent="0.2">
      <c r="AE51" s="2"/>
      <c r="AF51" s="2"/>
      <c r="AG51" s="38"/>
      <c r="AH51" s="61"/>
    </row>
    <row r="52" spans="31:34" x14ac:dyDescent="0.2">
      <c r="AE52" s="2"/>
      <c r="AF52" s="2"/>
      <c r="AG52" s="38"/>
      <c r="AH52" s="61"/>
    </row>
    <row r="53" spans="31:34" x14ac:dyDescent="0.2">
      <c r="AE53" s="2"/>
      <c r="AF53" s="2"/>
      <c r="AG53" s="38"/>
      <c r="AH53" s="61"/>
    </row>
    <row r="54" spans="31:34" x14ac:dyDescent="0.2">
      <c r="AE54" s="2"/>
      <c r="AF54" s="2"/>
      <c r="AG54" s="38"/>
      <c r="AH54" s="61"/>
    </row>
    <row r="55" spans="31:34" x14ac:dyDescent="0.2">
      <c r="AE55" s="2"/>
      <c r="AF55" s="2"/>
      <c r="AG55" s="38"/>
      <c r="AH55" s="61"/>
    </row>
    <row r="56" spans="31:34" x14ac:dyDescent="0.2">
      <c r="AE56" s="2"/>
      <c r="AF56" s="2"/>
      <c r="AG56" s="38"/>
      <c r="AH56" s="61"/>
    </row>
    <row r="57" spans="31:34" x14ac:dyDescent="0.2">
      <c r="AE57" s="2"/>
      <c r="AF57" s="2"/>
      <c r="AG57" s="38"/>
      <c r="AH57" s="61"/>
    </row>
    <row r="58" spans="31:34" x14ac:dyDescent="0.2">
      <c r="AE58" s="2"/>
      <c r="AF58" s="2"/>
      <c r="AG58" s="38"/>
      <c r="AH58" s="61"/>
    </row>
    <row r="59" spans="31:34" x14ac:dyDescent="0.2">
      <c r="AE59" s="2"/>
      <c r="AF59" s="2"/>
      <c r="AG59" s="38"/>
      <c r="AH59" s="61"/>
    </row>
    <row r="60" spans="31:34" x14ac:dyDescent="0.2">
      <c r="AE60" s="2"/>
      <c r="AF60" s="2"/>
      <c r="AG60" s="38"/>
      <c r="AH60" s="61"/>
    </row>
    <row r="61" spans="31:34" x14ac:dyDescent="0.2">
      <c r="AE61" s="2"/>
      <c r="AF61" s="2"/>
      <c r="AG61" s="38"/>
      <c r="AH61" s="61"/>
    </row>
    <row r="62" spans="31:34" x14ac:dyDescent="0.2">
      <c r="AE62" s="2"/>
      <c r="AF62" s="2"/>
      <c r="AG62" s="38"/>
      <c r="AH62" s="61"/>
    </row>
    <row r="63" spans="31:34" x14ac:dyDescent="0.2">
      <c r="AE63" s="2"/>
      <c r="AF63" s="2"/>
      <c r="AG63" s="38"/>
      <c r="AH63" s="61"/>
    </row>
    <row r="64" spans="31:34" x14ac:dyDescent="0.2">
      <c r="AE64" s="2"/>
      <c r="AF64" s="2"/>
      <c r="AG64" s="38"/>
      <c r="AH64" s="61"/>
    </row>
    <row r="65" spans="31:34" x14ac:dyDescent="0.2">
      <c r="AE65" s="2"/>
      <c r="AF65" s="2"/>
      <c r="AG65" s="38"/>
      <c r="AH65" s="61"/>
    </row>
    <row r="66" spans="31:34" x14ac:dyDescent="0.2">
      <c r="AE66" s="2"/>
      <c r="AF66" s="2"/>
      <c r="AG66" s="38"/>
      <c r="AH66" s="61"/>
    </row>
    <row r="67" spans="31:34" x14ac:dyDescent="0.2">
      <c r="AE67" s="2"/>
      <c r="AF67" s="2"/>
      <c r="AG67" s="38"/>
      <c r="AH67" s="61"/>
    </row>
    <row r="68" spans="31:34" x14ac:dyDescent="0.2">
      <c r="AE68" s="2"/>
      <c r="AF68" s="2"/>
      <c r="AG68" s="38"/>
      <c r="AH68" s="61"/>
    </row>
    <row r="69" spans="31:34" x14ac:dyDescent="0.2">
      <c r="AE69" s="2"/>
      <c r="AF69" s="2"/>
      <c r="AG69" s="38"/>
      <c r="AH69" s="61"/>
    </row>
    <row r="70" spans="31:34" x14ac:dyDescent="0.2">
      <c r="AE70" s="2"/>
      <c r="AF70" s="2"/>
      <c r="AG70" s="38"/>
      <c r="AH70" s="61"/>
    </row>
    <row r="71" spans="31:34" x14ac:dyDescent="0.2">
      <c r="AE71" s="2"/>
      <c r="AF71" s="2"/>
      <c r="AG71" s="38"/>
      <c r="AH71" s="61"/>
    </row>
    <row r="72" spans="31:34" x14ac:dyDescent="0.2">
      <c r="AE72" s="2"/>
      <c r="AF72" s="2"/>
      <c r="AG72" s="38"/>
      <c r="AH72" s="61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87</v>
      </c>
      <c r="B1" s="2" t="s">
        <v>86</v>
      </c>
    </row>
    <row r="2" spans="1:2" x14ac:dyDescent="0.2">
      <c r="A2" s="2" t="s">
        <v>88</v>
      </c>
      <c r="B2" s="2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31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81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83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82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41</v>
      </c>
      <c r="C2" s="25" t="s">
        <v>44</v>
      </c>
      <c r="E2" s="4" t="s">
        <v>43</v>
      </c>
    </row>
    <row r="3" spans="2:5" x14ac:dyDescent="0.2">
      <c r="B3" s="2" t="s">
        <v>42</v>
      </c>
      <c r="C3" s="27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59</v>
      </c>
      <c r="G2" s="52" t="s">
        <v>60</v>
      </c>
      <c r="H2" s="52" t="s">
        <v>72</v>
      </c>
      <c r="I2" s="53" t="s">
        <v>74</v>
      </c>
      <c r="J2" s="53" t="s">
        <v>76</v>
      </c>
      <c r="K2" s="53" t="s">
        <v>77</v>
      </c>
      <c r="L2" s="53" t="s">
        <v>78</v>
      </c>
      <c r="M2" s="53" t="s">
        <v>79</v>
      </c>
    </row>
    <row r="3" spans="2:13" ht="409.6" x14ac:dyDescent="0.2">
      <c r="B3" s="49" t="s">
        <v>62</v>
      </c>
      <c r="C3" s="49" t="s">
        <v>63</v>
      </c>
      <c r="D3" s="49" t="s">
        <v>39</v>
      </c>
      <c r="E3" s="49" t="s">
        <v>38</v>
      </c>
      <c r="F3" s="49" t="s">
        <v>66</v>
      </c>
      <c r="G3" s="49" t="s">
        <v>61</v>
      </c>
      <c r="H3" s="49" t="s">
        <v>73</v>
      </c>
      <c r="I3" s="49" t="s">
        <v>75</v>
      </c>
      <c r="J3" s="49" t="s">
        <v>75</v>
      </c>
      <c r="K3" s="49" t="s">
        <v>84</v>
      </c>
      <c r="L3" s="49" t="s">
        <v>85</v>
      </c>
      <c r="M3" s="49" t="s">
        <v>80</v>
      </c>
    </row>
    <row r="4" spans="2:13" ht="17" x14ac:dyDescent="0.2">
      <c r="B4" s="49" t="s">
        <v>34</v>
      </c>
      <c r="C4" s="49" t="s">
        <v>64</v>
      </c>
      <c r="D4" s="49"/>
      <c r="E4" s="49"/>
      <c r="F4" s="49" t="s">
        <v>67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65</v>
      </c>
      <c r="D5" s="49"/>
      <c r="E5" s="49"/>
      <c r="F5" s="49" t="s">
        <v>68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69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70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71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data_brute</vt:lpstr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2025-01-28T20:36:21Z</dcterms:modified>
</cp:coreProperties>
</file>