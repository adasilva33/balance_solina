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 entrepreneur/SOLINA/Projet 3/"/>
    </mc:Choice>
  </mc:AlternateContent>
  <xr:revisionPtr revIDLastSave="0" documentId="13_ncr:1_{A2CBBE46-A74D-4D4C-A973-1126A23E4E4B}" xr6:coauthVersionLast="47" xr6:coauthVersionMax="47" xr10:uidLastSave="{00000000-0000-0000-0000-000000000000}"/>
  <bookViews>
    <workbookView xWindow="15000" yWindow="780" windowWidth="15240" windowHeight="17520" xr2:uid="{5FB1850A-4562-1941-A4C6-C6D993284B38}"/>
  </bookViews>
  <sheets>
    <sheet name="interface" sheetId="1" r:id="rId1"/>
    <sheet name="draft" sheetId="6" r:id="rId2"/>
    <sheet name="calculs_intermediaires" sheetId="3" r:id="rId3"/>
    <sheet name="pop_up" sheetId="5" r:id="rId4"/>
    <sheet name="to_do" sheetId="7" r:id="rId5"/>
  </sheets>
  <definedNames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3" l="1"/>
  <c r="E23" i="1" a="1"/>
  <c r="E23" i="1" s="1"/>
  <c r="F23" i="1" s="1" a="1"/>
  <c r="F23" i="1" s="1"/>
  <c r="D31" i="3"/>
  <c r="B23" i="1" a="1"/>
  <c r="B23" i="1" s="1"/>
  <c r="E3" i="6" a="1"/>
  <c r="E3" i="6" s="1"/>
  <c r="C28" i="3" l="1"/>
  <c r="G23" i="1" a="1"/>
  <c r="G23" i="1" s="1"/>
  <c r="F19" i="3" l="1"/>
  <c r="C4" i="3"/>
  <c r="G11" i="3" l="1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I11" i="3" s="1" a="1"/>
  <c r="I11" i="3" s="1"/>
  <c r="J11" i="3" s="1"/>
  <c r="K11" i="3" l="1" a="1"/>
  <c r="K11" i="3" s="1"/>
  <c r="L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K16" i="3" l="1" a="1"/>
  <c r="K16" i="3" s="1"/>
  <c r="L16" i="3" s="1"/>
  <c r="C6" i="3"/>
  <c r="I10" i="3" a="1"/>
  <c r="I10" i="3" s="1"/>
  <c r="J10" i="3" s="1"/>
  <c r="K13" i="3" a="1"/>
  <c r="K13" i="3" s="1"/>
  <c r="L13" i="3" s="1"/>
  <c r="K14" i="3" a="1"/>
  <c r="K14" i="3" s="1"/>
  <c r="L14" i="3" s="1"/>
  <c r="K15" i="3" a="1"/>
  <c r="K15" i="3" s="1"/>
  <c r="L15" i="3" s="1"/>
  <c r="C19" i="3" l="1" a="1"/>
  <c r="C19" i="3" s="1"/>
  <c r="C18" i="3" a="1"/>
  <c r="C18" i="3" s="1"/>
  <c r="F3" i="1"/>
  <c r="F4" i="1"/>
  <c r="F18" i="3" l="1"/>
  <c r="C23" i="3"/>
  <c r="F22" i="3" l="1"/>
  <c r="F21" i="3"/>
  <c r="C2" i="1" l="1"/>
  <c r="L23" i="1" a="1"/>
  <c r="L23" i="1" s="1"/>
  <c r="F28" i="3"/>
  <c r="H23" i="1" a="1"/>
  <c r="H23" i="1" s="1"/>
  <c r="I23" i="1" l="1" a="1"/>
  <c r="I23" i="1" s="1"/>
  <c r="M23" i="1" l="1" a="1"/>
  <c r="M23" i="1" s="1"/>
  <c r="G3" i="1" s="1"/>
  <c r="N23" i="1" a="1"/>
  <c r="N23" i="1" s="1"/>
  <c r="G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<sst xmlns="http://schemas.openxmlformats.org/spreadsheetml/2006/main" count="69" uniqueCount="59">
  <si>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</si>
  <si>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</si>
  <si>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</si>
  <si>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</si>
  <si>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</si>
  <si>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</si>
  <si>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</si>
  <si>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</si>
  <si>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</si>
  <si>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</si>
  <si>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</si>
  <si>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</si>
  <si>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</si>
  <si>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</si>
  <si>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</si>
  <si>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</si>
  <si>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</si>
  <si>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</si>
  <si>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</si>
  <si>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</si>
  <si>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</si>
  <si>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</si>
  <si>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</si>
  <si>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</si>
  <si>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</si>
  <si>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</si>
  <si>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</si>
  <si>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ecart type</t>
  </si>
  <si>
    <t>Poids net</t>
  </si>
  <si>
    <t>Nombre</t>
  </si>
  <si>
    <t>total pesée:</t>
  </si>
  <si>
    <t>Valeur</t>
  </si>
  <si>
    <t>is_TU1</t>
  </si>
  <si>
    <t>is_TU2</t>
  </si>
  <si>
    <t>produit_a</t>
  </si>
  <si>
    <t>lot_a</t>
  </si>
  <si>
    <t>Tare</t>
  </si>
  <si>
    <t>AJUSTER TARE</t>
  </si>
  <si>
    <t>Text 1 - ajustement TARE</t>
  </si>
  <si>
    <t>Text 2 - TARE</t>
  </si>
  <si>
    <t>Debut OF</t>
  </si>
  <si>
    <t>FIN OF</t>
  </si>
  <si>
    <t>FIN LOT</t>
  </si>
  <si>
    <t>Text 1 - debut OF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</si>
  <si>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</si>
  <si>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</si>
  <si>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</si>
  <si>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</si>
  <si>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</si>
  <si>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</si>
  <si>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</si>
  <si>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</si>
  <si>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</si>
  <si>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</si>
  <si>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</si>
  <si>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Row</t>
  </si>
  <si>
    <t>Nb</t>
  </si>
  <si>
    <t>debut equipe</t>
  </si>
  <si>
    <t>fin equipe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</si>
</sst>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theme="5" tint="0.39997558519241921"/>
      <name val="Aptos Narrow"/>
      <family val="2"/>
      <scheme val="minor"/>
    </font>
    <font>
      <sz val="15"/>
      <color rgb="FF000000"/>
      <name val="Aptos Narrow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2" fontId="0" fillId="0" borderId="8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15" fmlaLink="$I$9" max="30000" page="10" val="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355600</xdr:colOff>
          <xdr:row>7</xdr:row>
          <xdr:rowOff>76200</xdr:rowOff>
        </xdr:from>
        <xdr:to>
          <xdr:col>5</xdr:col>
          <xdr:colOff>406400</xdr:colOff>
          <xdr:row>10</xdr:row>
          <xdr:rowOff>12700</xdr:rowOff>
        </xdr:to>
        <xdr:sp macro="" textlink="">
          <xdr:nvSpPr>
            <xdr:cNvPr id="1049" name="Button 25" descr="TAR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5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3</xdr:col>
          <xdr:colOff>190500</xdr:colOff>
          <xdr:row>13</xdr:row>
          <xdr:rowOff>76200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10</xdr:row>
          <xdr:rowOff>88900</xdr:rowOff>
        </xdr:from>
        <xdr:to>
          <xdr:col>5</xdr:col>
          <xdr:colOff>406400</xdr:colOff>
          <xdr:row>13</xdr:row>
          <xdr:rowOff>76200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3</xdr:col>
          <xdr:colOff>190500</xdr:colOff>
          <xdr:row>10</xdr:row>
          <xdr:rowOff>12700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1</xdr:row>
          <xdr:rowOff>50800</xdr:rowOff>
        </xdr:from>
        <xdr:to>
          <xdr:col>9</xdr:col>
          <xdr:colOff>952500</xdr:colOff>
          <xdr:row>6</xdr:row>
          <xdr:rowOff>50800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2:O36"/>
  <sheetViews>
    <sheetView showGridLines="0" tabSelected="1" zoomScale="125" workbookViewId="0">
      <pane ySplit="20" topLeftCell="A21" activePane="bottomLeft" state="frozen"/>
      <selection pane="bottomLeft" activeCell="B19" sqref="B19"/>
    </sheetView>
  </sheetViews>
  <sheetFormatPr baseColWidth="10" defaultRowHeight="16" outlineLevelCol="1" x14ac:dyDescent="0.2"/>
  <cols>
    <col min="1" max="1" width="10.5" style="2" bestFit="1" customWidth="1"/>
    <col min="2" max="2" width="10.83203125" style="2"/>
    <col min="3" max="3" width="16" bestFit="1" customWidth="1"/>
    <col min="8" max="8" width="10" bestFit="1" customWidth="1"/>
    <col min="9" max="9" width="7.5" customWidth="1"/>
    <col min="10" max="10" width="19.6640625" bestFit="1" customWidth="1"/>
    <col min="12" max="12" width="19.83203125" style="2" hidden="1" customWidth="1" outlineLevel="1"/>
    <col min="13" max="14" width="7" style="2" hidden="1" customWidth="1" outlineLevel="1"/>
    <col min="15" max="15" width="10.83203125" collapsed="1"/>
  </cols>
  <sheetData>
    <row r="2" spans="1:11" x14ac:dyDescent="0.2">
      <c r="B2" s="2" t="s">
        <v>0</v>
      </c>
      <c r="C2" s="1">
        <f ca="1">NOW()</f>
        <v>45645.389912962964</v>
      </c>
      <c r="E2" s="2"/>
      <c r="F2" s="2" t="s">
        <v>31</v>
      </c>
      <c r="G2" s="2" t="s">
        <v>29</v>
      </c>
    </row>
    <row r="3" spans="1:11" x14ac:dyDescent="0.2">
      <c r="B3" s="2" t="s">
        <v>1</v>
      </c>
      <c r="C3" s="25" t="s">
        <v>34</v>
      </c>
      <c r="E3" s="2" t="s">
        <v>5</v>
      </c>
      <c r="F3" s="16">
        <f>calculs_intermediaires!C18</f>
        <v>114.6</v>
      </c>
      <c r="G3" s="17">
        <f ca="1">COUNTIFS(_xlfn.ANCHORARRAY(M23),TRUE)</f>
        <v>6</v>
      </c>
    </row>
    <row r="4" spans="1:11" x14ac:dyDescent="0.2">
      <c r="B4" s="2" t="s">
        <v>2</v>
      </c>
      <c r="C4" s="26" t="s">
        <v>35</v>
      </c>
      <c r="E4" s="2" t="s">
        <v>10</v>
      </c>
      <c r="F4" s="11">
        <f>calculs_intermediaires!C19</f>
        <v>109.2</v>
      </c>
      <c r="G4" s="12">
        <f ca="1">COUNTIFS(_xlfn.ANCHORARRAY(N23),TRUE)</f>
        <v>6</v>
      </c>
    </row>
    <row r="6" spans="1:11" x14ac:dyDescent="0.2">
      <c r="B6" s="2" t="s">
        <v>7</v>
      </c>
      <c r="C6" s="3">
        <v>120</v>
      </c>
    </row>
    <row r="9" spans="1:11" x14ac:dyDescent="0.2">
      <c r="A9" s="44" t="s">
        <v>57</v>
      </c>
      <c r="H9" s="15" t="s">
        <v>47</v>
      </c>
      <c r="I9" s="23">
        <v>6</v>
      </c>
    </row>
    <row r="10" spans="1:11" x14ac:dyDescent="0.2">
      <c r="A10" s="44" t="s">
        <v>58</v>
      </c>
    </row>
    <row r="14" spans="1:11" x14ac:dyDescent="0.2">
      <c r="J14" s="15"/>
      <c r="K14" s="2"/>
    </row>
    <row r="15" spans="1:11" x14ac:dyDescent="0.2">
      <c r="J15" s="15"/>
      <c r="K15" s="2"/>
    </row>
    <row r="16" spans="1:11" x14ac:dyDescent="0.2">
      <c r="G16" s="15"/>
      <c r="J16" s="15"/>
      <c r="K16" s="2"/>
    </row>
    <row r="17" spans="2:14" x14ac:dyDescent="0.2">
      <c r="B17" s="15" t="s">
        <v>54</v>
      </c>
      <c r="C17" s="22">
        <v>1</v>
      </c>
      <c r="G17" s="15"/>
      <c r="K17" s="2"/>
    </row>
    <row r="18" spans="2:14" x14ac:dyDescent="0.2">
      <c r="K18" s="2"/>
    </row>
    <row r="19" spans="2:14" x14ac:dyDescent="0.2">
      <c r="H19" s="2"/>
    </row>
    <row r="22" spans="2:14" x14ac:dyDescent="0.2">
      <c r="B22" s="4" t="s">
        <v>3</v>
      </c>
      <c r="C22" s="4" t="s">
        <v>0</v>
      </c>
      <c r="D22" s="4" t="s">
        <v>8</v>
      </c>
      <c r="E22" s="4" t="s">
        <v>4</v>
      </c>
      <c r="F22" s="4" t="s">
        <v>28</v>
      </c>
      <c r="G22" s="4" t="s">
        <v>55</v>
      </c>
      <c r="H22" s="4" t="s">
        <v>46</v>
      </c>
      <c r="I22" s="4" t="s">
        <v>36</v>
      </c>
      <c r="L22" s="6" t="s">
        <v>9</v>
      </c>
      <c r="M22" s="6" t="s">
        <v>32</v>
      </c>
      <c r="N22" s="6" t="s">
        <v>33</v>
      </c>
    </row>
    <row r="23" spans="2:14" x14ac:dyDescent="0.2">
      <c r="B23" s="2" cm="1">
        <f t="array" ref="B23:B28">_xlfn.SEQUENCE(I9)</f>
        <v>1</v>
      </c>
      <c r="C23" s="36">
        <v>45604</v>
      </c>
      <c r="D23" s="37">
        <v>0.4289351851851852</v>
      </c>
      <c r="E23" s="2" cm="1">
        <f t="array" aca="1" ref="E23:E28" ca="1">_xlfn.RANDARRAY(I9,1,75,85,FALSE)</f>
        <v>84.866054020677083</v>
      </c>
      <c r="F23" s="2" cm="1">
        <f t="array" aca="1" ref="F23:F28" ca="1">_xlfn.ANCHORARRAY(E23)-_xlfn.ANCHORARRAY(I23)</f>
        <v>79.866054020677083</v>
      </c>
      <c r="G23" s="2" cm="1">
        <f t="array" ref="G23:G28">IF(_xlfn.ANCHORARRAY(B23)&lt;&gt;0,ROW(_xlfn.ANCHORARRAY(B23)))</f>
        <v>23</v>
      </c>
      <c r="H23" s="2" cm="1">
        <f t="array" ref="H23:H28">_xlfn.BYROW(_xlfn.ANCHORARRAY(G23), _xlfn.LAMBDA(_xlpm.row, _xlfn._xlws.FILTER(calculs_intermediaires!B$31:B$100, (_xlpm.row&gt;=calculs_intermediaires!D$31:D$100) * (_xlpm.row&lt;=calculs_intermediaires!E$31:E$100), "No Match")))</f>
        <v>1</v>
      </c>
      <c r="I23" s="2" cm="1">
        <f t="array" ref="I23:I28">INDEX(calculs_intermediaires!$C$31:$C$32,MATCH(_xlfn.ANCHORARRAY(H23),calculs_intermediaires!$B$31:$B$32,0))</f>
        <v>5</v>
      </c>
      <c r="J23" s="2"/>
      <c r="L23" s="2" t="b" cm="1">
        <f t="array" ref="L23:L28">IF(_xlfn.ANCHORARRAY(B23)&lt;&gt;"",TRUE,FALSE)</f>
        <v>1</v>
      </c>
      <c r="M23" s="2" t="b" cm="1">
        <f t="array" aca="1" ref="M23:M28" ca="1">IF(_xlfn.ANCHORARRAY(F23)&lt;$F$3,TRUE,FALSE)</f>
        <v>1</v>
      </c>
      <c r="N23" s="2" t="b" cm="1">
        <f t="array" aca="1" ref="N23:N28" ca="1">IF(_xlfn.ANCHORARRAY(F23)&lt;$F$4,TRUE,FALSE)</f>
        <v>1</v>
      </c>
    </row>
    <row r="24" spans="2:14" x14ac:dyDescent="0.2">
      <c r="B24" s="2">
        <v>2</v>
      </c>
      <c r="C24" s="36"/>
      <c r="D24" s="37"/>
      <c r="E24" s="2">
        <f ca="1"/>
        <v>84.257642021285704</v>
      </c>
      <c r="F24" s="2">
        <f ca="1"/>
        <v>79.257642021285704</v>
      </c>
      <c r="G24" s="2">
        <v>24</v>
      </c>
      <c r="H24" s="2">
        <v>1</v>
      </c>
      <c r="I24" s="2">
        <v>5</v>
      </c>
      <c r="J24" s="2"/>
      <c r="L24" s="2" t="b">
        <v>1</v>
      </c>
      <c r="M24" s="2" t="b">
        <f ca="1"/>
        <v>1</v>
      </c>
      <c r="N24" s="2" t="b">
        <f ca="1"/>
        <v>1</v>
      </c>
    </row>
    <row r="25" spans="2:14" x14ac:dyDescent="0.2">
      <c r="B25" s="2">
        <v>3</v>
      </c>
      <c r="C25" s="2"/>
      <c r="D25" s="2"/>
      <c r="E25" s="2">
        <f ca="1"/>
        <v>80.923814834978145</v>
      </c>
      <c r="F25" s="2">
        <f ca="1"/>
        <v>75.923814834978145</v>
      </c>
      <c r="G25" s="2">
        <v>25</v>
      </c>
      <c r="H25" s="2">
        <v>1</v>
      </c>
      <c r="I25" s="2">
        <v>5</v>
      </c>
      <c r="J25" s="2"/>
      <c r="L25" s="2" t="b">
        <v>1</v>
      </c>
      <c r="M25" s="2" t="b">
        <f ca="1"/>
        <v>1</v>
      </c>
      <c r="N25" s="2" t="b">
        <f ca="1"/>
        <v>1</v>
      </c>
    </row>
    <row r="26" spans="2:14" x14ac:dyDescent="0.2">
      <c r="B26" s="2">
        <v>4</v>
      </c>
      <c r="C26" s="2"/>
      <c r="D26" s="2"/>
      <c r="E26" s="2">
        <f ca="1"/>
        <v>83.71636021661817</v>
      </c>
      <c r="F26" s="2">
        <f ca="1"/>
        <v>78.71636021661817</v>
      </c>
      <c r="G26" s="2">
        <v>26</v>
      </c>
      <c r="H26" s="2">
        <v>1</v>
      </c>
      <c r="I26" s="2">
        <v>5</v>
      </c>
      <c r="J26" s="2"/>
      <c r="L26" s="2" t="b">
        <v>1</v>
      </c>
      <c r="M26" s="2" t="b">
        <f ca="1"/>
        <v>1</v>
      </c>
      <c r="N26" s="2" t="b">
        <f ca="1"/>
        <v>1</v>
      </c>
    </row>
    <row r="27" spans="2:14" x14ac:dyDescent="0.2">
      <c r="B27" s="2">
        <v>5</v>
      </c>
      <c r="C27" s="2"/>
      <c r="D27" s="2"/>
      <c r="E27" s="2">
        <f ca="1"/>
        <v>77.578366266922458</v>
      </c>
      <c r="F27" s="2">
        <f ca="1"/>
        <v>72.578366266922458</v>
      </c>
      <c r="G27" s="2">
        <v>27</v>
      </c>
      <c r="H27" s="2">
        <v>1</v>
      </c>
      <c r="I27" s="2">
        <v>5</v>
      </c>
      <c r="L27" s="2" t="b">
        <v>1</v>
      </c>
      <c r="M27" s="2" t="b">
        <f ca="1"/>
        <v>1</v>
      </c>
      <c r="N27" s="2" t="b">
        <f ca="1"/>
        <v>1</v>
      </c>
    </row>
    <row r="28" spans="2:14" x14ac:dyDescent="0.2">
      <c r="B28" s="2">
        <v>6</v>
      </c>
      <c r="C28" s="2"/>
      <c r="D28" s="2"/>
      <c r="E28" s="2">
        <f ca="1"/>
        <v>77.028849912600847</v>
      </c>
      <c r="F28" s="2">
        <f ca="1"/>
        <v>72.028849912600847</v>
      </c>
      <c r="G28" s="2">
        <v>28</v>
      </c>
      <c r="H28" s="2">
        <v>1</v>
      </c>
      <c r="I28" s="2">
        <v>5</v>
      </c>
      <c r="L28" s="2" t="b">
        <v>1</v>
      </c>
      <c r="M28" s="2" t="b">
        <f ca="1"/>
        <v>1</v>
      </c>
      <c r="N28" s="2" t="b">
        <f ca="1"/>
        <v>1</v>
      </c>
    </row>
    <row r="29" spans="2:14" x14ac:dyDescent="0.2">
      <c r="C29" s="2"/>
      <c r="D29" s="2"/>
      <c r="E29" s="2"/>
      <c r="F29" s="2"/>
      <c r="G29" s="2"/>
      <c r="H29" s="2"/>
      <c r="I29" s="2"/>
    </row>
    <row r="30" spans="2:14" x14ac:dyDescent="0.2">
      <c r="H30" s="2"/>
    </row>
    <row r="31" spans="2:14" x14ac:dyDescent="0.2">
      <c r="H31" s="2"/>
    </row>
    <row r="32" spans="2:14" x14ac:dyDescent="0.2">
      <c r="H32" s="2"/>
    </row>
    <row r="33" spans="8:8" x14ac:dyDescent="0.2">
      <c r="H33" s="2"/>
    </row>
    <row r="34" spans="8:8" x14ac:dyDescent="0.2">
      <c r="H34" s="2"/>
    </row>
    <row r="35" spans="8:8" x14ac:dyDescent="0.2">
      <c r="H35" s="2"/>
    </row>
    <row r="36" spans="8:8" x14ac:dyDescent="0.2">
      <c r="H36" s="2"/>
    </row>
  </sheetData>
  <conditionalFormatting sqref="B23:I55">
    <cfRule type="expression" dxfId="2" priority="1">
      <formula>B23&lt;&gt;""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3" name="Button 25">
              <controlPr defaultSize="0" print="0" autoFill="0" autoPict="0" macro="[0]!PopUpAndInputWithConfirmation" altText="TARE">
                <anchor moveWithCells="1" sizeWithCells="1">
                  <from>
                    <xdr:col>3</xdr:col>
                    <xdr:colOff>355600</xdr:colOff>
                    <xdr:row>7</xdr:row>
                    <xdr:rowOff>76200</xdr:rowOff>
                  </from>
                  <to>
                    <xdr:col>5</xdr:col>
                    <xdr:colOff>406400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3</xdr:col>
                    <xdr:colOff>190500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DisplayFinLot" altText="TARE">
                <anchor moveWithCells="1" sizeWithCells="1">
                  <from>
                    <xdr:col>3</xdr:col>
                    <xdr:colOff>342900</xdr:colOff>
                    <xdr:row>10</xdr:row>
                    <xdr:rowOff>88900</xdr:rowOff>
                  </from>
                  <to>
                    <xdr:col>5</xdr:col>
                    <xdr:colOff>406400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3</xdr:col>
                    <xdr:colOff>190500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Spinner 31">
              <controlPr defaultSize="0" autoPict="0">
                <anchor moveWithCells="1" sizeWithCells="1">
                  <from>
                    <xdr:col>8</xdr:col>
                    <xdr:colOff>63500</xdr:colOff>
                    <xdr:row>1</xdr:row>
                    <xdr:rowOff>50800</xdr:rowOff>
                  </from>
                  <to>
                    <xdr:col>9</xdr:col>
                    <xdr:colOff>952500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/>
  <dimension ref="B2:E12"/>
  <sheetViews>
    <sheetView showGridLines="0" workbookViewId="0">
      <selection activeCell="C3" sqref="C3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48</v>
      </c>
      <c r="C2" s="33" t="s">
        <v>51</v>
      </c>
      <c r="E2" s="4" t="s">
        <v>50</v>
      </c>
    </row>
    <row r="3" spans="2:5" x14ac:dyDescent="0.2">
      <c r="B3" s="2" t="s">
        <v>49</v>
      </c>
      <c r="C3" s="35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2:L32"/>
  <sheetViews>
    <sheetView showGridLines="0" topLeftCell="A21" zoomScale="138" workbookViewId="0">
      <selection activeCell="E30" sqref="E30"/>
    </sheetView>
  </sheetViews>
  <sheetFormatPr baseColWidth="10" defaultRowHeight="16" outlineLevelCol="1" x14ac:dyDescent="0.2"/>
  <cols>
    <col min="1" max="1" width="6.5" customWidth="1"/>
    <col min="4" max="4" width="12.83203125" bestFit="1" customWidth="1"/>
    <col min="6" max="6" width="12.5" bestFit="1" customWidth="1"/>
    <col min="7" max="8" width="16.83203125" hidden="1" customWidth="1" outlineLevel="1"/>
    <col min="9" max="9" width="10.83203125" collapsed="1"/>
  </cols>
  <sheetData>
    <row r="2" spans="2:12" x14ac:dyDescent="0.2">
      <c r="B2" s="7" t="s">
        <v>11</v>
      </c>
    </row>
    <row r="3" spans="2:12" x14ac:dyDescent="0.2">
      <c r="F3" s="24"/>
    </row>
    <row r="4" spans="2:12" x14ac:dyDescent="0.2">
      <c r="B4" s="2" t="s">
        <v>6</v>
      </c>
      <c r="C4" s="31">
        <f>interface!C6</f>
        <v>120</v>
      </c>
      <c r="D4" s="2"/>
    </row>
    <row r="6" spans="2:12" x14ac:dyDescent="0.2">
      <c r="B6" s="40" t="s">
        <v>21</v>
      </c>
      <c r="C6" s="41">
        <f>MATCH(TRUE,$D$10:$D$16,0)</f>
        <v>3</v>
      </c>
    </row>
    <row r="8" spans="2:12" x14ac:dyDescent="0.2">
      <c r="B8" s="27" t="s">
        <v>6</v>
      </c>
      <c r="C8" s="28"/>
      <c r="D8" s="29" t="s">
        <v>17</v>
      </c>
      <c r="E8" s="27" t="s">
        <v>15</v>
      </c>
      <c r="F8" s="28"/>
      <c r="G8" s="8" t="s">
        <v>18</v>
      </c>
      <c r="H8" s="29" t="s">
        <v>20</v>
      </c>
      <c r="I8" s="27"/>
      <c r="J8" s="28"/>
    </row>
    <row r="9" spans="2:12" x14ac:dyDescent="0.2">
      <c r="B9" s="20" t="s">
        <v>12</v>
      </c>
      <c r="C9" s="21" t="s">
        <v>13</v>
      </c>
      <c r="D9" s="30"/>
      <c r="E9" s="20" t="s">
        <v>14</v>
      </c>
      <c r="F9" s="21" t="s">
        <v>16</v>
      </c>
      <c r="G9" s="32" t="s">
        <v>19</v>
      </c>
      <c r="H9" s="30"/>
      <c r="I9" s="42" t="s">
        <v>5</v>
      </c>
      <c r="J9" s="43" t="s">
        <v>10</v>
      </c>
    </row>
    <row r="10" spans="2:12" x14ac:dyDescent="0.2">
      <c r="B10" s="9">
        <v>5</v>
      </c>
      <c r="C10" s="10">
        <v>50</v>
      </c>
      <c r="D10" s="13" t="b">
        <f t="shared" ref="D10:D16" si="0">IF(AND($C$4&gt;=B10,$C$4&lt;C10),TRUE,FALSE)</f>
        <v>0</v>
      </c>
      <c r="E10" s="16">
        <v>9</v>
      </c>
      <c r="F10" s="17"/>
      <c r="G10" s="33" cm="1">
        <f t="array" ref="G10">_xlfn.IFS(AND(E10&lt;&gt;"",F10=""),1,AND(E10="",F10&lt;&gt;""),2,AND(E10="",F10&lt;&gt;""),0)</f>
        <v>1</v>
      </c>
      <c r="H10" s="33">
        <f>IF(G10=1,E10,F10)</f>
        <v>9</v>
      </c>
      <c r="I10" s="9" t="str" cm="1">
        <f t="array" ref="I10">_xlfn.IFS(AND(D10,G10=1),H10*$C$4/100,AND(D10,G10=2),H10,NOT(D10),"")</f>
        <v/>
      </c>
      <c r="J10" s="10" t="str">
        <f>IF(I10="","",2*I10)</f>
        <v/>
      </c>
    </row>
    <row r="11" spans="2:12" x14ac:dyDescent="0.2">
      <c r="B11" s="9">
        <v>50</v>
      </c>
      <c r="C11" s="10">
        <v>100</v>
      </c>
      <c r="D11" s="13" t="b">
        <f t="shared" si="0"/>
        <v>0</v>
      </c>
      <c r="E11" s="9"/>
      <c r="F11" s="10">
        <v>4.5</v>
      </c>
      <c r="G11" s="34" cm="1">
        <f t="array" ref="G11">_xlfn.IFS(AND(E11&lt;&gt;"",F11=""),1,AND(E11="",F11&lt;&gt;""),2,AND(E11="",F11&lt;&gt;""),0)</f>
        <v>2</v>
      </c>
      <c r="H11" s="34">
        <f t="shared" ref="H11:H16" si="1">IF(G11=1,E11,F11)</f>
        <v>4.5</v>
      </c>
      <c r="I11" s="9" t="str" cm="1">
        <f t="array" ref="I11">_xlfn.IFS(AND(D11,G11=1),H11*$C$4/100,AND(D11,G11=2),H11,NOT(D11),"")</f>
        <v/>
      </c>
      <c r="J11" s="10" t="str">
        <f t="shared" ref="J11:J16" si="2">IF(I11="","",2*I11)</f>
        <v/>
      </c>
      <c r="K11" s="2" t="str" cm="1">
        <f t="array" ref="K11">_xlfn.IFS(AND(D11,G11=1),H11*$C$4/100,AND(D11,G11=2),H11,NOT(D11),"")</f>
        <v/>
      </c>
      <c r="L11" s="2" t="str">
        <f t="shared" ref="L11:L16" si="3">IF(K11="","",2*K11)</f>
        <v/>
      </c>
    </row>
    <row r="12" spans="2:12" x14ac:dyDescent="0.2">
      <c r="B12" s="9">
        <v>100</v>
      </c>
      <c r="C12" s="10">
        <v>200</v>
      </c>
      <c r="D12" s="13" t="b">
        <f t="shared" si="0"/>
        <v>1</v>
      </c>
      <c r="E12" s="9">
        <v>4.5</v>
      </c>
      <c r="F12" s="10"/>
      <c r="G12" s="34" cm="1">
        <f t="array" ref="G12">_xlfn.IFS(AND(E12&lt;&gt;"",F12=""),1,AND(E12="",F12&lt;&gt;""),2,AND(E12="",F12&lt;&gt;""),0)</f>
        <v>1</v>
      </c>
      <c r="H12" s="34">
        <f t="shared" si="1"/>
        <v>4.5</v>
      </c>
      <c r="I12" s="9" cm="1">
        <f t="array" ref="I12">_xlfn.IFS(AND(D12,G12=1),H12*$C$4/100,AND(D12,G12=2),H12,NOT(D12),"")</f>
        <v>5.4</v>
      </c>
      <c r="J12" s="10">
        <f t="shared" si="2"/>
        <v>10.8</v>
      </c>
      <c r="K12" s="2"/>
      <c r="L12" s="2"/>
    </row>
    <row r="13" spans="2:12" x14ac:dyDescent="0.2">
      <c r="B13" s="9">
        <v>200</v>
      </c>
      <c r="C13" s="10">
        <v>300</v>
      </c>
      <c r="D13" s="13" t="b">
        <f t="shared" si="0"/>
        <v>0</v>
      </c>
      <c r="E13" s="9"/>
      <c r="F13" s="10">
        <v>9</v>
      </c>
      <c r="G13" s="34" cm="1">
        <f t="array" ref="G13">_xlfn.IFS(AND(E13&lt;&gt;"",F13=""),1,AND(E13="",F13&lt;&gt;""),2,AND(E13="",F13&lt;&gt;""),0)</f>
        <v>2</v>
      </c>
      <c r="H13" s="34">
        <f t="shared" si="1"/>
        <v>9</v>
      </c>
      <c r="I13" s="9" t="str" cm="1">
        <f t="array" ref="I13">_xlfn.IFS(AND(D13,G13=1),H13*$C$4/100,AND(D13,G13=2),H13,NOT(D13),"")</f>
        <v/>
      </c>
      <c r="J13" s="10" t="str">
        <f t="shared" si="2"/>
        <v/>
      </c>
      <c r="K13" s="2" t="str" cm="1">
        <f t="array" ref="K13">_xlfn.IFS(AND(D13,G13=1),H13*$C$4/100,AND(D13,G13=2),H13,NOT(D13),"")</f>
        <v/>
      </c>
      <c r="L13" s="2" t="str">
        <f t="shared" si="3"/>
        <v/>
      </c>
    </row>
    <row r="14" spans="2:12" x14ac:dyDescent="0.2">
      <c r="B14" s="9">
        <v>300</v>
      </c>
      <c r="C14" s="10">
        <v>500</v>
      </c>
      <c r="D14" s="13" t="b">
        <f t="shared" si="0"/>
        <v>0</v>
      </c>
      <c r="E14" s="9">
        <v>3</v>
      </c>
      <c r="F14" s="10"/>
      <c r="G14" s="34" cm="1">
        <f t="array" ref="G14">_xlfn.IFS(AND(E14&lt;&gt;"",F14=""),1,AND(E14="",F14&lt;&gt;""),2,AND(E14="",F14&lt;&gt;""),0)</f>
        <v>1</v>
      </c>
      <c r="H14" s="34">
        <f t="shared" si="1"/>
        <v>3</v>
      </c>
      <c r="I14" s="9" t="str" cm="1">
        <f t="array" ref="I14">_xlfn.IFS(AND(D14,G14=1),H14*$C$4/100,AND(D14,G14=2),H14,NOT(D14),"")</f>
        <v/>
      </c>
      <c r="J14" s="10" t="str">
        <f t="shared" si="2"/>
        <v/>
      </c>
      <c r="K14" s="2" t="str" cm="1">
        <f t="array" ref="K14">_xlfn.IFS(AND(D14,G14=1),H14*$C$4/100,AND(D14,G14=2),H14,NOT(D14),"")</f>
        <v/>
      </c>
      <c r="L14" s="2" t="str">
        <f t="shared" si="3"/>
        <v/>
      </c>
    </row>
    <row r="15" spans="2:12" x14ac:dyDescent="0.2">
      <c r="B15" s="9">
        <v>500</v>
      </c>
      <c r="C15" s="10">
        <v>1000</v>
      </c>
      <c r="D15" s="13" t="b">
        <f t="shared" si="0"/>
        <v>0</v>
      </c>
      <c r="E15" s="9"/>
      <c r="F15" s="10">
        <v>15</v>
      </c>
      <c r="G15" s="34" cm="1">
        <f t="array" ref="G15">_xlfn.IFS(AND(E15&lt;&gt;"",F15=""),1,AND(E15="",F15&lt;&gt;""),2,AND(E15="",F15&lt;&gt;""),0)</f>
        <v>2</v>
      </c>
      <c r="H15" s="34">
        <f t="shared" si="1"/>
        <v>15</v>
      </c>
      <c r="I15" s="9" t="str" cm="1">
        <f t="array" ref="I15">_xlfn.IFS(AND(D15,G15=1),H15*$C$4/100,AND(D15,G15=2),H15,NOT(D15),"")</f>
        <v/>
      </c>
      <c r="J15" s="10" t="str">
        <f t="shared" si="2"/>
        <v/>
      </c>
      <c r="K15" s="2" t="str" cm="1">
        <f t="array" ref="K15">_xlfn.IFS(AND(D15,G15=1),H15*$C$4/100,AND(D15,G15=2),H15,NOT(D15),"")</f>
        <v/>
      </c>
      <c r="L15" s="2" t="str">
        <f t="shared" si="3"/>
        <v/>
      </c>
    </row>
    <row r="16" spans="2:12" x14ac:dyDescent="0.2">
      <c r="B16" s="11">
        <v>1000</v>
      </c>
      <c r="C16" s="12">
        <v>10000</v>
      </c>
      <c r="D16" s="14" t="b">
        <f t="shared" si="0"/>
        <v>0</v>
      </c>
      <c r="E16" s="11">
        <v>1.5</v>
      </c>
      <c r="F16" s="12"/>
      <c r="G16" s="35" cm="1">
        <f t="array" ref="G16">_xlfn.IFS(AND(E16&lt;&gt;"",F16=""),1,AND(E16="",F16&lt;&gt;""),2,AND(E16="",F16&lt;&gt;""),0)</f>
        <v>1</v>
      </c>
      <c r="H16" s="35">
        <f t="shared" si="1"/>
        <v>1.5</v>
      </c>
      <c r="I16" s="11" t="str" cm="1">
        <f t="array" ref="I16">_xlfn.IFS(AND(D16,G16=1),H16*$C$4/100,AND(D16,G16=2),H16,NOT(D16),"")</f>
        <v/>
      </c>
      <c r="J16" s="12" t="str">
        <f t="shared" si="2"/>
        <v/>
      </c>
      <c r="K16" s="2" t="str" cm="1">
        <f t="array" ref="K16">_xlfn.IFS(AND(D16,G16=1),H16*$C$4/100,AND(D16,G16=2),H16,NOT(D16),"")</f>
        <v/>
      </c>
      <c r="L16" s="2" t="str">
        <f t="shared" si="3"/>
        <v/>
      </c>
    </row>
    <row r="18" spans="2:6" x14ac:dyDescent="0.2">
      <c r="B18" s="16" t="s">
        <v>5</v>
      </c>
      <c r="C18" s="17" cm="1">
        <f t="array" ref="C18">C4-INDEX($I$10:$I$16,$C$6)</f>
        <v>114.6</v>
      </c>
      <c r="E18" s="16" t="s">
        <v>23</v>
      </c>
      <c r="F18" s="18">
        <f>C21*F19</f>
        <v>0.90000000000000091</v>
      </c>
    </row>
    <row r="19" spans="2:6" x14ac:dyDescent="0.2">
      <c r="B19" s="11" t="s">
        <v>10</v>
      </c>
      <c r="C19" s="12" cm="1">
        <f t="array" ref="C19">C4-INDEX($J$10:$J$16,$C$6)</f>
        <v>109.2</v>
      </c>
      <c r="E19" s="11" t="s">
        <v>24</v>
      </c>
      <c r="F19" s="19">
        <f>1/6</f>
        <v>0.16666666666666666</v>
      </c>
    </row>
    <row r="21" spans="2:6" x14ac:dyDescent="0.2">
      <c r="B21" s="16" t="s">
        <v>22</v>
      </c>
      <c r="C21" s="17">
        <f>C4-C18</f>
        <v>5.4000000000000057</v>
      </c>
      <c r="E21" s="16" t="s">
        <v>25</v>
      </c>
      <c r="F21" s="17">
        <f>C4-C23</f>
        <v>118.92</v>
      </c>
    </row>
    <row r="22" spans="2:6" x14ac:dyDescent="0.2">
      <c r="B22" s="9" t="s">
        <v>24</v>
      </c>
      <c r="C22" s="10">
        <v>0.2</v>
      </c>
      <c r="E22" s="11" t="s">
        <v>26</v>
      </c>
      <c r="F22" s="12">
        <f>C4+C23</f>
        <v>121.08</v>
      </c>
    </row>
    <row r="23" spans="2:6" x14ac:dyDescent="0.2">
      <c r="B23" s="11" t="s">
        <v>27</v>
      </c>
      <c r="C23" s="12">
        <f>C21*C22</f>
        <v>1.0800000000000012</v>
      </c>
    </row>
    <row r="26" spans="2:6" x14ac:dyDescent="0.2">
      <c r="B26" s="39" t="s">
        <v>36</v>
      </c>
    </row>
    <row r="28" spans="2:6" x14ac:dyDescent="0.2">
      <c r="B28" s="15" t="s">
        <v>30</v>
      </c>
      <c r="C28" s="5">
        <f>COUNT(_xlfn.ANCHORARRAY(interface!B23))</f>
        <v>6</v>
      </c>
      <c r="F28" s="2">
        <f>SUM(F31:F1048576)</f>
        <v>5</v>
      </c>
    </row>
    <row r="30" spans="2:6" x14ac:dyDescent="0.2">
      <c r="B30" s="4" t="s">
        <v>46</v>
      </c>
      <c r="C30" s="4" t="s">
        <v>36</v>
      </c>
      <c r="D30" s="4" t="s">
        <v>52</v>
      </c>
      <c r="E30" s="4" t="s">
        <v>53</v>
      </c>
      <c r="F30" s="4" t="s">
        <v>56</v>
      </c>
    </row>
    <row r="31" spans="2:6" x14ac:dyDescent="0.2">
      <c r="B31" s="2">
        <v>1</v>
      </c>
      <c r="C31" s="2">
        <v>5</v>
      </c>
      <c r="D31" s="38">
        <f>ROW(interface!I23)</f>
        <v>23</v>
      </c>
      <c r="E31" s="2">
        <v>28</v>
      </c>
      <c r="F31" s="2">
        <v>5</v>
      </c>
    </row>
    <row r="32" spans="2:6" x14ac:dyDescent="0.2">
      <c r="B32" s="2"/>
      <c r="C32" s="2"/>
      <c r="D32" s="2"/>
      <c r="E32" s="2"/>
      <c r="F32" s="2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1" priority="5">
      <formula>ISERROR(G10)</formula>
    </cfRule>
  </conditionalFormatting>
  <conditionalFormatting sqref="B10:J1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E4"/>
  <sheetViews>
    <sheetView showGridLines="0" zoomScale="150" workbookViewId="0">
      <selection activeCell="C3" sqref="C3"/>
    </sheetView>
  </sheetViews>
  <sheetFormatPr baseColWidth="10" defaultRowHeight="16" x14ac:dyDescent="0.2"/>
  <cols>
    <col min="1" max="1" width="7" customWidth="1"/>
    <col min="2" max="2" width="20.83203125" style="2" bestFit="1" customWidth="1"/>
    <col min="3" max="3" width="14.5" style="2" bestFit="1" customWidth="1"/>
    <col min="4" max="4" width="11" style="2" bestFit="1" customWidth="1"/>
    <col min="5" max="5" width="14.5" style="2" bestFit="1" customWidth="1"/>
  </cols>
  <sheetData>
    <row r="2" spans="2:5" x14ac:dyDescent="0.2">
      <c r="B2" s="4" t="s">
        <v>37</v>
      </c>
      <c r="C2" s="4" t="s">
        <v>40</v>
      </c>
      <c r="D2" s="4" t="s">
        <v>41</v>
      </c>
      <c r="E2" s="4" t="s">
        <v>42</v>
      </c>
    </row>
    <row r="3" spans="2:5" x14ac:dyDescent="0.2">
      <c r="B3" s="2" t="s">
        <v>38</v>
      </c>
      <c r="C3" s="2" t="s">
        <v>43</v>
      </c>
      <c r="D3" s="2" t="s">
        <v>45</v>
      </c>
      <c r="E3" s="2" t="s">
        <v>44</v>
      </c>
    </row>
    <row r="4" spans="2:5" x14ac:dyDescent="0.2">
      <c r="B4" s="2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4D9B4-471D-D34B-84A5-3681E403DEB3}">
  <sheetPr codeName="Sheet5"/>
  <dimension ref="A1"/>
  <sheetViews>
    <sheetView showGridLines="0" zoomScale="192"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draft</vt:lpstr>
      <vt:lpstr>calculs_intermediaires</vt:lpstr>
      <vt:lpstr>pop_up</vt:lpstr>
      <vt:lpstr>to_do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2024-12-19T09:24:41Z</dcterms:modified>
</cp:coreProperties>
</file>