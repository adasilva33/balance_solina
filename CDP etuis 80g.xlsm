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slv/Documents/ZETA/Auto entrepreneur/SOLINA/Projet 3/"/>
    </mc:Choice>
  </mc:AlternateContent>
  <xr:revisionPtr revIDLastSave="0" documentId="13_ncr:1_{B352250B-25F0-674E-BA1E-3F03DBF5F202}" xr6:coauthVersionLast="47" xr6:coauthVersionMax="47" xr10:uidLastSave="{00000000-0000-0000-0000-000000000000}"/>
  <bookViews>
    <workbookView xWindow="3800" yWindow="760" windowWidth="26440" windowHeight="17500" tabRatio="864" xr2:uid="{396DC53C-C4F6-4781-83C7-480D1765153E}"/>
  </bookViews>
  <sheets>
    <sheet name="Tare théorique - QN en g" sheetId="1" r:id="rId1"/>
    <sheet name="note" sheetId="11" r:id="rId2"/>
    <sheet name="Réglage Balance" sheetId="10" r:id="rId3"/>
    <sheet name=" Tare Individuelle - QN en g" sheetId="9" r:id="rId4"/>
  </sheets>
  <definedNames>
    <definedName name="TI_g">' Tare Individuelle - QN en g'!$B$7:$E$31</definedName>
    <definedName name="TI_ml">#REF!</definedName>
    <definedName name="TT_g">'Tare théorique - QN en g'!$B$7:$C$31</definedName>
    <definedName name="TT_m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" i="1" l="1"/>
  <c r="Y7" i="1"/>
  <c r="K3" i="1"/>
  <c r="Z5" i="1"/>
  <c r="L4" i="1"/>
  <c r="L3" i="1"/>
  <c r="L2" i="1"/>
  <c r="D7" i="1"/>
  <c r="E7" i="1" s="1"/>
  <c r="B1" i="1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7" i="9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7" i="9"/>
  <c r="F8" i="9"/>
  <c r="G8" i="9" s="1"/>
  <c r="H8" i="9" s="1"/>
  <c r="I8" i="9"/>
  <c r="J8" i="9" s="1"/>
  <c r="K8" i="9" s="1"/>
  <c r="F9" i="9"/>
  <c r="G9" i="9"/>
  <c r="H9" i="9" s="1"/>
  <c r="I9" i="9"/>
  <c r="J9" i="9" s="1"/>
  <c r="K9" i="9" s="1"/>
  <c r="F10" i="9"/>
  <c r="G10" i="9" s="1"/>
  <c r="H10" i="9" s="1"/>
  <c r="I10" i="9"/>
  <c r="J10" i="9" s="1"/>
  <c r="K10" i="9" s="1"/>
  <c r="F11" i="9"/>
  <c r="G11" i="9" s="1"/>
  <c r="H11" i="9" s="1"/>
  <c r="I11" i="9"/>
  <c r="J11" i="9" s="1"/>
  <c r="K11" i="9" s="1"/>
  <c r="F12" i="9"/>
  <c r="G12" i="9" s="1"/>
  <c r="H12" i="9" s="1"/>
  <c r="I12" i="9"/>
  <c r="J12" i="9" s="1"/>
  <c r="K12" i="9" s="1"/>
  <c r="F13" i="9"/>
  <c r="G13" i="9" s="1"/>
  <c r="H13" i="9" s="1"/>
  <c r="I13" i="9"/>
  <c r="J13" i="9" s="1"/>
  <c r="K13" i="9" s="1"/>
  <c r="F14" i="9"/>
  <c r="G14" i="9" s="1"/>
  <c r="H14" i="9" s="1"/>
  <c r="I14" i="9"/>
  <c r="J14" i="9" s="1"/>
  <c r="K14" i="9" s="1"/>
  <c r="F15" i="9"/>
  <c r="G15" i="9" s="1"/>
  <c r="H15" i="9" s="1"/>
  <c r="I15" i="9"/>
  <c r="J15" i="9" s="1"/>
  <c r="K15" i="9" s="1"/>
  <c r="F16" i="9"/>
  <c r="G16" i="9"/>
  <c r="H16" i="9" s="1"/>
  <c r="I16" i="9"/>
  <c r="J16" i="9" s="1"/>
  <c r="K16" i="9" s="1"/>
  <c r="F17" i="9"/>
  <c r="G17" i="9" s="1"/>
  <c r="H17" i="9" s="1"/>
  <c r="I17" i="9"/>
  <c r="J17" i="9" s="1"/>
  <c r="K17" i="9" s="1"/>
  <c r="F18" i="9"/>
  <c r="G18" i="9" s="1"/>
  <c r="H18" i="9" s="1"/>
  <c r="I18" i="9"/>
  <c r="J18" i="9" s="1"/>
  <c r="K18" i="9" s="1"/>
  <c r="F19" i="9"/>
  <c r="G19" i="9" s="1"/>
  <c r="H19" i="9" s="1"/>
  <c r="I19" i="9"/>
  <c r="J19" i="9" s="1"/>
  <c r="K19" i="9" s="1"/>
  <c r="F20" i="9"/>
  <c r="G20" i="9" s="1"/>
  <c r="H20" i="9" s="1"/>
  <c r="I20" i="9"/>
  <c r="J20" i="9" s="1"/>
  <c r="K20" i="9" s="1"/>
  <c r="F21" i="9"/>
  <c r="G21" i="9"/>
  <c r="H21" i="9" s="1"/>
  <c r="I21" i="9"/>
  <c r="J21" i="9" s="1"/>
  <c r="K21" i="9" s="1"/>
  <c r="F22" i="9"/>
  <c r="G22" i="9" s="1"/>
  <c r="H22" i="9" s="1"/>
  <c r="I22" i="9"/>
  <c r="J22" i="9" s="1"/>
  <c r="K22" i="9" s="1"/>
  <c r="F23" i="9"/>
  <c r="G23" i="9" s="1"/>
  <c r="H23" i="9" s="1"/>
  <c r="I23" i="9"/>
  <c r="J23" i="9" s="1"/>
  <c r="K23" i="9" s="1"/>
  <c r="F24" i="9"/>
  <c r="G24" i="9"/>
  <c r="H24" i="9" s="1"/>
  <c r="I24" i="9"/>
  <c r="J24" i="9" s="1"/>
  <c r="K24" i="9" s="1"/>
  <c r="F25" i="9"/>
  <c r="G25" i="9"/>
  <c r="H25" i="9" s="1"/>
  <c r="I25" i="9"/>
  <c r="J25" i="9" s="1"/>
  <c r="K25" i="9" s="1"/>
  <c r="F26" i="9"/>
  <c r="G26" i="9" s="1"/>
  <c r="H26" i="9" s="1"/>
  <c r="I26" i="9"/>
  <c r="J26" i="9" s="1"/>
  <c r="K26" i="9" s="1"/>
  <c r="F27" i="9"/>
  <c r="G27" i="9" s="1"/>
  <c r="H27" i="9" s="1"/>
  <c r="I27" i="9"/>
  <c r="J27" i="9" s="1"/>
  <c r="K27" i="9" s="1"/>
  <c r="F28" i="9"/>
  <c r="G28" i="9" s="1"/>
  <c r="H28" i="9" s="1"/>
  <c r="I28" i="9"/>
  <c r="J28" i="9" s="1"/>
  <c r="K28" i="9" s="1"/>
  <c r="F29" i="9"/>
  <c r="G29" i="9" s="1"/>
  <c r="H29" i="9" s="1"/>
  <c r="I29" i="9"/>
  <c r="J29" i="9" s="1"/>
  <c r="K29" i="9" s="1"/>
  <c r="F30" i="9"/>
  <c r="G30" i="9" s="1"/>
  <c r="H30" i="9" s="1"/>
  <c r="I30" i="9"/>
  <c r="J30" i="9" s="1"/>
  <c r="K30" i="9" s="1"/>
  <c r="F31" i="9"/>
  <c r="G31" i="9" s="1"/>
  <c r="H31" i="9" s="1"/>
  <c r="I31" i="9"/>
  <c r="J31" i="9" s="1"/>
  <c r="K31" i="9" s="1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I7" i="9"/>
  <c r="F7" i="9"/>
  <c r="G7" i="9" s="1"/>
  <c r="H7" i="9" s="1"/>
  <c r="D31" i="1"/>
  <c r="E31" i="1" s="1"/>
  <c r="F31" i="1" s="1"/>
  <c r="D30" i="1"/>
  <c r="E30" i="1" s="1"/>
  <c r="F30" i="1" s="1"/>
  <c r="D29" i="1"/>
  <c r="E29" i="1" s="1"/>
  <c r="F29" i="1" s="1"/>
  <c r="D28" i="1"/>
  <c r="E28" i="1" s="1"/>
  <c r="F28" i="1" s="1"/>
  <c r="D27" i="1"/>
  <c r="E27" i="1" s="1"/>
  <c r="F27" i="1" s="1"/>
  <c r="D26" i="1"/>
  <c r="E26" i="1" s="1"/>
  <c r="F26" i="1" s="1"/>
  <c r="D25" i="1"/>
  <c r="E25" i="1" s="1"/>
  <c r="F25" i="1" s="1"/>
  <c r="D24" i="1"/>
  <c r="E24" i="1" s="1"/>
  <c r="F24" i="1" s="1"/>
  <c r="D23" i="1"/>
  <c r="E23" i="1" s="1"/>
  <c r="F23" i="1" s="1"/>
  <c r="D22" i="1"/>
  <c r="E22" i="1" s="1"/>
  <c r="F22" i="1" s="1"/>
  <c r="D21" i="1"/>
  <c r="E21" i="1" s="1"/>
  <c r="F21" i="1" s="1"/>
  <c r="D20" i="1"/>
  <c r="E20" i="1" s="1"/>
  <c r="F20" i="1" s="1"/>
  <c r="D19" i="1"/>
  <c r="E19" i="1" s="1"/>
  <c r="F19" i="1" s="1"/>
  <c r="D18" i="1"/>
  <c r="E18" i="1" s="1"/>
  <c r="F18" i="1" s="1"/>
  <c r="D17" i="1"/>
  <c r="E17" i="1" s="1"/>
  <c r="F17" i="1" s="1"/>
  <c r="D16" i="1"/>
  <c r="E16" i="1" s="1"/>
  <c r="F16" i="1" s="1"/>
  <c r="D15" i="1"/>
  <c r="E15" i="1" s="1"/>
  <c r="F15" i="1" s="1"/>
  <c r="D14" i="1"/>
  <c r="E14" i="1" s="1"/>
  <c r="F14" i="1" s="1"/>
  <c r="D13" i="1"/>
  <c r="E13" i="1" s="1"/>
  <c r="F13" i="1" s="1"/>
  <c r="D12" i="1"/>
  <c r="E12" i="1" s="1"/>
  <c r="F12" i="1" s="1"/>
  <c r="D11" i="1"/>
  <c r="E11" i="1" s="1"/>
  <c r="F11" i="1" s="1"/>
  <c r="D10" i="1"/>
  <c r="E10" i="1" s="1"/>
  <c r="F10" i="1" s="1"/>
  <c r="G10" i="1" s="1"/>
  <c r="AB10" i="1" s="1"/>
  <c r="D9" i="1"/>
  <c r="E9" i="1" s="1"/>
  <c r="F9" i="1" s="1"/>
  <c r="G9" i="1" s="1"/>
  <c r="AB9" i="1" s="1"/>
  <c r="D8" i="1"/>
  <c r="E8" i="1" s="1"/>
  <c r="F8" i="1" s="1"/>
  <c r="G8" i="1" s="1"/>
  <c r="AB8" i="1" s="1"/>
  <c r="G11" i="1"/>
  <c r="G12" i="1"/>
  <c r="AI7" i="9"/>
  <c r="P1" i="1"/>
  <c r="G13" i="1"/>
  <c r="G18" i="1"/>
  <c r="G24" i="1"/>
  <c r="G25" i="1"/>
  <c r="G27" i="1"/>
  <c r="G28" i="1"/>
  <c r="G29" i="1"/>
  <c r="L7" i="9"/>
  <c r="AC1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7" i="1"/>
  <c r="Q3" i="9"/>
  <c r="AC3" i="9"/>
  <c r="Q2" i="9"/>
  <c r="AC2" i="9"/>
  <c r="U2" i="9"/>
  <c r="AF5" i="9"/>
  <c r="P3" i="9" s="1"/>
  <c r="AK7" i="9" s="1"/>
  <c r="U1" i="9"/>
  <c r="H7" i="1"/>
  <c r="G31" i="1"/>
  <c r="G30" i="1"/>
  <c r="G26" i="1"/>
  <c r="G23" i="1"/>
  <c r="G22" i="1"/>
  <c r="G21" i="1"/>
  <c r="G20" i="1"/>
  <c r="G19" i="1"/>
  <c r="G17" i="1"/>
  <c r="G16" i="1"/>
  <c r="G15" i="1"/>
  <c r="G14" i="1"/>
  <c r="J7" i="9" l="1"/>
  <c r="K7" i="9" s="1"/>
  <c r="F7" i="1"/>
  <c r="AF12" i="9"/>
  <c r="AF11" i="9"/>
  <c r="P2" i="9"/>
  <c r="AJ7" i="9" s="1"/>
  <c r="AF14" i="9"/>
  <c r="AE9" i="9"/>
  <c r="AE8" i="9"/>
  <c r="AF13" i="9"/>
  <c r="AF31" i="9"/>
  <c r="AF30" i="9"/>
  <c r="AE29" i="9"/>
  <c r="AF29" i="9"/>
  <c r="AF28" i="9"/>
  <c r="AF27" i="9"/>
  <c r="AF26" i="9"/>
  <c r="AE26" i="9"/>
  <c r="AE25" i="9"/>
  <c r="AF25" i="9"/>
  <c r="AE24" i="9"/>
  <c r="AF24" i="9"/>
  <c r="AF23" i="9"/>
  <c r="AF22" i="9"/>
  <c r="AF21" i="9"/>
  <c r="AE21" i="9"/>
  <c r="AE20" i="9"/>
  <c r="AF20" i="9"/>
  <c r="AF19" i="9"/>
  <c r="AF18" i="9"/>
  <c r="AE17" i="9"/>
  <c r="AF17" i="9"/>
  <c r="AE16" i="9"/>
  <c r="AF16" i="9"/>
  <c r="AF15" i="9"/>
  <c r="AF10" i="9"/>
  <c r="AE10" i="9"/>
  <c r="AF9" i="9"/>
  <c r="AB2" i="9"/>
  <c r="T2" i="9"/>
  <c r="AF8" i="9"/>
  <c r="T1" i="9"/>
  <c r="AL7" i="9" s="1"/>
  <c r="T3" i="9"/>
  <c r="AF7" i="9"/>
  <c r="AE7" i="9"/>
  <c r="AB1" i="9"/>
  <c r="AK11" i="9"/>
  <c r="AK18" i="9"/>
  <c r="AK31" i="9"/>
  <c r="AJ19" i="9"/>
  <c r="AK14" i="9"/>
  <c r="AK16" i="9"/>
  <c r="AK26" i="9"/>
  <c r="AK24" i="9"/>
  <c r="AK22" i="9"/>
  <c r="AK9" i="9"/>
  <c r="AK20" i="9"/>
  <c r="AK27" i="9"/>
  <c r="AK12" i="9"/>
  <c r="AK25" i="9"/>
  <c r="AK23" i="9"/>
  <c r="AK10" i="9"/>
  <c r="AK8" i="9"/>
  <c r="AK29" i="9"/>
  <c r="AK21" i="9"/>
  <c r="AK19" i="9"/>
  <c r="AK30" i="9"/>
  <c r="AK17" i="9"/>
  <c r="AK15" i="9"/>
  <c r="AK28" i="9"/>
  <c r="AK13" i="9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W3" i="1"/>
  <c r="W2" i="1"/>
  <c r="W1" i="1"/>
  <c r="P2" i="1"/>
  <c r="G7" i="1" l="1"/>
  <c r="AJ25" i="9"/>
  <c r="AJ9" i="9"/>
  <c r="AJ13" i="9"/>
  <c r="AJ14" i="9"/>
  <c r="AJ22" i="9"/>
  <c r="AJ11" i="9"/>
  <c r="AJ15" i="9"/>
  <c r="AJ24" i="9"/>
  <c r="AJ21" i="9"/>
  <c r="AJ18" i="9"/>
  <c r="AJ27" i="9"/>
  <c r="AJ26" i="9"/>
  <c r="AJ28" i="9"/>
  <c r="AJ23" i="9"/>
  <c r="AJ29" i="9"/>
  <c r="AE18" i="9"/>
  <c r="AE30" i="9"/>
  <c r="AE12" i="9"/>
  <c r="AE22" i="9"/>
  <c r="AJ31" i="9"/>
  <c r="AJ16" i="9"/>
  <c r="AE15" i="9"/>
  <c r="AE19" i="9"/>
  <c r="AE23" i="9"/>
  <c r="AE31" i="9"/>
  <c r="AJ30" i="9"/>
  <c r="AE27" i="9"/>
  <c r="AJ10" i="9"/>
  <c r="AJ12" i="9"/>
  <c r="AJ20" i="9"/>
  <c r="AJ17" i="9"/>
  <c r="AE28" i="9"/>
  <c r="AE13" i="9"/>
  <c r="AE14" i="9"/>
  <c r="AE11" i="9"/>
  <c r="AJ8" i="9"/>
  <c r="AL27" i="9"/>
  <c r="AL30" i="9"/>
  <c r="AL23" i="9"/>
  <c r="AL25" i="9"/>
  <c r="AL28" i="9"/>
  <c r="AL8" i="9"/>
  <c r="AL12" i="9"/>
  <c r="AL9" i="9"/>
  <c r="AL16" i="9"/>
  <c r="AL17" i="9"/>
  <c r="AL24" i="9"/>
  <c r="AL21" i="9"/>
  <c r="AL13" i="9"/>
  <c r="AL29" i="9"/>
  <c r="AL14" i="9"/>
  <c r="AL10" i="9"/>
  <c r="AL26" i="9"/>
  <c r="AB3" i="9"/>
  <c r="AL19" i="9"/>
  <c r="AL22" i="9"/>
  <c r="AL15" i="9"/>
  <c r="AL20" i="9"/>
  <c r="AL11" i="9"/>
  <c r="AL31" i="9"/>
  <c r="X3" i="9"/>
  <c r="AL18" i="9"/>
  <c r="K4" i="1"/>
  <c r="AE11" i="1" s="1"/>
  <c r="AB7" i="1" l="1"/>
  <c r="O1" i="1"/>
  <c r="V1" i="1"/>
  <c r="V2" i="1"/>
  <c r="AF7" i="1"/>
  <c r="O2" i="1"/>
  <c r="O3" i="1"/>
  <c r="X1" i="9"/>
  <c r="X2" i="9" s="1"/>
  <c r="AE23" i="1"/>
  <c r="AE15" i="1"/>
  <c r="AE7" i="1"/>
  <c r="AE27" i="1"/>
  <c r="AE25" i="1"/>
  <c r="AE17" i="1"/>
  <c r="AE21" i="1"/>
  <c r="AE22" i="1"/>
  <c r="AE26" i="1"/>
  <c r="AE29" i="1"/>
  <c r="AE30" i="1"/>
  <c r="AE13" i="1"/>
  <c r="AE14" i="1"/>
  <c r="AE24" i="1"/>
  <c r="AE19" i="1"/>
  <c r="AE9" i="1"/>
  <c r="AE18" i="1"/>
  <c r="AE28" i="1"/>
  <c r="AE12" i="1"/>
  <c r="AE10" i="1"/>
  <c r="AE20" i="1"/>
  <c r="AE16" i="1"/>
  <c r="AE31" i="1"/>
  <c r="AE8" i="1"/>
  <c r="AD15" i="1"/>
  <c r="AD23" i="1"/>
  <c r="AD31" i="1"/>
  <c r="AD9" i="1"/>
  <c r="AD14" i="1"/>
  <c r="AD22" i="1"/>
  <c r="AD30" i="1"/>
  <c r="AD16" i="1"/>
  <c r="AD25" i="1"/>
  <c r="AD11" i="1"/>
  <c r="AD19" i="1"/>
  <c r="AD27" i="1"/>
  <c r="AD24" i="1"/>
  <c r="AD7" i="1"/>
  <c r="AD8" i="1"/>
  <c r="AD13" i="1"/>
  <c r="AD21" i="1"/>
  <c r="AD29" i="1"/>
  <c r="AD17" i="1"/>
  <c r="AD10" i="1"/>
  <c r="AD18" i="1"/>
  <c r="AD26" i="1"/>
  <c r="AD12" i="1"/>
  <c r="AD20" i="1"/>
  <c r="AD28" i="1"/>
  <c r="Y8" i="1"/>
  <c r="Y17" i="1"/>
  <c r="Y22" i="1"/>
  <c r="Y30" i="1"/>
  <c r="Y25" i="1"/>
  <c r="Y27" i="1"/>
  <c r="Y16" i="1"/>
  <c r="Y24" i="1"/>
  <c r="Y9" i="1"/>
  <c r="Y15" i="1"/>
  <c r="Y31" i="1"/>
  <c r="Y23" i="1"/>
  <c r="Y28" i="1"/>
  <c r="Y20" i="1"/>
  <c r="Y12" i="1"/>
  <c r="Y19" i="1"/>
  <c r="Y11" i="1"/>
  <c r="Y29" i="1"/>
  <c r="Y18" i="1"/>
  <c r="Y14" i="1"/>
  <c r="Y26" i="1"/>
  <c r="Y21" i="1"/>
  <c r="Y10" i="1"/>
  <c r="Y13" i="1"/>
  <c r="V3" i="1" l="1"/>
  <c r="AF29" i="1"/>
  <c r="AF15" i="1"/>
  <c r="AF10" i="1"/>
  <c r="AF24" i="1"/>
  <c r="AF27" i="1"/>
  <c r="AF19" i="1"/>
  <c r="AF11" i="1"/>
  <c r="AF31" i="1"/>
  <c r="AF25" i="1"/>
  <c r="AF23" i="1"/>
  <c r="AF17" i="1"/>
  <c r="AF26" i="1"/>
  <c r="AF9" i="1"/>
  <c r="AF28" i="1"/>
  <c r="AF20" i="1"/>
  <c r="AF12" i="1"/>
  <c r="AF14" i="1"/>
  <c r="AF21" i="1"/>
  <c r="AF13" i="1"/>
  <c r="AF18" i="1"/>
  <c r="AF30" i="1"/>
  <c r="AF16" i="1"/>
  <c r="AF22" i="1"/>
  <c r="AF8" i="1"/>
  <c r="Z21" i="1"/>
  <c r="Z22" i="1"/>
  <c r="Z18" i="1"/>
  <c r="Z23" i="1"/>
  <c r="Z9" i="1"/>
  <c r="Z31" i="1"/>
  <c r="Z13" i="1"/>
  <c r="Z14" i="1"/>
  <c r="Z12" i="1"/>
  <c r="Z10" i="1"/>
  <c r="Z11" i="1"/>
  <c r="Z29" i="1"/>
  <c r="Z28" i="1"/>
  <c r="Z16" i="1"/>
  <c r="Z17" i="1"/>
  <c r="Z24" i="1"/>
  <c r="Z25" i="1"/>
  <c r="Z8" i="1"/>
  <c r="Z27" i="1"/>
  <c r="Z15" i="1"/>
  <c r="Z20" i="1"/>
  <c r="Z19" i="1"/>
  <c r="Z30" i="1"/>
  <c r="Z26" i="1"/>
  <c r="S1" i="1"/>
  <c r="S2" i="1" s="1"/>
  <c r="S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Arnaud Da silva</author>
  </authors>
  <commentList>
    <comment ref="J1" authorId="0" shapeId="0" xr:uid="{EE05B72D-3909-0A4A-9011-6FDFB749DB7A}">
      <text>
        <r>
          <rPr>
            <b/>
            <sz val="10"/>
            <color rgb="FF000000"/>
            <rFont val="Tahoma"/>
            <family val="2"/>
          </rPr>
          <t>Arnaud Da silva: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poids nominal (g)</t>
        </r>
      </text>
    </comment>
    <comment ref="K1" authorId="0" shapeId="0" xr:uid="{9420C758-326B-4E45-8521-C355DADCC385}">
      <text>
        <r>
          <rPr>
            <b/>
            <sz val="10"/>
            <color rgb="FF000000"/>
            <rFont val="Tahoma"/>
            <family val="2"/>
          </rPr>
          <t>Arnaud Da silva: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to be complete not by operator</t>
        </r>
      </text>
    </comment>
    <comment ref="K2" authorId="0" shapeId="0" xr:uid="{2506C855-01CF-5A40-A40C-978433727A76}">
      <text>
        <r>
          <rPr>
            <b/>
            <sz val="10"/>
            <color rgb="FF000000"/>
            <rFont val="Tahoma"/>
            <family val="2"/>
          </rPr>
          <t>Arnaud Da silva: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chaque debut bobine emballage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à rentrer par opérateur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une fois que c change go to cell + 1</t>
        </r>
      </text>
    </comment>
    <comment ref="K3" authorId="0" shapeId="0" xr:uid="{D1FC98B3-9923-A94C-903C-D6AA4C47FA95}">
      <text>
        <r>
          <rPr>
            <b/>
            <sz val="10"/>
            <color rgb="FF000000"/>
            <rFont val="Tahoma"/>
            <family val="2"/>
          </rPr>
          <t>Arnaud Da silva: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cf regle aurtre fichier droite</t>
        </r>
      </text>
    </comment>
    <comment ref="G10" authorId="0" shapeId="0" xr:uid="{777DFFDF-1B67-FD4A-AB4D-AA016C9792AF}">
      <text>
        <r>
          <rPr>
            <b/>
            <sz val="10"/>
            <color rgb="FF000000"/>
            <rFont val="Tahoma"/>
            <family val="2"/>
          </rPr>
          <t>Arnaud Da silva: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si poids net &gt; TU1 good, si =TU1 et &gt;TU2 alors orange si =TU2 ou en dessous rouge</t>
        </r>
      </text>
    </comment>
  </commentList>
</comments>
</file>

<file path=xl/sharedStrings.xml><?xml version="1.0" encoding="utf-8"?>
<sst xmlns="http://schemas.openxmlformats.org/spreadsheetml/2006/main" count="133" uniqueCount="74">
  <si>
    <t>QN</t>
  </si>
  <si>
    <t>E</t>
  </si>
  <si>
    <t>Moyenne</t>
  </si>
  <si>
    <t>Nb TU1</t>
  </si>
  <si>
    <t>TU1</t>
  </si>
  <si>
    <t>TU2</t>
  </si>
  <si>
    <t>Nb TU2</t>
  </si>
  <si>
    <t>Min</t>
  </si>
  <si>
    <t>Max</t>
  </si>
  <si>
    <t>Etendue</t>
  </si>
  <si>
    <t>% TU1</t>
  </si>
  <si>
    <t>Tare</t>
  </si>
  <si>
    <t>Poids Brut</t>
  </si>
  <si>
    <t>Poids Net</t>
  </si>
  <si>
    <t>Date</t>
  </si>
  <si>
    <t>N° de Lot</t>
  </si>
  <si>
    <t>Produit</t>
  </si>
  <si>
    <t>Opérateur</t>
  </si>
  <si>
    <t>Ecart Type</t>
  </si>
  <si>
    <t>Valeur</t>
  </si>
  <si>
    <t>Brut</t>
  </si>
  <si>
    <t>Nb échant.</t>
  </si>
  <si>
    <t>Pesée</t>
  </si>
  <si>
    <t>LANGUE</t>
  </si>
  <si>
    <t>FRANCAISE</t>
  </si>
  <si>
    <t>UNITE-1</t>
  </si>
  <si>
    <t>g</t>
  </si>
  <si>
    <t>DONNEES D'IMPRESSION</t>
  </si>
  <si>
    <t>DEPART AUTO</t>
  </si>
  <si>
    <t>NON</t>
  </si>
  <si>
    <t>MODE</t>
  </si>
  <si>
    <t>CHANG. DE POIDS</t>
  </si>
  <si>
    <t>CHG. POIDS</t>
  </si>
  <si>
    <t>5.00 g</t>
  </si>
  <si>
    <t>FORMAT D'IMPRESSION</t>
  </si>
  <si>
    <t>DATE ET HEURE</t>
  </si>
  <si>
    <t>ID-BALANCE</t>
  </si>
  <si>
    <t>ID-PRODUIT</t>
  </si>
  <si>
    <t>BRUT ET TARE</t>
  </si>
  <si>
    <t>UNITE</t>
  </si>
  <si>
    <t>ID-OPERATEUR</t>
  </si>
  <si>
    <t>SAUT DE LIGNE</t>
  </si>
  <si>
    <t>CALIBRAGE</t>
  </si>
  <si>
    <t>AUTO</t>
  </si>
  <si>
    <t>AUTOCAL.</t>
  </si>
  <si>
    <t>HEURE/TEMP.</t>
  </si>
  <si>
    <t>AUTOCAL. HEURE</t>
  </si>
  <si>
    <t>6 h</t>
  </si>
  <si>
    <t>Ajustage automatique à 6h00 du matin</t>
  </si>
  <si>
    <t xml:space="preserve">PROTOCOLE </t>
  </si>
  <si>
    <t>Evite le transfert du rapport suite à ajustage</t>
  </si>
  <si>
    <t>MODE DE PESEE</t>
  </si>
  <si>
    <t>Réglage usine</t>
  </si>
  <si>
    <t>INTERFACE</t>
  </si>
  <si>
    <t>HID</t>
  </si>
  <si>
    <t>JEU DE CARACT.</t>
  </si>
  <si>
    <t>FRA</t>
  </si>
  <si>
    <t>FORMAT</t>
  </si>
  <si>
    <t>LIGNE</t>
  </si>
  <si>
    <t>COLONNE POUR o</t>
  </si>
  <si>
    <t>COLONNE POUR &lt;&gt;</t>
  </si>
  <si>
    <t>NA</t>
  </si>
  <si>
    <t>MOT DE PASSE</t>
  </si>
  <si>
    <t>CODE ANTIVOL</t>
  </si>
  <si>
    <t xml:space="preserve">SON CLAVIER </t>
  </si>
  <si>
    <t>OUI</t>
  </si>
  <si>
    <t>BUS</t>
  </si>
  <si>
    <t>ENTREE Ext,</t>
  </si>
  <si>
    <t xml:space="preserve">o         26,7 ( 7 ) </t>
  </si>
  <si>
    <t xml:space="preserve">o        103,9 ( 7 ) </t>
  </si>
  <si>
    <t>au bout de 10 relevés - echantillons</t>
  </si>
  <si>
    <t>moyenne longue et moyenne courte</t>
  </si>
  <si>
    <t>to be complete by the operator</t>
  </si>
  <si>
    <t>no need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</si>
</sst>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/yy\ h:mm;@"/>
  </numFmts>
  <fonts count="8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3" xfId="0" applyBorder="1" applyAlignment="1">
      <alignment horizontal="left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left"/>
    </xf>
    <xf numFmtId="2" fontId="1" fillId="0" borderId="0" xfId="0" applyNumberFormat="1" applyFont="1" applyAlignment="1">
      <alignment horizontal="left" indent="1"/>
    </xf>
    <xf numFmtId="2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 indent="1"/>
    </xf>
    <xf numFmtId="0" fontId="0" fillId="0" borderId="2" xfId="0" applyBorder="1" applyAlignment="1">
      <alignment horizontal="right"/>
    </xf>
    <xf numFmtId="0" fontId="0" fillId="3" borderId="0" xfId="0" applyFill="1"/>
    <xf numFmtId="0" fontId="0" fillId="0" borderId="2" xfId="0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2" fontId="1" fillId="0" borderId="0" xfId="0" applyNumberFormat="1" applyFont="1" applyAlignment="1">
      <alignment horizontal="righ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2" xfId="0" applyNumberFormat="1" applyBorder="1" applyAlignment="1">
      <alignment horizontal="right"/>
    </xf>
    <xf numFmtId="2" fontId="0" fillId="0" borderId="0" xfId="0" applyNumberFormat="1" applyAlignment="1">
      <alignment horizontal="left"/>
    </xf>
    <xf numFmtId="2" fontId="0" fillId="0" borderId="0" xfId="0" applyNumberFormat="1" applyAlignment="1">
      <alignment horizontal="right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0" fillId="5" borderId="2" xfId="0" applyFill="1" applyBorder="1" applyAlignment="1">
      <alignment horizontal="left"/>
    </xf>
    <xf numFmtId="2" fontId="0" fillId="0" borderId="6" xfId="0" applyNumberFormat="1" applyBorder="1" applyAlignment="1">
      <alignment horizontal="right"/>
    </xf>
    <xf numFmtId="0" fontId="0" fillId="0" borderId="7" xfId="0" applyBorder="1" applyAlignment="1">
      <alignment horizontal="left"/>
    </xf>
    <xf numFmtId="0" fontId="1" fillId="0" borderId="2" xfId="0" applyFont="1" applyBorder="1" applyAlignment="1" applyProtection="1">
      <alignment horizontal="right"/>
      <protection locked="0"/>
    </xf>
    <xf numFmtId="0" fontId="1" fillId="0" borderId="3" xfId="0" applyFont="1" applyBorder="1" applyAlignment="1" applyProtection="1">
      <alignment horizontal="left"/>
      <protection locked="0"/>
    </xf>
    <xf numFmtId="0" fontId="1" fillId="0" borderId="1" xfId="0" applyFont="1" applyBorder="1"/>
    <xf numFmtId="165" fontId="0" fillId="3" borderId="0" xfId="0" applyNumberFormat="1" applyFill="1"/>
    <xf numFmtId="164" fontId="0" fillId="0" borderId="1" xfId="0" applyNumberFormat="1" applyBorder="1" applyAlignment="1">
      <alignment horizontal="center"/>
    </xf>
    <xf numFmtId="0" fontId="0" fillId="0" borderId="3" xfId="0" applyBorder="1" applyAlignment="1" applyProtection="1">
      <alignment horizontal="left"/>
      <protection locked="0"/>
    </xf>
    <xf numFmtId="0" fontId="4" fillId="0" borderId="0" xfId="0" applyFont="1"/>
    <xf numFmtId="0" fontId="5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1" fillId="0" borderId="2" xfId="0" applyFont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8" borderId="2" xfId="0" applyFon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6" fontId="0" fillId="6" borderId="4" xfId="0" applyNumberFormat="1" applyFill="1" applyBorder="1" applyAlignment="1" applyProtection="1">
      <alignment horizontal="left" indent="1"/>
      <protection locked="0"/>
    </xf>
    <xf numFmtId="166" fontId="0" fillId="6" borderId="3" xfId="0" applyNumberFormat="1" applyFill="1" applyBorder="1" applyAlignment="1" applyProtection="1">
      <alignment horizontal="left" indent="1"/>
      <protection locked="0"/>
    </xf>
    <xf numFmtId="0" fontId="0" fillId="2" borderId="4" xfId="0" applyFill="1" applyBorder="1" applyAlignment="1" applyProtection="1">
      <alignment horizontal="left" indent="1"/>
      <protection locked="0"/>
    </xf>
    <xf numFmtId="0" fontId="0" fillId="2" borderId="3" xfId="0" applyFill="1" applyBorder="1" applyAlignment="1" applyProtection="1">
      <alignment horizontal="left" indent="1"/>
      <protection locked="0"/>
    </xf>
    <xf numFmtId="0" fontId="4" fillId="7" borderId="4" xfId="0" applyFont="1" applyFill="1" applyBorder="1" applyAlignment="1" applyProtection="1">
      <alignment horizontal="center"/>
      <protection locked="0"/>
    </xf>
    <xf numFmtId="0" fontId="4" fillId="7" borderId="3" xfId="0" applyFont="1" applyFill="1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0" fillId="6" borderId="1" xfId="0" applyNumberFormat="1" applyFill="1" applyBorder="1" applyAlignment="1" applyProtection="1">
      <alignment horizontal="left" indent="1"/>
      <protection locked="0"/>
    </xf>
    <xf numFmtId="0" fontId="0" fillId="6" borderId="1" xfId="0" applyFill="1" applyBorder="1" applyAlignment="1" applyProtection="1">
      <alignment horizontal="left" indent="1"/>
      <protection locked="0"/>
    </xf>
    <xf numFmtId="0" fontId="1" fillId="0" borderId="2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27">
    <dxf>
      <font>
        <color auto="1"/>
      </font>
      <fill>
        <patternFill>
          <bgColor theme="0" tint="-0.14996795556505021"/>
        </patternFill>
      </fill>
    </dxf>
    <dxf>
      <font>
        <b val="0"/>
        <i val="0"/>
      </font>
      <fill>
        <patternFill>
          <bgColor theme="7" tint="0.39994506668294322"/>
        </patternFill>
      </fill>
    </dxf>
    <dxf>
      <font>
        <b val="0"/>
        <i val="0"/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 patternType="solid">
          <fgColor auto="1"/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fgColor auto="1"/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 val="0"/>
        <i val="0"/>
      </font>
      <fill>
        <patternFill>
          <bgColor theme="7" tint="0.39994506668294322"/>
        </patternFill>
      </fill>
    </dxf>
    <dxf>
      <font>
        <b val="0"/>
        <i val="0"/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 patternType="solid">
          <fgColor auto="1"/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fgColor auto="1"/>
          <bgColor theme="9" tint="0.39994506668294322"/>
        </patternFill>
      </fill>
    </dxf>
    <dxf>
      <font>
        <color auto="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5050"/>
      <color rgb="FFFF3300"/>
      <color rgb="FFFF7C80"/>
      <color rgb="FFFF6969"/>
      <color rgb="FFFF6565"/>
      <color rgb="FFFF7979"/>
      <color rgb="FFFFCC66"/>
      <color rgb="FFFF8C71"/>
      <color rgb="FF1AC81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038420532883571E-2"/>
          <c:y val="9.0144324178174015E-2"/>
          <c:w val="0.92675936140889748"/>
          <c:h val="0.81692331681856489"/>
        </c:manualLayout>
      </c:layout>
      <c:lineChart>
        <c:grouping val="standard"/>
        <c:varyColors val="0"/>
        <c:ser>
          <c:idx val="0"/>
          <c:order val="0"/>
          <c:tx>
            <c:strRef>
              <c:f>'Tare théorique - QN en g'!$AB$6</c:f>
              <c:strCache>
                <c:ptCount val="1"/>
                <c:pt idx="0">
                  <c:v>Valeur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"/>
            <c:marker>
              <c:symbol val="diamond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C-43BC-AE2D-848C7A95E47E}"/>
              </c:ext>
            </c:extLst>
          </c:dPt>
          <c:val>
            <c:numRef>
              <c:f>'Tare théorique - QN en g'!$AB$7:$AB$31</c:f>
              <c:numCache>
                <c:formatCode>General</c:formatCode>
                <c:ptCount val="25"/>
                <c:pt idx="0">
                  <c:v>20.77</c:v>
                </c:pt>
                <c:pt idx="1">
                  <c:v>20.77</c:v>
                </c:pt>
                <c:pt idx="2">
                  <c:v>20.77</c:v>
                </c:pt>
                <c:pt idx="3">
                  <c:v>97.97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F-4BB9-9116-26F607F14032}"/>
            </c:ext>
          </c:extLst>
        </c:ser>
        <c:ser>
          <c:idx val="1"/>
          <c:order val="1"/>
          <c:tx>
            <c:strRef>
              <c:f>'Tare théorique - QN en g'!$AC$6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 cmpd="dbl">
              <a:solidFill>
                <a:schemeClr val="tx1">
                  <a:lumMod val="65000"/>
                  <a:lumOff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'Tare théorique - QN en g'!$AC$7:$AC$31</c:f>
              <c:numCache>
                <c:formatCode>General</c:formatCode>
                <c:ptCount val="2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F-4BB9-9116-26F607F14032}"/>
            </c:ext>
          </c:extLst>
        </c:ser>
        <c:ser>
          <c:idx val="2"/>
          <c:order val="2"/>
          <c:tx>
            <c:strRef>
              <c:f>'Tare théorique - QN en g'!$AD$6</c:f>
              <c:strCache>
                <c:ptCount val="1"/>
                <c:pt idx="0">
                  <c:v>TU1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'Tare théorique - QN en g'!$AD$7:$AD$31</c:f>
              <c:numCache>
                <c:formatCode>General</c:formatCode>
                <c:ptCount val="25"/>
                <c:pt idx="0">
                  <c:v>18.2</c:v>
                </c:pt>
                <c:pt idx="1">
                  <c:v>18.2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18.2</c:v>
                </c:pt>
                <c:pt idx="13">
                  <c:v>18.2</c:v>
                </c:pt>
                <c:pt idx="14">
                  <c:v>18.2</c:v>
                </c:pt>
                <c:pt idx="15">
                  <c:v>18.2</c:v>
                </c:pt>
                <c:pt idx="16">
                  <c:v>18.2</c:v>
                </c:pt>
                <c:pt idx="17">
                  <c:v>18.2</c:v>
                </c:pt>
                <c:pt idx="18">
                  <c:v>18.2</c:v>
                </c:pt>
                <c:pt idx="19">
                  <c:v>18.2</c:v>
                </c:pt>
                <c:pt idx="20">
                  <c:v>18.2</c:v>
                </c:pt>
                <c:pt idx="21">
                  <c:v>18.2</c:v>
                </c:pt>
                <c:pt idx="22">
                  <c:v>18.2</c:v>
                </c:pt>
                <c:pt idx="23">
                  <c:v>18.2</c:v>
                </c:pt>
                <c:pt idx="24">
                  <c:v>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5F-4BB9-9116-26F607F14032}"/>
            </c:ext>
          </c:extLst>
        </c:ser>
        <c:ser>
          <c:idx val="3"/>
          <c:order val="3"/>
          <c:tx>
            <c:strRef>
              <c:f>'Tare théorique - QN en g'!$AE$6</c:f>
              <c:strCache>
                <c:ptCount val="1"/>
                <c:pt idx="0">
                  <c:v>TU2</c:v>
                </c:pt>
              </c:strCache>
            </c:strRef>
          </c:tx>
          <c:spPr>
            <a:ln w="19050" cap="rnd" cmpd="sng">
              <a:solidFill>
                <a:srgbClr val="FF0000"/>
              </a:solidFill>
              <a:round/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val>
            <c:numRef>
              <c:f>'Tare théorique - QN en g'!$AE$7:$AE$31</c:f>
              <c:numCache>
                <c:formatCode>General</c:formatCode>
                <c:ptCount val="25"/>
                <c:pt idx="0">
                  <c:v>16.399999999999999</c:v>
                </c:pt>
                <c:pt idx="1">
                  <c:v>16.399999999999999</c:v>
                </c:pt>
                <c:pt idx="2">
                  <c:v>16.399999999999999</c:v>
                </c:pt>
                <c:pt idx="3">
                  <c:v>16.399999999999999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16.399999999999999</c:v>
                </c:pt>
                <c:pt idx="7">
                  <c:v>16.399999999999999</c:v>
                </c:pt>
                <c:pt idx="8">
                  <c:v>16.399999999999999</c:v>
                </c:pt>
                <c:pt idx="9">
                  <c:v>16.399999999999999</c:v>
                </c:pt>
                <c:pt idx="10">
                  <c:v>16.399999999999999</c:v>
                </c:pt>
                <c:pt idx="11">
                  <c:v>16.399999999999999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16.399999999999999</c:v>
                </c:pt>
                <c:pt idx="15">
                  <c:v>16.399999999999999</c:v>
                </c:pt>
                <c:pt idx="16">
                  <c:v>16.399999999999999</c:v>
                </c:pt>
                <c:pt idx="17">
                  <c:v>16.399999999999999</c:v>
                </c:pt>
                <c:pt idx="18">
                  <c:v>16.399999999999999</c:v>
                </c:pt>
                <c:pt idx="19">
                  <c:v>16.399999999999999</c:v>
                </c:pt>
                <c:pt idx="20">
                  <c:v>16.399999999999999</c:v>
                </c:pt>
                <c:pt idx="21">
                  <c:v>16.399999999999999</c:v>
                </c:pt>
                <c:pt idx="22">
                  <c:v>16.399999999999999</c:v>
                </c:pt>
                <c:pt idx="23">
                  <c:v>16.399999999999999</c:v>
                </c:pt>
                <c:pt idx="24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5F-4BB9-9116-26F607F14032}"/>
            </c:ext>
          </c:extLst>
        </c:ser>
        <c:ser>
          <c:idx val="4"/>
          <c:order val="4"/>
          <c:tx>
            <c:strRef>
              <c:f>'Tare théorique - QN en g'!$AF$6</c:f>
              <c:strCache>
                <c:ptCount val="1"/>
                <c:pt idx="0">
                  <c:v>Moyenne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'Tare théorique - QN en g'!$AF$7:$AF$31</c:f>
              <c:numCache>
                <c:formatCode>General</c:formatCode>
                <c:ptCount val="25"/>
                <c:pt idx="0">
                  <c:v>40.07</c:v>
                </c:pt>
                <c:pt idx="1">
                  <c:v>40.07</c:v>
                </c:pt>
                <c:pt idx="2">
                  <c:v>40.07</c:v>
                </c:pt>
                <c:pt idx="3">
                  <c:v>40.07</c:v>
                </c:pt>
                <c:pt idx="4">
                  <c:v>40.07</c:v>
                </c:pt>
                <c:pt idx="5">
                  <c:v>40.07</c:v>
                </c:pt>
                <c:pt idx="6">
                  <c:v>40.07</c:v>
                </c:pt>
                <c:pt idx="7">
                  <c:v>40.07</c:v>
                </c:pt>
                <c:pt idx="8">
                  <c:v>40.07</c:v>
                </c:pt>
                <c:pt idx="9">
                  <c:v>40.07</c:v>
                </c:pt>
                <c:pt idx="10">
                  <c:v>40.07</c:v>
                </c:pt>
                <c:pt idx="11">
                  <c:v>40.07</c:v>
                </c:pt>
                <c:pt idx="12">
                  <c:v>40.07</c:v>
                </c:pt>
                <c:pt idx="13">
                  <c:v>40.07</c:v>
                </c:pt>
                <c:pt idx="14">
                  <c:v>40.07</c:v>
                </c:pt>
                <c:pt idx="15">
                  <c:v>40.07</c:v>
                </c:pt>
                <c:pt idx="16">
                  <c:v>40.07</c:v>
                </c:pt>
                <c:pt idx="17">
                  <c:v>40.07</c:v>
                </c:pt>
                <c:pt idx="18">
                  <c:v>40.07</c:v>
                </c:pt>
                <c:pt idx="19">
                  <c:v>40.07</c:v>
                </c:pt>
                <c:pt idx="20">
                  <c:v>40.07</c:v>
                </c:pt>
                <c:pt idx="21">
                  <c:v>40.07</c:v>
                </c:pt>
                <c:pt idx="22">
                  <c:v>40.07</c:v>
                </c:pt>
                <c:pt idx="23">
                  <c:v>40.07</c:v>
                </c:pt>
                <c:pt idx="24">
                  <c:v>40.07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5F-4BB9-9116-26F607F14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38928"/>
        <c:axId val="666448288"/>
      </c:lineChart>
      <c:catAx>
        <c:axId val="66643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8288"/>
        <c:crosses val="autoZero"/>
        <c:auto val="1"/>
        <c:lblAlgn val="ctr"/>
        <c:lblOffset val="100"/>
        <c:noMultiLvlLbl val="0"/>
      </c:catAx>
      <c:valAx>
        <c:axId val="66644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3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034536772207193E-2"/>
          <c:y val="9.6048901747929294E-2"/>
          <c:w val="0.89221809245499284"/>
          <c:h val="0.81668651141596971"/>
        </c:manualLayout>
      </c:layout>
      <c:lineChart>
        <c:grouping val="standard"/>
        <c:varyColors val="0"/>
        <c:ser>
          <c:idx val="0"/>
          <c:order val="0"/>
          <c:tx>
            <c:strRef>
              <c:f>' Tare Individuelle - QN en g'!$AH$6</c:f>
              <c:strCache>
                <c:ptCount val="1"/>
                <c:pt idx="0">
                  <c:v>Valeur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 Tare Individuelle - QN en g'!$AH$7:$AH$31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F-4978-A495-AEB03CC5B704}"/>
            </c:ext>
          </c:extLst>
        </c:ser>
        <c:ser>
          <c:idx val="1"/>
          <c:order val="1"/>
          <c:tx>
            <c:strRef>
              <c:f>' Tare Individuelle - QN en g'!$AI$6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 cmpd="dbl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 Tare Individuelle - QN en g'!$AI$7:$AI$31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F-4978-A495-AEB03CC5B704}"/>
            </c:ext>
          </c:extLst>
        </c:ser>
        <c:ser>
          <c:idx val="2"/>
          <c:order val="2"/>
          <c:tx>
            <c:strRef>
              <c:f>' Tare Individuelle - QN en g'!$AJ$6</c:f>
              <c:strCache>
                <c:ptCount val="1"/>
                <c:pt idx="0">
                  <c:v>TU1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 Tare Individuelle - QN en g'!$AJ$7:$AJ$31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9F-4978-A495-AEB03CC5B704}"/>
            </c:ext>
          </c:extLst>
        </c:ser>
        <c:ser>
          <c:idx val="3"/>
          <c:order val="3"/>
          <c:tx>
            <c:strRef>
              <c:f>' Tare Individuelle - QN en g'!$AK$6</c:f>
              <c:strCache>
                <c:ptCount val="1"/>
                <c:pt idx="0">
                  <c:v>TU2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 Tare Individuelle - QN en g'!$AK$7:$AK$31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9F-4978-A495-AEB03CC5B704}"/>
            </c:ext>
          </c:extLst>
        </c:ser>
        <c:ser>
          <c:idx val="4"/>
          <c:order val="4"/>
          <c:tx>
            <c:strRef>
              <c:f>' Tare Individuelle - QN en g'!$AL$6</c:f>
              <c:strCache>
                <c:ptCount val="1"/>
                <c:pt idx="0">
                  <c:v>Moyenne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' Tare Individuelle - QN en g'!$AL$7:$AL$31</c:f>
              <c:numCache>
                <c:formatCode>General</c:formatCode>
                <c:ptCount val="25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89F-4978-A495-AEB03CC5B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14624"/>
        <c:axId val="538313544"/>
      </c:lineChart>
      <c:catAx>
        <c:axId val="53831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13544"/>
        <c:crosses val="autoZero"/>
        <c:auto val="1"/>
        <c:lblAlgn val="ctr"/>
        <c:lblOffset val="100"/>
        <c:noMultiLvlLbl val="0"/>
      </c:catAx>
      <c:valAx>
        <c:axId val="53831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1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162098</xdr:colOff>
      <xdr:row>4</xdr:row>
      <xdr:rowOff>149623</xdr:rowOff>
    </xdr:from>
    <xdr:to>
      <xdr:col>22</xdr:col>
      <xdr:colOff>199505</xdr:colOff>
      <xdr:row>30</xdr:row>
      <xdr:rowOff>124691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B555FE4-E4F3-CE0C-5129-F39A859D6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37403</xdr:colOff>
      <xdr:row>4</xdr:row>
      <xdr:rowOff>166254</xdr:rowOff>
    </xdr:from>
    <xdr:to>
      <xdr:col>28</xdr:col>
      <xdr:colOff>174567</xdr:colOff>
      <xdr:row>31</xdr:row>
      <xdr:rowOff>8312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FA93A72-29D4-FAA5-72C2-8D18706B96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A783D-1A96-44A7-888E-637629077A41}">
  <sheetPr codeName="Feuil1"/>
  <dimension ref="A1:AF41"/>
  <sheetViews>
    <sheetView showGridLines="0" tabSelected="1" zoomScale="125" workbookViewId="0">
      <selection activeCell="M35" sqref="M35"/>
    </sheetView>
  </sheetViews>
  <sheetFormatPr baseColWidth="10" defaultRowHeight="13" x14ac:dyDescent="0.15"/>
  <cols>
    <col min="1" max="1" width="10" style="7" bestFit="1" customWidth="1"/>
    <col min="2" max="2" width="14.5" style="20" customWidth="1"/>
    <col min="3" max="3" width="3.1640625" style="5" customWidth="1"/>
    <col min="4" max="4" width="3.5" style="7" hidden="1" customWidth="1"/>
    <col min="5" max="5" width="3.6640625" style="7" hidden="1" customWidth="1"/>
    <col min="6" max="6" width="3.5" style="7" hidden="1" customWidth="1"/>
    <col min="7" max="7" width="9.5" style="20" customWidth="1"/>
    <col min="8" max="8" width="3.1640625" style="5" customWidth="1"/>
    <col min="9" max="9" width="2.5" style="7" customWidth="1"/>
    <col min="10" max="10" width="7.5" style="7" customWidth="1"/>
    <col min="11" max="11" width="10.5" style="7" customWidth="1"/>
    <col min="12" max="12" width="3.1640625" style="5" customWidth="1"/>
    <col min="13" max="13" width="1.5" style="5" customWidth="1"/>
    <col min="14" max="14" width="12" style="5" customWidth="1"/>
    <col min="15" max="15" width="10.5" style="20" customWidth="1"/>
    <col min="16" max="16" width="3.1640625" style="5" customWidth="1"/>
    <col min="17" max="17" width="1.5" style="5" customWidth="1"/>
    <col min="18" max="19" width="10.5" style="5" customWidth="1"/>
    <col min="20" max="20" width="1.5" customWidth="1"/>
    <col min="21" max="21" width="9.6640625" customWidth="1"/>
    <col min="22" max="22" width="10.5" customWidth="1"/>
    <col min="23" max="23" width="3.1640625" style="5" customWidth="1"/>
    <col min="24" max="24" width="2.6640625" customWidth="1"/>
    <col min="25" max="25" width="4.33203125" customWidth="1"/>
    <col min="26" max="26" width="4.5" customWidth="1"/>
    <col min="27" max="27" width="2.1640625" customWidth="1"/>
    <col min="28" max="28" width="6" customWidth="1"/>
    <col min="29" max="29" width="3.5" customWidth="1"/>
    <col min="30" max="31" width="4.33203125" customWidth="1"/>
    <col min="32" max="32" width="8.1640625" customWidth="1"/>
  </cols>
  <sheetData>
    <row r="1" spans="1:32" x14ac:dyDescent="0.15">
      <c r="A1" s="23" t="s">
        <v>14</v>
      </c>
      <c r="B1" s="56">
        <f ca="1">NOW()</f>
        <v>45645.346698379632</v>
      </c>
      <c r="C1" s="56"/>
      <c r="D1" s="56"/>
      <c r="E1" s="56"/>
      <c r="F1" s="56"/>
      <c r="G1" s="56"/>
      <c r="H1" s="57"/>
      <c r="I1"/>
      <c r="J1" s="44" t="s">
        <v>0</v>
      </c>
      <c r="K1" s="51">
        <v>20</v>
      </c>
      <c r="L1" s="35" t="s">
        <v>26</v>
      </c>
      <c r="N1" s="22" t="s">
        <v>2</v>
      </c>
      <c r="O1" s="25">
        <f>IF(B7=0," ",AVERAGE(G7:G31))</f>
        <v>40.07</v>
      </c>
      <c r="P1" s="1" t="str">
        <f>IF($B$7=0," ",$L$1)</f>
        <v>g</v>
      </c>
      <c r="R1" s="23" t="s">
        <v>3</v>
      </c>
      <c r="S1" s="11">
        <f>IF(B7=0," ",SUBTOTAL(9,Y7:Y31))</f>
        <v>0</v>
      </c>
      <c r="T1" s="7"/>
      <c r="U1" s="22" t="s">
        <v>8</v>
      </c>
      <c r="V1" s="16">
        <f>IF(B7=0," ",MAX(G7:G31))</f>
        <v>97.97</v>
      </c>
      <c r="W1" s="1" t="str">
        <f>IF($B$7=0," ",$L$1)</f>
        <v>g</v>
      </c>
      <c r="X1" s="7"/>
    </row>
    <row r="2" spans="1:32" x14ac:dyDescent="0.15">
      <c r="A2" s="23" t="s">
        <v>16</v>
      </c>
      <c r="B2" s="58" t="s">
        <v>72</v>
      </c>
      <c r="C2" s="58"/>
      <c r="D2" s="58"/>
      <c r="E2" s="58"/>
      <c r="F2" s="58"/>
      <c r="G2" s="58"/>
      <c r="H2" s="59"/>
      <c r="I2"/>
      <c r="J2" s="11" t="s">
        <v>11</v>
      </c>
      <c r="K2" s="52">
        <v>6</v>
      </c>
      <c r="L2" s="1" t="str">
        <f>IF(K2=0, " ",L1)</f>
        <v>g</v>
      </c>
      <c r="N2" s="22" t="s">
        <v>18</v>
      </c>
      <c r="O2" s="32">
        <f>IF(B8=0," ",_xlfn.STDEV.S(G7:G31))</f>
        <v>38.6</v>
      </c>
      <c r="P2" s="33" t="str">
        <f>IF($B$7=0," ",$L$1)</f>
        <v>g</v>
      </c>
      <c r="R2" s="23" t="s">
        <v>10</v>
      </c>
      <c r="S2" s="38">
        <f>IF(B7=0," ",(S1/O3)*100)</f>
        <v>0</v>
      </c>
      <c r="T2" s="7"/>
      <c r="U2" s="22" t="s">
        <v>7</v>
      </c>
      <c r="V2" s="16">
        <f>IF(B7=0," ",MIN(G7:G31))</f>
        <v>20.77</v>
      </c>
      <c r="W2" s="24" t="str">
        <f>IF($B$7=0," ",$L$1)</f>
        <v>g</v>
      </c>
      <c r="X2" s="7"/>
    </row>
    <row r="3" spans="1:32" x14ac:dyDescent="0.15">
      <c r="A3" s="23" t="s">
        <v>15</v>
      </c>
      <c r="B3" s="58" t="s">
        <v>72</v>
      </c>
      <c r="C3" s="58"/>
      <c r="D3" s="58"/>
      <c r="E3" s="58"/>
      <c r="F3" s="58"/>
      <c r="G3" s="58"/>
      <c r="H3" s="59"/>
      <c r="I3"/>
      <c r="J3" s="45" t="s">
        <v>4</v>
      </c>
      <c r="K3" s="49">
        <f>IF($K$1=0," ",K1-Z5)</f>
        <v>18.2</v>
      </c>
      <c r="L3" s="29" t="str">
        <f>IF($K$1=0," ",$L$1)</f>
        <v>g</v>
      </c>
      <c r="N3" s="23" t="s">
        <v>21</v>
      </c>
      <c r="O3" s="53">
        <f>IF(B7=0," ",COUNT(G7:G31))</f>
        <v>4</v>
      </c>
      <c r="P3" s="53"/>
      <c r="R3" s="23" t="s">
        <v>6</v>
      </c>
      <c r="S3" s="11">
        <f>IF(B7=0," ",SUBTOTAL(9,Z7:Z31))</f>
        <v>0</v>
      </c>
      <c r="T3" s="7"/>
      <c r="U3" s="22" t="s">
        <v>9</v>
      </c>
      <c r="V3" s="16">
        <f>IF(B7=0," ",V1-V2)</f>
        <v>77.2</v>
      </c>
      <c r="W3" s="1" t="str">
        <f>IF($B$7=0," ",$L$1)</f>
        <v>g</v>
      </c>
      <c r="X3" s="7"/>
    </row>
    <row r="4" spans="1:32" x14ac:dyDescent="0.15">
      <c r="A4" s="23" t="s">
        <v>17</v>
      </c>
      <c r="B4" s="60" t="s">
        <v>73</v>
      </c>
      <c r="C4" s="60"/>
      <c r="D4" s="60"/>
      <c r="E4" s="60"/>
      <c r="F4" s="60"/>
      <c r="G4" s="60"/>
      <c r="H4" s="61"/>
      <c r="J4" s="46" t="s">
        <v>5</v>
      </c>
      <c r="K4" s="50">
        <f>IF($K$1=0," ",K1-(2*Z5))</f>
        <v>16.399999999999999</v>
      </c>
      <c r="L4" s="1" t="str">
        <f>IF($K1=0," ",$L$1)</f>
        <v>g</v>
      </c>
    </row>
    <row r="5" spans="1:32" x14ac:dyDescent="0.15">
      <c r="A5" s="8"/>
      <c r="D5" s="5"/>
      <c r="E5" s="5"/>
      <c r="F5" s="5"/>
      <c r="Q5" s="4"/>
      <c r="R5" s="4"/>
      <c r="S5" s="4"/>
      <c r="Y5" s="2" t="s">
        <v>1</v>
      </c>
      <c r="Z5" s="3">
        <f>IF(K1&lt;=50,(K1)*(9/100),IF(K1&lt;=100,4.5,IF(K1&lt;=200,(K1)*(4.5/100),IF(K1&lt;=300,9,IF(K1&lt;=500,(K1)*(3/100),IF(K1&lt;=1000,15,IF(K1&lt;=10000,(K1)*(1.5/100),IF(K1&lt;=15000,150,IF(K1&gt;15000,(K1)*(1/100))))))))))</f>
        <v>1.7999999999999998</v>
      </c>
    </row>
    <row r="6" spans="1:32" x14ac:dyDescent="0.15">
      <c r="A6" s="10" t="s">
        <v>22</v>
      </c>
      <c r="B6" s="62" t="s">
        <v>12</v>
      </c>
      <c r="C6" s="54"/>
      <c r="D6" s="9"/>
      <c r="E6" s="9"/>
      <c r="F6" s="9"/>
      <c r="G6" s="54" t="s">
        <v>13</v>
      </c>
      <c r="H6" s="55"/>
      <c r="I6" s="9"/>
      <c r="Q6" s="4"/>
      <c r="R6" s="4"/>
      <c r="S6" s="4"/>
      <c r="T6" s="9"/>
      <c r="U6" s="9"/>
      <c r="V6" s="9"/>
      <c r="W6" s="4"/>
      <c r="X6" s="9"/>
      <c r="Y6" s="2" t="s">
        <v>4</v>
      </c>
      <c r="Z6" s="2" t="s">
        <v>5</v>
      </c>
      <c r="AB6" s="17" t="s">
        <v>19</v>
      </c>
      <c r="AC6" s="17" t="s">
        <v>0</v>
      </c>
      <c r="AD6" s="17" t="s">
        <v>4</v>
      </c>
      <c r="AE6" s="17" t="s">
        <v>5</v>
      </c>
      <c r="AF6" s="17" t="s">
        <v>2</v>
      </c>
    </row>
    <row r="7" spans="1:32" x14ac:dyDescent="0.15">
      <c r="A7" s="11">
        <v>1</v>
      </c>
      <c r="B7" s="16" t="s">
        <v>68</v>
      </c>
      <c r="C7" s="1" t="s">
        <v>26</v>
      </c>
      <c r="D7" s="2" t="str">
        <f>SUBSTITUTE(SUBSTITUTE(B7,"(",""),")","")</f>
        <v xml:space="preserve">o         26,7  7  </v>
      </c>
      <c r="E7" s="2" t="str">
        <f>SUBSTITUTE(SUBSTITUTE(D7,"o",""),"O","")</f>
        <v xml:space="preserve">         26,7  7  </v>
      </c>
      <c r="F7" s="2">
        <f>_xlfn.NUMBERVALUE(E7)</f>
        <v>26.77</v>
      </c>
      <c r="G7" s="16">
        <f>IF(B7=0,"",F7-$K$2)</f>
        <v>20.77</v>
      </c>
      <c r="H7" s="1" t="str">
        <f t="shared" ref="H7:H31" si="0">IF(C7=0,"",C7)</f>
        <v>g</v>
      </c>
      <c r="I7" s="12"/>
      <c r="Q7" s="4"/>
      <c r="R7" s="4"/>
      <c r="S7" s="4"/>
      <c r="T7" s="9"/>
      <c r="U7" s="9"/>
      <c r="V7" s="9"/>
      <c r="W7" s="4"/>
      <c r="X7" s="9"/>
      <c r="Y7" s="2">
        <f>IF(ISBLANK(G7),"",IF(G7&lt;$K$3,1,0))</f>
        <v>0</v>
      </c>
      <c r="Z7" s="2">
        <f>IF(ISBLANK(G7),"",IF(G7&lt;$K$4,1,0))</f>
        <v>0</v>
      </c>
      <c r="AB7" s="17">
        <f t="shared" ref="AB7:AB31" si="1">IF(ISBLANK(B7),(#N/A),G7)</f>
        <v>20.77</v>
      </c>
      <c r="AC7" s="17">
        <f>$K$1</f>
        <v>20</v>
      </c>
      <c r="AD7" s="17">
        <f>$K$3</f>
        <v>18.2</v>
      </c>
      <c r="AE7" s="17">
        <f>$K$4</f>
        <v>16.399999999999999</v>
      </c>
      <c r="AF7" s="17">
        <f>$O$1</f>
        <v>40.07</v>
      </c>
    </row>
    <row r="8" spans="1:32" x14ac:dyDescent="0.15">
      <c r="A8" s="11">
        <v>2</v>
      </c>
      <c r="B8" s="16" t="s">
        <v>68</v>
      </c>
      <c r="C8" s="1" t="s">
        <v>26</v>
      </c>
      <c r="D8" s="2" t="str">
        <f t="shared" ref="D8:D31" si="2">SUBSTITUTE(SUBSTITUTE(B8,"(",""),")","")</f>
        <v xml:space="preserve">o         26,7  7  </v>
      </c>
      <c r="E8" s="2" t="str">
        <f t="shared" ref="E8:E31" si="3">SUBSTITUTE(SUBSTITUTE(D8,"o",""),"O","")</f>
        <v xml:space="preserve">         26,7  7  </v>
      </c>
      <c r="F8" s="2">
        <f t="shared" ref="F8:F31" si="4">_xlfn.NUMBERVALUE(E8)</f>
        <v>26.77</v>
      </c>
      <c r="G8" s="16">
        <f t="shared" ref="G8:G31" si="5">IF(B8=0,"",F8-$K$2)</f>
        <v>20.77</v>
      </c>
      <c r="H8" s="1" t="str">
        <f t="shared" si="0"/>
        <v>g</v>
      </c>
      <c r="I8" s="12"/>
      <c r="Q8" s="4"/>
      <c r="R8" s="4"/>
      <c r="S8" s="4"/>
      <c r="T8" s="9"/>
      <c r="U8" s="9"/>
      <c r="V8" s="9"/>
      <c r="W8" s="4"/>
      <c r="X8" s="9"/>
      <c r="Y8" s="2">
        <f t="shared" ref="Y7:Y31" si="6">IF(ISBLANK(G8),"",IF(G8&lt;$K$3,1,0))</f>
        <v>0</v>
      </c>
      <c r="Z8" s="2">
        <f t="shared" ref="Z7:Z31" si="7">IF(ISBLANK(G8),"",IF(G8&lt;$K$4,1,0))</f>
        <v>0</v>
      </c>
      <c r="AB8" s="17">
        <f t="shared" si="1"/>
        <v>20.77</v>
      </c>
      <c r="AC8" s="17">
        <f t="shared" ref="AC8:AC31" si="8">$K$1</f>
        <v>20</v>
      </c>
      <c r="AD8" s="17">
        <f t="shared" ref="AD8:AD31" si="9">$K$3</f>
        <v>18.2</v>
      </c>
      <c r="AE8" s="17">
        <f t="shared" ref="AE8:AE31" si="10">$K$4</f>
        <v>16.399999999999999</v>
      </c>
      <c r="AF8" s="17">
        <f t="shared" ref="AF8:AF31" si="11">$O$1</f>
        <v>40.07</v>
      </c>
    </row>
    <row r="9" spans="1:32" x14ac:dyDescent="0.15">
      <c r="A9" s="11">
        <v>3</v>
      </c>
      <c r="B9" s="16" t="s">
        <v>68</v>
      </c>
      <c r="C9" s="1" t="s">
        <v>26</v>
      </c>
      <c r="D9" s="2" t="str">
        <f t="shared" si="2"/>
        <v xml:space="preserve">o         26,7  7  </v>
      </c>
      <c r="E9" s="2" t="str">
        <f t="shared" si="3"/>
        <v xml:space="preserve">         26,7  7  </v>
      </c>
      <c r="F9" s="2">
        <f t="shared" si="4"/>
        <v>26.77</v>
      </c>
      <c r="G9" s="16">
        <f t="shared" si="5"/>
        <v>20.77</v>
      </c>
      <c r="H9" s="1" t="str">
        <f t="shared" si="0"/>
        <v>g</v>
      </c>
      <c r="I9" s="12"/>
      <c r="Q9" s="4"/>
      <c r="R9" s="4"/>
      <c r="S9" s="4"/>
      <c r="Y9" s="2">
        <f t="shared" si="6"/>
        <v>0</v>
      </c>
      <c r="Z9" s="2">
        <f t="shared" si="7"/>
        <v>0</v>
      </c>
      <c r="AB9" s="17">
        <f t="shared" si="1"/>
        <v>20.77</v>
      </c>
      <c r="AC9" s="17">
        <f t="shared" si="8"/>
        <v>20</v>
      </c>
      <c r="AD9" s="17">
        <f t="shared" si="9"/>
        <v>18.2</v>
      </c>
      <c r="AE9" s="17">
        <f t="shared" si="10"/>
        <v>16.399999999999999</v>
      </c>
      <c r="AF9" s="17">
        <f t="shared" si="11"/>
        <v>40.07</v>
      </c>
    </row>
    <row r="10" spans="1:32" x14ac:dyDescent="0.15">
      <c r="A10" s="11">
        <v>4</v>
      </c>
      <c r="B10" s="16" t="s">
        <v>69</v>
      </c>
      <c r="C10" s="1" t="s">
        <v>26</v>
      </c>
      <c r="D10" s="2" t="str">
        <f t="shared" si="2"/>
        <v xml:space="preserve">o        103,9  7  </v>
      </c>
      <c r="E10" s="2" t="str">
        <f t="shared" si="3"/>
        <v xml:space="preserve">        103,9  7  </v>
      </c>
      <c r="F10" s="2">
        <f t="shared" si="4"/>
        <v>103.97</v>
      </c>
      <c r="G10" s="16">
        <f t="shared" si="5"/>
        <v>97.97</v>
      </c>
      <c r="H10" s="1" t="str">
        <f t="shared" si="0"/>
        <v>g</v>
      </c>
      <c r="I10" s="12"/>
      <c r="Y10" s="2">
        <f t="shared" si="6"/>
        <v>0</v>
      </c>
      <c r="Z10" s="2">
        <f t="shared" si="7"/>
        <v>0</v>
      </c>
      <c r="AB10" s="17">
        <f t="shared" si="1"/>
        <v>97.97</v>
      </c>
      <c r="AC10" s="17">
        <f t="shared" si="8"/>
        <v>20</v>
      </c>
      <c r="AD10" s="17">
        <f t="shared" si="9"/>
        <v>18.2</v>
      </c>
      <c r="AE10" s="17">
        <f t="shared" si="10"/>
        <v>16.399999999999999</v>
      </c>
      <c r="AF10" s="17">
        <f t="shared" si="11"/>
        <v>40.07</v>
      </c>
    </row>
    <row r="11" spans="1:32" x14ac:dyDescent="0.15">
      <c r="A11" s="11">
        <v>5</v>
      </c>
      <c r="B11" s="16"/>
      <c r="C11" s="1"/>
      <c r="D11" s="2" t="str">
        <f t="shared" si="2"/>
        <v/>
      </c>
      <c r="E11" s="2" t="str">
        <f t="shared" si="3"/>
        <v/>
      </c>
      <c r="F11" s="2">
        <f t="shared" si="4"/>
        <v>0</v>
      </c>
      <c r="G11" s="16" t="str">
        <f t="shared" si="5"/>
        <v/>
      </c>
      <c r="H11" s="1" t="str">
        <f t="shared" si="0"/>
        <v/>
      </c>
      <c r="I11" s="12"/>
      <c r="M11" s="7"/>
      <c r="Q11" s="9"/>
      <c r="R11" s="9"/>
      <c r="S11" s="9"/>
      <c r="T11" s="9"/>
      <c r="U11" s="9"/>
      <c r="V11" s="9"/>
      <c r="W11" s="4"/>
      <c r="X11" s="9"/>
      <c r="Y11" s="2">
        <f t="shared" si="6"/>
        <v>0</v>
      </c>
      <c r="Z11" s="2">
        <f t="shared" si="7"/>
        <v>0</v>
      </c>
      <c r="AB11" s="17" t="e">
        <f t="shared" si="1"/>
        <v>#N/A</v>
      </c>
      <c r="AC11" s="17">
        <f t="shared" si="8"/>
        <v>20</v>
      </c>
      <c r="AD11" s="17">
        <f t="shared" si="9"/>
        <v>18.2</v>
      </c>
      <c r="AE11" s="17">
        <f t="shared" si="10"/>
        <v>16.399999999999999</v>
      </c>
      <c r="AF11" s="17">
        <f t="shared" si="11"/>
        <v>40.07</v>
      </c>
    </row>
    <row r="12" spans="1:32" x14ac:dyDescent="0.15">
      <c r="A12" s="11">
        <v>6</v>
      </c>
      <c r="B12" s="16"/>
      <c r="C12" s="1"/>
      <c r="D12" s="2" t="str">
        <f t="shared" si="2"/>
        <v/>
      </c>
      <c r="E12" s="2" t="str">
        <f t="shared" si="3"/>
        <v/>
      </c>
      <c r="F12" s="2">
        <f t="shared" si="4"/>
        <v>0</v>
      </c>
      <c r="G12" s="16" t="str">
        <f t="shared" si="5"/>
        <v/>
      </c>
      <c r="H12" s="1" t="str">
        <f t="shared" si="0"/>
        <v/>
      </c>
      <c r="I12" s="12"/>
      <c r="M12" s="7"/>
      <c r="N12" s="7"/>
      <c r="Q12" s="9"/>
      <c r="R12" s="9"/>
      <c r="S12" s="9"/>
      <c r="T12" s="9"/>
      <c r="U12" s="9"/>
      <c r="V12" s="9"/>
      <c r="W12" s="4"/>
      <c r="X12" s="9"/>
      <c r="Y12" s="2">
        <f t="shared" si="6"/>
        <v>0</v>
      </c>
      <c r="Z12" s="2">
        <f t="shared" si="7"/>
        <v>0</v>
      </c>
      <c r="AB12" s="17" t="e">
        <f t="shared" si="1"/>
        <v>#N/A</v>
      </c>
      <c r="AC12" s="17">
        <f t="shared" si="8"/>
        <v>20</v>
      </c>
      <c r="AD12" s="17">
        <f t="shared" si="9"/>
        <v>18.2</v>
      </c>
      <c r="AE12" s="17">
        <f t="shared" si="10"/>
        <v>16.399999999999999</v>
      </c>
      <c r="AF12" s="17">
        <f t="shared" si="11"/>
        <v>40.07</v>
      </c>
    </row>
    <row r="13" spans="1:32" x14ac:dyDescent="0.15">
      <c r="A13" s="11">
        <v>7</v>
      </c>
      <c r="B13" s="16"/>
      <c r="C13" s="1"/>
      <c r="D13" s="2" t="str">
        <f t="shared" si="2"/>
        <v/>
      </c>
      <c r="E13" s="2" t="str">
        <f t="shared" si="3"/>
        <v/>
      </c>
      <c r="F13" s="2">
        <f t="shared" si="4"/>
        <v>0</v>
      </c>
      <c r="G13" s="16" t="str">
        <f t="shared" si="5"/>
        <v/>
      </c>
      <c r="H13" s="1" t="str">
        <f t="shared" si="0"/>
        <v/>
      </c>
      <c r="I13" s="12"/>
      <c r="J13" s="47"/>
      <c r="L13" s="26"/>
      <c r="M13" s="26"/>
      <c r="N13" s="26"/>
      <c r="O13" s="27"/>
      <c r="P13" s="26"/>
      <c r="Q13" s="14"/>
      <c r="R13" s="14"/>
      <c r="S13" s="14"/>
      <c r="T13" s="9"/>
      <c r="U13" s="9"/>
      <c r="V13" s="9"/>
      <c r="W13" s="4"/>
      <c r="X13" s="9"/>
      <c r="Y13" s="2">
        <f t="shared" si="6"/>
        <v>0</v>
      </c>
      <c r="Z13" s="2">
        <f t="shared" si="7"/>
        <v>0</v>
      </c>
      <c r="AB13" s="17" t="e">
        <f t="shared" si="1"/>
        <v>#N/A</v>
      </c>
      <c r="AC13" s="17">
        <f t="shared" si="8"/>
        <v>20</v>
      </c>
      <c r="AD13" s="17">
        <f t="shared" si="9"/>
        <v>18.2</v>
      </c>
      <c r="AE13" s="17">
        <f t="shared" si="10"/>
        <v>16.399999999999999</v>
      </c>
      <c r="AF13" s="17">
        <f t="shared" si="11"/>
        <v>40.07</v>
      </c>
    </row>
    <row r="14" spans="1:32" x14ac:dyDescent="0.15">
      <c r="A14" s="11">
        <v>8</v>
      </c>
      <c r="B14" s="16"/>
      <c r="C14" s="1"/>
      <c r="D14" s="2" t="str">
        <f t="shared" si="2"/>
        <v/>
      </c>
      <c r="E14" s="2" t="str">
        <f t="shared" si="3"/>
        <v/>
      </c>
      <c r="F14" s="2">
        <f t="shared" si="4"/>
        <v>0</v>
      </c>
      <c r="G14" s="16" t="str">
        <f t="shared" si="5"/>
        <v/>
      </c>
      <c r="H14" s="1" t="str">
        <f t="shared" si="0"/>
        <v/>
      </c>
      <c r="I14" s="12"/>
      <c r="T14" s="9"/>
      <c r="U14" s="9"/>
      <c r="V14" s="9"/>
      <c r="W14" s="4"/>
      <c r="X14" s="9"/>
      <c r="Y14" s="2">
        <f t="shared" si="6"/>
        <v>0</v>
      </c>
      <c r="Z14" s="2">
        <f t="shared" si="7"/>
        <v>0</v>
      </c>
      <c r="AB14" s="17" t="e">
        <f t="shared" si="1"/>
        <v>#N/A</v>
      </c>
      <c r="AC14" s="17">
        <f t="shared" si="8"/>
        <v>20</v>
      </c>
      <c r="AD14" s="17">
        <f t="shared" si="9"/>
        <v>18.2</v>
      </c>
      <c r="AE14" s="17">
        <f t="shared" si="10"/>
        <v>16.399999999999999</v>
      </c>
      <c r="AF14" s="17">
        <f t="shared" si="11"/>
        <v>40.07</v>
      </c>
    </row>
    <row r="15" spans="1:32" x14ac:dyDescent="0.15">
      <c r="A15" s="11">
        <v>9</v>
      </c>
      <c r="B15" s="16"/>
      <c r="C15" s="1"/>
      <c r="D15" s="2" t="str">
        <f t="shared" si="2"/>
        <v/>
      </c>
      <c r="E15" s="2" t="str">
        <f t="shared" si="3"/>
        <v/>
      </c>
      <c r="F15" s="2">
        <f t="shared" si="4"/>
        <v>0</v>
      </c>
      <c r="G15" s="16" t="str">
        <f t="shared" si="5"/>
        <v/>
      </c>
      <c r="H15" s="1" t="str">
        <f t="shared" si="0"/>
        <v/>
      </c>
      <c r="I15" s="12"/>
      <c r="M15" s="7"/>
      <c r="N15" s="7"/>
      <c r="Q15" s="9"/>
      <c r="R15" s="9"/>
      <c r="S15" s="9"/>
      <c r="T15" s="9"/>
      <c r="U15" s="9"/>
      <c r="V15" s="9"/>
      <c r="W15" s="4"/>
      <c r="X15" s="9"/>
      <c r="Y15" s="2">
        <f t="shared" si="6"/>
        <v>0</v>
      </c>
      <c r="Z15" s="2">
        <f t="shared" si="7"/>
        <v>0</v>
      </c>
      <c r="AB15" s="17" t="e">
        <f t="shared" si="1"/>
        <v>#N/A</v>
      </c>
      <c r="AC15" s="17">
        <f t="shared" si="8"/>
        <v>20</v>
      </c>
      <c r="AD15" s="17">
        <f t="shared" si="9"/>
        <v>18.2</v>
      </c>
      <c r="AE15" s="17">
        <f t="shared" si="10"/>
        <v>16.399999999999999</v>
      </c>
      <c r="AF15" s="17">
        <f t="shared" si="11"/>
        <v>40.07</v>
      </c>
    </row>
    <row r="16" spans="1:32" x14ac:dyDescent="0.15">
      <c r="A16" s="11">
        <v>10</v>
      </c>
      <c r="B16" s="16"/>
      <c r="C16" s="1"/>
      <c r="D16" s="2" t="str">
        <f t="shared" si="2"/>
        <v/>
      </c>
      <c r="E16" s="2" t="str">
        <f t="shared" si="3"/>
        <v/>
      </c>
      <c r="F16" s="2">
        <f t="shared" si="4"/>
        <v>0</v>
      </c>
      <c r="G16" s="16" t="str">
        <f t="shared" si="5"/>
        <v/>
      </c>
      <c r="H16" s="1" t="str">
        <f t="shared" si="0"/>
        <v/>
      </c>
      <c r="I16" s="12"/>
      <c r="J16" s="48"/>
      <c r="Y16" s="2">
        <f t="shared" si="6"/>
        <v>0</v>
      </c>
      <c r="Z16" s="2">
        <f t="shared" si="7"/>
        <v>0</v>
      </c>
      <c r="AB16" s="17" t="e">
        <f t="shared" si="1"/>
        <v>#N/A</v>
      </c>
      <c r="AC16" s="17">
        <f t="shared" si="8"/>
        <v>20</v>
      </c>
      <c r="AD16" s="17">
        <f t="shared" si="9"/>
        <v>18.2</v>
      </c>
      <c r="AE16" s="17">
        <f t="shared" si="10"/>
        <v>16.399999999999999</v>
      </c>
      <c r="AF16" s="17">
        <f t="shared" si="11"/>
        <v>40.07</v>
      </c>
    </row>
    <row r="17" spans="1:32" x14ac:dyDescent="0.15">
      <c r="A17" s="11">
        <v>11</v>
      </c>
      <c r="B17" s="16"/>
      <c r="C17" s="1"/>
      <c r="D17" s="2" t="str">
        <f t="shared" si="2"/>
        <v/>
      </c>
      <c r="E17" s="2" t="str">
        <f t="shared" si="3"/>
        <v/>
      </c>
      <c r="F17" s="2">
        <f t="shared" si="4"/>
        <v>0</v>
      </c>
      <c r="G17" s="16" t="str">
        <f t="shared" si="5"/>
        <v/>
      </c>
      <c r="H17" s="1" t="str">
        <f t="shared" si="0"/>
        <v/>
      </c>
      <c r="I17" s="12"/>
      <c r="J17" s="48"/>
      <c r="Y17" s="2">
        <f t="shared" si="6"/>
        <v>0</v>
      </c>
      <c r="Z17" s="2">
        <f t="shared" si="7"/>
        <v>0</v>
      </c>
      <c r="AA17" s="9"/>
      <c r="AB17" s="17" t="e">
        <f t="shared" si="1"/>
        <v>#N/A</v>
      </c>
      <c r="AC17" s="17">
        <f t="shared" si="8"/>
        <v>20</v>
      </c>
      <c r="AD17" s="17">
        <f t="shared" si="9"/>
        <v>18.2</v>
      </c>
      <c r="AE17" s="17">
        <f t="shared" si="10"/>
        <v>16.399999999999999</v>
      </c>
      <c r="AF17" s="17">
        <f t="shared" si="11"/>
        <v>40.07</v>
      </c>
    </row>
    <row r="18" spans="1:32" x14ac:dyDescent="0.15">
      <c r="A18" s="11">
        <v>12</v>
      </c>
      <c r="B18" s="16"/>
      <c r="C18" s="1"/>
      <c r="D18" s="2" t="str">
        <f t="shared" si="2"/>
        <v/>
      </c>
      <c r="E18" s="2" t="str">
        <f t="shared" si="3"/>
        <v/>
      </c>
      <c r="F18" s="2">
        <f t="shared" si="4"/>
        <v>0</v>
      </c>
      <c r="G18" s="16" t="str">
        <f t="shared" si="5"/>
        <v/>
      </c>
      <c r="H18" s="1" t="str">
        <f t="shared" si="0"/>
        <v/>
      </c>
      <c r="I18" s="12"/>
      <c r="J18" s="48"/>
      <c r="Y18" s="2">
        <f t="shared" si="6"/>
        <v>0</v>
      </c>
      <c r="Z18" s="2">
        <f t="shared" si="7"/>
        <v>0</v>
      </c>
      <c r="AA18" s="9"/>
      <c r="AB18" s="17" t="e">
        <f t="shared" si="1"/>
        <v>#N/A</v>
      </c>
      <c r="AC18" s="17">
        <f t="shared" si="8"/>
        <v>20</v>
      </c>
      <c r="AD18" s="17">
        <f t="shared" si="9"/>
        <v>18.2</v>
      </c>
      <c r="AE18" s="17">
        <f t="shared" si="10"/>
        <v>16.399999999999999</v>
      </c>
      <c r="AF18" s="17">
        <f t="shared" si="11"/>
        <v>40.07</v>
      </c>
    </row>
    <row r="19" spans="1:32" x14ac:dyDescent="0.15">
      <c r="A19" s="11">
        <v>13</v>
      </c>
      <c r="B19" s="16"/>
      <c r="C19" s="1"/>
      <c r="D19" s="2" t="str">
        <f t="shared" si="2"/>
        <v/>
      </c>
      <c r="E19" s="2" t="str">
        <f t="shared" si="3"/>
        <v/>
      </c>
      <c r="F19" s="2">
        <f t="shared" si="4"/>
        <v>0</v>
      </c>
      <c r="G19" s="16" t="str">
        <f t="shared" si="5"/>
        <v/>
      </c>
      <c r="H19" s="1" t="str">
        <f t="shared" si="0"/>
        <v/>
      </c>
      <c r="I19" s="12"/>
      <c r="J19" s="48"/>
      <c r="Y19" s="2">
        <f t="shared" si="6"/>
        <v>0</v>
      </c>
      <c r="Z19" s="2">
        <f t="shared" si="7"/>
        <v>0</v>
      </c>
      <c r="AA19" s="7"/>
      <c r="AB19" s="17" t="e">
        <f t="shared" si="1"/>
        <v>#N/A</v>
      </c>
      <c r="AC19" s="17">
        <f t="shared" si="8"/>
        <v>20</v>
      </c>
      <c r="AD19" s="17">
        <f t="shared" si="9"/>
        <v>18.2</v>
      </c>
      <c r="AE19" s="17">
        <f t="shared" si="10"/>
        <v>16.399999999999999</v>
      </c>
      <c r="AF19" s="17">
        <f t="shared" si="11"/>
        <v>40.07</v>
      </c>
    </row>
    <row r="20" spans="1:32" x14ac:dyDescent="0.15">
      <c r="A20" s="11">
        <v>14</v>
      </c>
      <c r="B20" s="16"/>
      <c r="C20" s="1"/>
      <c r="D20" s="2" t="str">
        <f t="shared" si="2"/>
        <v/>
      </c>
      <c r="E20" s="2" t="str">
        <f t="shared" si="3"/>
        <v/>
      </c>
      <c r="F20" s="2">
        <f t="shared" si="4"/>
        <v>0</v>
      </c>
      <c r="G20" s="16" t="str">
        <f t="shared" si="5"/>
        <v/>
      </c>
      <c r="H20" s="1" t="str">
        <f t="shared" si="0"/>
        <v/>
      </c>
      <c r="I20" s="12"/>
      <c r="J20" s="48"/>
      <c r="Y20" s="2">
        <f t="shared" si="6"/>
        <v>0</v>
      </c>
      <c r="Z20" s="2">
        <f t="shared" si="7"/>
        <v>0</v>
      </c>
      <c r="AB20" s="17" t="e">
        <f t="shared" si="1"/>
        <v>#N/A</v>
      </c>
      <c r="AC20" s="17">
        <f t="shared" si="8"/>
        <v>20</v>
      </c>
      <c r="AD20" s="17">
        <f t="shared" si="9"/>
        <v>18.2</v>
      </c>
      <c r="AE20" s="17">
        <f t="shared" si="10"/>
        <v>16.399999999999999</v>
      </c>
      <c r="AF20" s="17">
        <f t="shared" si="11"/>
        <v>40.07</v>
      </c>
    </row>
    <row r="21" spans="1:32" x14ac:dyDescent="0.15">
      <c r="A21" s="11">
        <v>15</v>
      </c>
      <c r="B21" s="16"/>
      <c r="C21" s="1"/>
      <c r="D21" s="2" t="str">
        <f t="shared" si="2"/>
        <v/>
      </c>
      <c r="E21" s="2" t="str">
        <f t="shared" si="3"/>
        <v/>
      </c>
      <c r="F21" s="2">
        <f t="shared" si="4"/>
        <v>0</v>
      </c>
      <c r="G21" s="16" t="str">
        <f t="shared" si="5"/>
        <v/>
      </c>
      <c r="H21" s="1" t="str">
        <f t="shared" si="0"/>
        <v/>
      </c>
      <c r="I21" s="12"/>
      <c r="J21" s="48"/>
      <c r="Y21" s="2">
        <f t="shared" si="6"/>
        <v>0</v>
      </c>
      <c r="Z21" s="2">
        <f t="shared" si="7"/>
        <v>0</v>
      </c>
      <c r="AB21" s="17" t="e">
        <f t="shared" si="1"/>
        <v>#N/A</v>
      </c>
      <c r="AC21" s="17">
        <f t="shared" si="8"/>
        <v>20</v>
      </c>
      <c r="AD21" s="17">
        <f t="shared" si="9"/>
        <v>18.2</v>
      </c>
      <c r="AE21" s="17">
        <f t="shared" si="10"/>
        <v>16.399999999999999</v>
      </c>
      <c r="AF21" s="17">
        <f t="shared" si="11"/>
        <v>40.07</v>
      </c>
    </row>
    <row r="22" spans="1:32" x14ac:dyDescent="0.15">
      <c r="A22" s="11">
        <v>16</v>
      </c>
      <c r="B22" s="16"/>
      <c r="C22" s="1"/>
      <c r="D22" s="2" t="str">
        <f t="shared" si="2"/>
        <v/>
      </c>
      <c r="E22" s="2" t="str">
        <f t="shared" si="3"/>
        <v/>
      </c>
      <c r="F22" s="2">
        <f t="shared" si="4"/>
        <v>0</v>
      </c>
      <c r="G22" s="16" t="str">
        <f t="shared" si="5"/>
        <v/>
      </c>
      <c r="H22" s="1" t="str">
        <f t="shared" si="0"/>
        <v/>
      </c>
      <c r="I22" s="12"/>
      <c r="J22" s="48"/>
      <c r="Y22" s="2">
        <f t="shared" si="6"/>
        <v>0</v>
      </c>
      <c r="Z22" s="2">
        <f t="shared" si="7"/>
        <v>0</v>
      </c>
      <c r="AA22" s="7"/>
      <c r="AB22" s="17" t="e">
        <f t="shared" si="1"/>
        <v>#N/A</v>
      </c>
      <c r="AC22" s="17">
        <f t="shared" si="8"/>
        <v>20</v>
      </c>
      <c r="AD22" s="17">
        <f t="shared" si="9"/>
        <v>18.2</v>
      </c>
      <c r="AE22" s="17">
        <f t="shared" si="10"/>
        <v>16.399999999999999</v>
      </c>
      <c r="AF22" s="17">
        <f t="shared" si="11"/>
        <v>40.07</v>
      </c>
    </row>
    <row r="23" spans="1:32" x14ac:dyDescent="0.15">
      <c r="A23" s="11">
        <v>17</v>
      </c>
      <c r="B23" s="16"/>
      <c r="C23" s="1"/>
      <c r="D23" s="2" t="str">
        <f t="shared" si="2"/>
        <v/>
      </c>
      <c r="E23" s="2" t="str">
        <f t="shared" si="3"/>
        <v/>
      </c>
      <c r="F23" s="2">
        <f t="shared" si="4"/>
        <v>0</v>
      </c>
      <c r="G23" s="16" t="str">
        <f t="shared" si="5"/>
        <v/>
      </c>
      <c r="H23" s="1" t="str">
        <f t="shared" si="0"/>
        <v/>
      </c>
      <c r="I23" s="12"/>
      <c r="J23" s="48"/>
      <c r="Y23" s="2">
        <f t="shared" si="6"/>
        <v>0</v>
      </c>
      <c r="Z23" s="2">
        <f t="shared" si="7"/>
        <v>0</v>
      </c>
      <c r="AA23" s="7"/>
      <c r="AB23" s="17" t="e">
        <f t="shared" si="1"/>
        <v>#N/A</v>
      </c>
      <c r="AC23" s="17">
        <f t="shared" si="8"/>
        <v>20</v>
      </c>
      <c r="AD23" s="17">
        <f t="shared" si="9"/>
        <v>18.2</v>
      </c>
      <c r="AE23" s="17">
        <f t="shared" si="10"/>
        <v>16.399999999999999</v>
      </c>
      <c r="AF23" s="17">
        <f t="shared" si="11"/>
        <v>40.07</v>
      </c>
    </row>
    <row r="24" spans="1:32" x14ac:dyDescent="0.15">
      <c r="A24" s="11">
        <v>18</v>
      </c>
      <c r="B24" s="16"/>
      <c r="C24" s="1"/>
      <c r="D24" s="2" t="str">
        <f t="shared" si="2"/>
        <v/>
      </c>
      <c r="E24" s="2" t="str">
        <f t="shared" si="3"/>
        <v/>
      </c>
      <c r="F24" s="2">
        <f t="shared" si="4"/>
        <v>0</v>
      </c>
      <c r="G24" s="16" t="str">
        <f t="shared" si="5"/>
        <v/>
      </c>
      <c r="H24" s="1" t="str">
        <f t="shared" si="0"/>
        <v/>
      </c>
      <c r="I24" s="12"/>
      <c r="J24" s="48"/>
      <c r="Y24" s="2">
        <f t="shared" si="6"/>
        <v>0</v>
      </c>
      <c r="Z24" s="2">
        <f t="shared" si="7"/>
        <v>0</v>
      </c>
      <c r="AA24" s="7"/>
      <c r="AB24" s="17" t="e">
        <f t="shared" si="1"/>
        <v>#N/A</v>
      </c>
      <c r="AC24" s="17">
        <f t="shared" si="8"/>
        <v>20</v>
      </c>
      <c r="AD24" s="17">
        <f t="shared" si="9"/>
        <v>18.2</v>
      </c>
      <c r="AE24" s="17">
        <f t="shared" si="10"/>
        <v>16.399999999999999</v>
      </c>
      <c r="AF24" s="17">
        <f t="shared" si="11"/>
        <v>40.07</v>
      </c>
    </row>
    <row r="25" spans="1:32" x14ac:dyDescent="0.15">
      <c r="A25" s="11">
        <v>19</v>
      </c>
      <c r="B25" s="16"/>
      <c r="C25" s="1"/>
      <c r="D25" s="2" t="str">
        <f t="shared" si="2"/>
        <v/>
      </c>
      <c r="E25" s="2" t="str">
        <f t="shared" si="3"/>
        <v/>
      </c>
      <c r="F25" s="2">
        <f t="shared" si="4"/>
        <v>0</v>
      </c>
      <c r="G25" s="16" t="str">
        <f t="shared" si="5"/>
        <v/>
      </c>
      <c r="H25" s="1" t="str">
        <f t="shared" si="0"/>
        <v/>
      </c>
      <c r="I25" s="12"/>
      <c r="J25" s="48"/>
      <c r="Y25" s="2">
        <f t="shared" si="6"/>
        <v>0</v>
      </c>
      <c r="Z25" s="2">
        <f t="shared" si="7"/>
        <v>0</v>
      </c>
      <c r="AA25" s="7"/>
      <c r="AB25" s="17" t="e">
        <f t="shared" si="1"/>
        <v>#N/A</v>
      </c>
      <c r="AC25" s="17">
        <f t="shared" si="8"/>
        <v>20</v>
      </c>
      <c r="AD25" s="17">
        <f t="shared" si="9"/>
        <v>18.2</v>
      </c>
      <c r="AE25" s="17">
        <f t="shared" si="10"/>
        <v>16.399999999999999</v>
      </c>
      <c r="AF25" s="17">
        <f t="shared" si="11"/>
        <v>40.07</v>
      </c>
    </row>
    <row r="26" spans="1:32" x14ac:dyDescent="0.15">
      <c r="A26" s="11">
        <v>20</v>
      </c>
      <c r="B26" s="16"/>
      <c r="C26" s="1"/>
      <c r="D26" s="2" t="str">
        <f t="shared" si="2"/>
        <v/>
      </c>
      <c r="E26" s="2" t="str">
        <f t="shared" si="3"/>
        <v/>
      </c>
      <c r="F26" s="2">
        <f t="shared" si="4"/>
        <v>0</v>
      </c>
      <c r="G26" s="16" t="str">
        <f t="shared" si="5"/>
        <v/>
      </c>
      <c r="H26" s="1" t="str">
        <f t="shared" si="0"/>
        <v/>
      </c>
      <c r="I26" s="12"/>
      <c r="J26" s="48"/>
      <c r="Y26" s="2">
        <f t="shared" si="6"/>
        <v>0</v>
      </c>
      <c r="Z26" s="2">
        <f t="shared" si="7"/>
        <v>0</v>
      </c>
      <c r="AA26" s="7"/>
      <c r="AB26" s="17" t="e">
        <f t="shared" si="1"/>
        <v>#N/A</v>
      </c>
      <c r="AC26" s="17">
        <f t="shared" si="8"/>
        <v>20</v>
      </c>
      <c r="AD26" s="17">
        <f t="shared" si="9"/>
        <v>18.2</v>
      </c>
      <c r="AE26" s="17">
        <f t="shared" si="10"/>
        <v>16.399999999999999</v>
      </c>
      <c r="AF26" s="17">
        <f t="shared" si="11"/>
        <v>40.07</v>
      </c>
    </row>
    <row r="27" spans="1:32" x14ac:dyDescent="0.15">
      <c r="A27" s="11">
        <v>21</v>
      </c>
      <c r="B27" s="16"/>
      <c r="C27" s="1"/>
      <c r="D27" s="2" t="str">
        <f t="shared" si="2"/>
        <v/>
      </c>
      <c r="E27" s="2" t="str">
        <f t="shared" si="3"/>
        <v/>
      </c>
      <c r="F27" s="2">
        <f t="shared" si="4"/>
        <v>0</v>
      </c>
      <c r="G27" s="16" t="str">
        <f t="shared" si="5"/>
        <v/>
      </c>
      <c r="H27" s="1" t="str">
        <f t="shared" si="0"/>
        <v/>
      </c>
      <c r="I27" s="12"/>
      <c r="J27" s="48"/>
      <c r="Y27" s="2">
        <f t="shared" si="6"/>
        <v>0</v>
      </c>
      <c r="Z27" s="2">
        <f t="shared" si="7"/>
        <v>0</v>
      </c>
      <c r="AA27" s="7"/>
      <c r="AB27" s="17" t="e">
        <f t="shared" si="1"/>
        <v>#N/A</v>
      </c>
      <c r="AC27" s="17">
        <f t="shared" si="8"/>
        <v>20</v>
      </c>
      <c r="AD27" s="17">
        <f t="shared" si="9"/>
        <v>18.2</v>
      </c>
      <c r="AE27" s="17">
        <f t="shared" si="10"/>
        <v>16.399999999999999</v>
      </c>
      <c r="AF27" s="17">
        <f t="shared" si="11"/>
        <v>40.07</v>
      </c>
    </row>
    <row r="28" spans="1:32" x14ac:dyDescent="0.15">
      <c r="A28" s="11">
        <v>22</v>
      </c>
      <c r="B28" s="16"/>
      <c r="C28" s="1"/>
      <c r="D28" s="2" t="str">
        <f t="shared" si="2"/>
        <v/>
      </c>
      <c r="E28" s="2" t="str">
        <f t="shared" si="3"/>
        <v/>
      </c>
      <c r="F28" s="2">
        <f t="shared" si="4"/>
        <v>0</v>
      </c>
      <c r="G28" s="16" t="str">
        <f t="shared" si="5"/>
        <v/>
      </c>
      <c r="H28" s="1" t="str">
        <f t="shared" si="0"/>
        <v/>
      </c>
      <c r="I28" s="12"/>
      <c r="Y28" s="2">
        <f t="shared" si="6"/>
        <v>0</v>
      </c>
      <c r="Z28" s="2">
        <f t="shared" si="7"/>
        <v>0</v>
      </c>
      <c r="AA28" s="7"/>
      <c r="AB28" s="17" t="e">
        <f t="shared" si="1"/>
        <v>#N/A</v>
      </c>
      <c r="AC28" s="17">
        <f t="shared" si="8"/>
        <v>20</v>
      </c>
      <c r="AD28" s="17">
        <f t="shared" si="9"/>
        <v>18.2</v>
      </c>
      <c r="AE28" s="17">
        <f t="shared" si="10"/>
        <v>16.399999999999999</v>
      </c>
      <c r="AF28" s="17">
        <f t="shared" si="11"/>
        <v>40.07</v>
      </c>
    </row>
    <row r="29" spans="1:32" x14ac:dyDescent="0.15">
      <c r="A29" s="11">
        <v>23</v>
      </c>
      <c r="B29" s="16"/>
      <c r="C29" s="1"/>
      <c r="D29" s="2" t="str">
        <f t="shared" si="2"/>
        <v/>
      </c>
      <c r="E29" s="2" t="str">
        <f t="shared" si="3"/>
        <v/>
      </c>
      <c r="F29" s="2">
        <f t="shared" si="4"/>
        <v>0</v>
      </c>
      <c r="G29" s="16" t="str">
        <f t="shared" si="5"/>
        <v/>
      </c>
      <c r="H29" s="1" t="str">
        <f t="shared" si="0"/>
        <v/>
      </c>
      <c r="I29" s="12"/>
      <c r="Y29" s="2">
        <f t="shared" si="6"/>
        <v>0</v>
      </c>
      <c r="Z29" s="2">
        <f t="shared" si="7"/>
        <v>0</v>
      </c>
      <c r="AA29" s="7"/>
      <c r="AB29" s="17" t="e">
        <f t="shared" si="1"/>
        <v>#N/A</v>
      </c>
      <c r="AC29" s="17">
        <f t="shared" si="8"/>
        <v>20</v>
      </c>
      <c r="AD29" s="17">
        <f t="shared" si="9"/>
        <v>18.2</v>
      </c>
      <c r="AE29" s="17">
        <f t="shared" si="10"/>
        <v>16.399999999999999</v>
      </c>
      <c r="AF29" s="17">
        <f t="shared" si="11"/>
        <v>40.07</v>
      </c>
    </row>
    <row r="30" spans="1:32" x14ac:dyDescent="0.15">
      <c r="A30" s="11">
        <v>24</v>
      </c>
      <c r="B30" s="16"/>
      <c r="C30" s="1"/>
      <c r="D30" s="2" t="str">
        <f t="shared" si="2"/>
        <v/>
      </c>
      <c r="E30" s="2" t="str">
        <f t="shared" si="3"/>
        <v/>
      </c>
      <c r="F30" s="2">
        <f t="shared" si="4"/>
        <v>0</v>
      </c>
      <c r="G30" s="16" t="str">
        <f t="shared" si="5"/>
        <v/>
      </c>
      <c r="H30" s="1" t="str">
        <f t="shared" si="0"/>
        <v/>
      </c>
      <c r="I30" s="12"/>
      <c r="Y30" s="2">
        <f t="shared" si="6"/>
        <v>0</v>
      </c>
      <c r="Z30" s="2">
        <f t="shared" si="7"/>
        <v>0</v>
      </c>
      <c r="AA30" s="7"/>
      <c r="AB30" s="17" t="e">
        <f t="shared" si="1"/>
        <v>#N/A</v>
      </c>
      <c r="AC30" s="17">
        <f t="shared" si="8"/>
        <v>20</v>
      </c>
      <c r="AD30" s="17">
        <f t="shared" si="9"/>
        <v>18.2</v>
      </c>
      <c r="AE30" s="17">
        <f t="shared" si="10"/>
        <v>16.399999999999999</v>
      </c>
      <c r="AF30" s="17">
        <f t="shared" si="11"/>
        <v>40.07</v>
      </c>
    </row>
    <row r="31" spans="1:32" x14ac:dyDescent="0.15">
      <c r="A31" s="11">
        <v>25</v>
      </c>
      <c r="B31" s="16"/>
      <c r="C31" s="1"/>
      <c r="D31" s="2" t="str">
        <f t="shared" si="2"/>
        <v/>
      </c>
      <c r="E31" s="2" t="str">
        <f t="shared" si="3"/>
        <v/>
      </c>
      <c r="F31" s="2">
        <f t="shared" si="4"/>
        <v>0</v>
      </c>
      <c r="G31" s="16" t="str">
        <f t="shared" si="5"/>
        <v/>
      </c>
      <c r="H31" s="1" t="str">
        <f t="shared" si="0"/>
        <v/>
      </c>
      <c r="I31" s="12"/>
      <c r="T31" s="7"/>
      <c r="U31" s="7"/>
      <c r="V31" s="7"/>
      <c r="X31" s="7"/>
      <c r="Y31" s="2">
        <f t="shared" si="6"/>
        <v>0</v>
      </c>
      <c r="Z31" s="2">
        <f t="shared" si="7"/>
        <v>0</v>
      </c>
      <c r="AA31" s="7"/>
      <c r="AB31" s="17" t="e">
        <f t="shared" si="1"/>
        <v>#N/A</v>
      </c>
      <c r="AC31" s="17">
        <f t="shared" si="8"/>
        <v>20</v>
      </c>
      <c r="AD31" s="17">
        <f t="shared" si="9"/>
        <v>18.2</v>
      </c>
      <c r="AE31" s="17">
        <f t="shared" si="10"/>
        <v>16.399999999999999</v>
      </c>
      <c r="AF31" s="17">
        <f t="shared" si="11"/>
        <v>40.07</v>
      </c>
    </row>
    <row r="32" spans="1:32" x14ac:dyDescent="0.15">
      <c r="A32"/>
      <c r="T32" s="7"/>
      <c r="U32" s="7"/>
      <c r="V32" s="7"/>
      <c r="X32" s="7"/>
    </row>
    <row r="33" spans="1:24" x14ac:dyDescent="0.15">
      <c r="A33"/>
      <c r="T33" s="7"/>
      <c r="U33" s="7"/>
      <c r="V33" s="7"/>
      <c r="X33" s="7"/>
    </row>
    <row r="34" spans="1:24" x14ac:dyDescent="0.15">
      <c r="A34"/>
      <c r="T34" s="7"/>
      <c r="U34" s="7"/>
      <c r="V34" s="7"/>
      <c r="X34" s="7"/>
    </row>
    <row r="35" spans="1:24" x14ac:dyDescent="0.15">
      <c r="T35" s="7"/>
      <c r="U35" s="7"/>
      <c r="V35" s="7"/>
      <c r="X35" s="7"/>
    </row>
    <row r="36" spans="1:24" x14ac:dyDescent="0.15">
      <c r="T36" s="7"/>
      <c r="U36" s="7"/>
      <c r="V36" s="7"/>
      <c r="X36" s="7"/>
    </row>
    <row r="37" spans="1:24" x14ac:dyDescent="0.15">
      <c r="T37" s="7"/>
      <c r="U37" s="7"/>
      <c r="V37" s="7"/>
      <c r="X37" s="7"/>
    </row>
    <row r="38" spans="1:24" x14ac:dyDescent="0.15">
      <c r="T38" s="7"/>
      <c r="U38" s="7"/>
      <c r="V38" s="7"/>
      <c r="X38" s="7"/>
    </row>
    <row r="39" spans="1:24" x14ac:dyDescent="0.15">
      <c r="T39" s="7"/>
      <c r="U39" s="7"/>
      <c r="V39" s="7"/>
      <c r="X39" s="7"/>
    </row>
    <row r="40" spans="1:24" x14ac:dyDescent="0.15">
      <c r="T40" s="7"/>
      <c r="U40" s="7"/>
      <c r="V40" s="7"/>
      <c r="X40" s="7"/>
    </row>
    <row r="41" spans="1:24" x14ac:dyDescent="0.15">
      <c r="T41" s="7"/>
      <c r="U41" s="7"/>
      <c r="V41" s="7"/>
      <c r="X41" s="7"/>
    </row>
  </sheetData>
  <mergeCells count="7">
    <mergeCell ref="O3:P3"/>
    <mergeCell ref="G6:H6"/>
    <mergeCell ref="B1:H1"/>
    <mergeCell ref="B2:H2"/>
    <mergeCell ref="B3:H3"/>
    <mergeCell ref="B4:H4"/>
    <mergeCell ref="B6:C6"/>
  </mergeCells>
  <phoneticPr fontId="2" type="noConversion"/>
  <conditionalFormatting sqref="K1:L2">
    <cfRule type="cellIs" dxfId="26" priority="34" operator="equal">
      <formula>0</formula>
    </cfRule>
  </conditionalFormatting>
  <conditionalFormatting sqref="S2">
    <cfRule type="cellIs" dxfId="25" priority="72" operator="lessThan">
      <formula>2</formula>
    </cfRule>
    <cfRule type="cellIs" dxfId="24" priority="73" operator="equal">
      <formula>2</formula>
    </cfRule>
    <cfRule type="cellIs" dxfId="23" priority="74" operator="greaterThan">
      <formula>2</formula>
    </cfRule>
  </conditionalFormatting>
  <conditionalFormatting sqref="S2:S3">
    <cfRule type="cellIs" dxfId="22" priority="39" operator="equal">
      <formula>" "</formula>
    </cfRule>
  </conditionalFormatting>
  <conditionalFormatting sqref="S3">
    <cfRule type="cellIs" dxfId="21" priority="40" operator="equal">
      <formula>0</formula>
    </cfRule>
    <cfRule type="cellIs" dxfId="20" priority="41" operator="greaterThan">
      <formula>0</formula>
    </cfRule>
  </conditionalFormatting>
  <conditionalFormatting sqref="AG9:AH9">
    <cfRule type="cellIs" dxfId="19" priority="9" operator="greaterThan">
      <formula>$AG$6</formula>
    </cfRule>
  </conditionalFormatting>
  <conditionalFormatting sqref="O1:P1">
    <cfRule type="expression" dxfId="18" priority="6">
      <formula>$O$1&lt;$K$1</formula>
    </cfRule>
    <cfRule type="expression" dxfId="17" priority="7">
      <formula>$O$1&gt;$K$1</formula>
    </cfRule>
    <cfRule type="expression" dxfId="16" priority="8">
      <formula>$O$1=$K$1</formula>
    </cfRule>
  </conditionalFormatting>
  <conditionalFormatting sqref="B7:C31">
    <cfRule type="cellIs" dxfId="15" priority="1" operator="equal">
      <formula>0</formula>
    </cfRule>
  </conditionalFormatting>
  <conditionalFormatting sqref="G7:H31">
    <cfRule type="expression" priority="84" stopIfTrue="1">
      <formula>$B7=0</formula>
    </cfRule>
    <cfRule type="expression" dxfId="14" priority="85">
      <formula>$G7&lt;$K$4</formula>
    </cfRule>
    <cfRule type="expression" dxfId="13" priority="86">
      <formula>$G7&lt;$K$3</formula>
    </cfRule>
  </conditionalFormatting>
  <pageMargins left="0.39370078740157483" right="0.19685039370078741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93AEB-97D7-094B-AAAD-42554E39CA9D}">
  <sheetPr codeName="Sheet1"/>
  <dimension ref="B3:B4"/>
  <sheetViews>
    <sheetView topLeftCell="A12" workbookViewId="0">
      <selection activeCell="B5" sqref="B5"/>
    </sheetView>
  </sheetViews>
  <sheetFormatPr baseColWidth="10" defaultRowHeight="13" x14ac:dyDescent="0.15"/>
  <sheetData>
    <row r="3" spans="2:2" x14ac:dyDescent="0.15">
      <c r="B3" t="s">
        <v>70</v>
      </c>
    </row>
    <row r="4" spans="2:2" x14ac:dyDescent="0.15">
      <c r="B4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3B15-6CE1-4B01-85CC-E901832724C6}">
  <sheetPr codeName="Sheet2"/>
  <dimension ref="A1:C44"/>
  <sheetViews>
    <sheetView workbookViewId="0">
      <selection activeCell="B34" sqref="B34"/>
    </sheetView>
  </sheetViews>
  <sheetFormatPr baseColWidth="10" defaultRowHeight="13" x14ac:dyDescent="0.15"/>
  <cols>
    <col min="1" max="1" width="23.6640625" bestFit="1" customWidth="1"/>
    <col min="2" max="2" width="17.33203125" bestFit="1" customWidth="1"/>
  </cols>
  <sheetData>
    <row r="1" spans="1:3" x14ac:dyDescent="0.15">
      <c r="A1" s="8" t="s">
        <v>23</v>
      </c>
      <c r="B1" t="s">
        <v>24</v>
      </c>
    </row>
    <row r="2" spans="1:3" x14ac:dyDescent="0.15">
      <c r="A2" s="8"/>
    </row>
    <row r="3" spans="1:3" x14ac:dyDescent="0.15">
      <c r="A3" s="8" t="s">
        <v>25</v>
      </c>
      <c r="B3" t="s">
        <v>26</v>
      </c>
    </row>
    <row r="5" spans="1:3" x14ac:dyDescent="0.15">
      <c r="A5" s="8" t="s">
        <v>27</v>
      </c>
    </row>
    <row r="6" spans="1:3" x14ac:dyDescent="0.15">
      <c r="A6" t="s">
        <v>28</v>
      </c>
      <c r="B6" t="s">
        <v>29</v>
      </c>
    </row>
    <row r="7" spans="1:3" x14ac:dyDescent="0.15">
      <c r="A7" t="s">
        <v>30</v>
      </c>
      <c r="B7" t="s">
        <v>31</v>
      </c>
    </row>
    <row r="8" spans="1:3" x14ac:dyDescent="0.15">
      <c r="A8" t="s">
        <v>32</v>
      </c>
      <c r="B8" t="s">
        <v>33</v>
      </c>
    </row>
    <row r="10" spans="1:3" x14ac:dyDescent="0.15">
      <c r="B10" s="8" t="s">
        <v>34</v>
      </c>
    </row>
    <row r="11" spans="1:3" x14ac:dyDescent="0.15">
      <c r="B11" t="s">
        <v>35</v>
      </c>
      <c r="C11" t="s">
        <v>29</v>
      </c>
    </row>
    <row r="12" spans="1:3" x14ac:dyDescent="0.15">
      <c r="B12" t="s">
        <v>36</v>
      </c>
      <c r="C12" t="s">
        <v>29</v>
      </c>
    </row>
    <row r="13" spans="1:3" x14ac:dyDescent="0.15">
      <c r="B13" t="s">
        <v>37</v>
      </c>
      <c r="C13" t="s">
        <v>29</v>
      </c>
    </row>
    <row r="14" spans="1:3" x14ac:dyDescent="0.15">
      <c r="B14" t="s">
        <v>38</v>
      </c>
      <c r="C14" t="s">
        <v>29</v>
      </c>
    </row>
    <row r="15" spans="1:3" x14ac:dyDescent="0.15">
      <c r="B15" t="s">
        <v>39</v>
      </c>
      <c r="C15" t="s">
        <v>29</v>
      </c>
    </row>
    <row r="16" spans="1:3" x14ac:dyDescent="0.15">
      <c r="B16" t="s">
        <v>40</v>
      </c>
      <c r="C16" t="s">
        <v>29</v>
      </c>
    </row>
    <row r="17" spans="1:3" x14ac:dyDescent="0.15">
      <c r="B17" t="s">
        <v>41</v>
      </c>
      <c r="C17" t="s">
        <v>29</v>
      </c>
    </row>
    <row r="19" spans="1:3" x14ac:dyDescent="0.15">
      <c r="A19" s="8" t="s">
        <v>42</v>
      </c>
    </row>
    <row r="20" spans="1:3" x14ac:dyDescent="0.15">
      <c r="A20" t="s">
        <v>30</v>
      </c>
      <c r="B20" t="s">
        <v>43</v>
      </c>
    </row>
    <row r="21" spans="1:3" x14ac:dyDescent="0.15">
      <c r="A21" t="s">
        <v>44</v>
      </c>
      <c r="B21" t="s">
        <v>45</v>
      </c>
    </row>
    <row r="22" spans="1:3" x14ac:dyDescent="0.15">
      <c r="A22" t="s">
        <v>46</v>
      </c>
      <c r="B22" t="s">
        <v>47</v>
      </c>
      <c r="C22" s="40" t="s">
        <v>48</v>
      </c>
    </row>
    <row r="23" spans="1:3" x14ac:dyDescent="0.15">
      <c r="A23" t="s">
        <v>49</v>
      </c>
      <c r="B23" s="40" t="s">
        <v>29</v>
      </c>
      <c r="C23" s="40" t="s">
        <v>50</v>
      </c>
    </row>
    <row r="25" spans="1:3" s="8" customFormat="1" x14ac:dyDescent="0.15">
      <c r="A25" s="8" t="s">
        <v>51</v>
      </c>
      <c r="B25" t="s">
        <v>52</v>
      </c>
    </row>
    <row r="27" spans="1:3" s="42" customFormat="1" x14ac:dyDescent="0.15">
      <c r="A27" s="41" t="s">
        <v>53</v>
      </c>
    </row>
    <row r="28" spans="1:3" s="42" customFormat="1" x14ac:dyDescent="0.15">
      <c r="A28" s="42" t="s">
        <v>30</v>
      </c>
      <c r="B28" s="42" t="s">
        <v>54</v>
      </c>
    </row>
    <row r="29" spans="1:3" s="42" customFormat="1" x14ac:dyDescent="0.15">
      <c r="A29" s="42" t="s">
        <v>55</v>
      </c>
      <c r="B29" s="42" t="s">
        <v>56</v>
      </c>
    </row>
    <row r="30" spans="1:3" s="42" customFormat="1" x14ac:dyDescent="0.15">
      <c r="A30" s="42" t="s">
        <v>57</v>
      </c>
      <c r="B30" s="42" t="s">
        <v>58</v>
      </c>
    </row>
    <row r="31" spans="1:3" s="42" customFormat="1" x14ac:dyDescent="0.15">
      <c r="A31" s="42" t="s">
        <v>59</v>
      </c>
      <c r="B31" s="42" t="s">
        <v>29</v>
      </c>
    </row>
    <row r="32" spans="1:3" s="42" customFormat="1" x14ac:dyDescent="0.15">
      <c r="A32" s="42" t="s">
        <v>60</v>
      </c>
      <c r="B32" s="42" t="s">
        <v>29</v>
      </c>
    </row>
    <row r="33" spans="1:2" s="42" customFormat="1" x14ac:dyDescent="0.15"/>
    <row r="34" spans="1:2" s="42" customFormat="1" x14ac:dyDescent="0.15">
      <c r="A34" s="41" t="s">
        <v>35</v>
      </c>
      <c r="B34" s="42" t="s">
        <v>61</v>
      </c>
    </row>
    <row r="35" spans="1:2" s="42" customFormat="1" x14ac:dyDescent="0.15">
      <c r="A35" s="41"/>
    </row>
    <row r="36" spans="1:2" s="42" customFormat="1" x14ac:dyDescent="0.15">
      <c r="A36" s="41" t="s">
        <v>62</v>
      </c>
      <c r="B36" s="43">
        <v>7914</v>
      </c>
    </row>
    <row r="37" spans="1:2" s="42" customFormat="1" x14ac:dyDescent="0.15">
      <c r="A37" s="41"/>
    </row>
    <row r="38" spans="1:2" x14ac:dyDescent="0.15">
      <c r="A38" s="8" t="s">
        <v>63</v>
      </c>
      <c r="B38" t="s">
        <v>61</v>
      </c>
    </row>
    <row r="40" spans="1:2" x14ac:dyDescent="0.15">
      <c r="A40" s="8" t="s">
        <v>64</v>
      </c>
      <c r="B40" t="s">
        <v>65</v>
      </c>
    </row>
    <row r="42" spans="1:2" x14ac:dyDescent="0.15">
      <c r="A42" s="8" t="s">
        <v>66</v>
      </c>
      <c r="B42" t="s">
        <v>29</v>
      </c>
    </row>
    <row r="44" spans="1:2" x14ac:dyDescent="0.15">
      <c r="A44" s="8" t="s">
        <v>67</v>
      </c>
      <c r="B4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6C5B-158E-46B9-AC8C-8DB50BFD1677}">
  <sheetPr codeName="Feuil3"/>
  <dimension ref="A1:AL34"/>
  <sheetViews>
    <sheetView showGridLines="0" workbookViewId="0">
      <pane ySplit="4" topLeftCell="A5" activePane="bottomLeft" state="frozen"/>
      <selection pane="bottomLeft" activeCell="B1" sqref="B1:M1"/>
    </sheetView>
  </sheetViews>
  <sheetFormatPr baseColWidth="10" defaultColWidth="11" defaultRowHeight="13" x14ac:dyDescent="0.15"/>
  <cols>
    <col min="1" max="1" width="10" style="7" bestFit="1" customWidth="1"/>
    <col min="2" max="2" width="14.5" style="7" customWidth="1"/>
    <col min="3" max="3" width="3.1640625" style="5" customWidth="1"/>
    <col min="4" max="4" width="14.5" style="7" customWidth="1"/>
    <col min="5" max="5" width="3.1640625" style="5" customWidth="1"/>
    <col min="6" max="11" width="4" style="7" hidden="1" customWidth="1"/>
    <col min="12" max="12" width="9.5" style="7" customWidth="1"/>
    <col min="13" max="13" width="3.1640625" style="5" customWidth="1"/>
    <col min="14" max="14" width="1.5" style="7" customWidth="1"/>
    <col min="15" max="15" width="9.5" style="6" customWidth="1"/>
    <col min="16" max="16" width="8.5" style="20" customWidth="1"/>
    <col min="17" max="17" width="3.1640625" style="5" customWidth="1"/>
    <col min="18" max="18" width="0.83203125" style="5" customWidth="1"/>
    <col min="19" max="19" width="10.1640625" style="5" customWidth="1"/>
    <col min="20" max="20" width="8.5" style="20" customWidth="1"/>
    <col min="21" max="21" width="3.1640625" style="5" customWidth="1"/>
    <col min="22" max="22" width="0.83203125" style="5" customWidth="1"/>
    <col min="23" max="23" width="9.5" style="5" customWidth="1"/>
    <col min="24" max="24" width="8.5" style="5" customWidth="1"/>
    <col min="25" max="25" width="3.1640625" style="5" customWidth="1"/>
    <col min="26" max="26" width="0.83203125" style="5" customWidth="1"/>
    <col min="27" max="27" width="9.5" customWidth="1"/>
    <col min="28" max="28" width="8.5" customWidth="1"/>
    <col min="29" max="29" width="3.1640625" style="5" customWidth="1"/>
    <col min="30" max="30" width="2.6640625" customWidth="1"/>
    <col min="31" max="32" width="6.33203125" hidden="1" customWidth="1"/>
    <col min="33" max="34" width="5.33203125" hidden="1" customWidth="1"/>
    <col min="35" max="35" width="8.1640625" hidden="1" customWidth="1"/>
    <col min="36" max="37" width="4.33203125" hidden="1" customWidth="1"/>
    <col min="38" max="38" width="8.1640625" hidden="1" customWidth="1"/>
  </cols>
  <sheetData>
    <row r="1" spans="1:38" x14ac:dyDescent="0.15">
      <c r="A1" s="22" t="s">
        <v>14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O1" s="36" t="s">
        <v>0</v>
      </c>
      <c r="P1" s="34"/>
      <c r="Q1" s="35"/>
      <c r="R1"/>
      <c r="S1" s="22" t="s">
        <v>2</v>
      </c>
      <c r="T1" s="25" t="str">
        <f>IF(D7=0," ",AVERAGE(L7:L31))</f>
        <v xml:space="preserve"> </v>
      </c>
      <c r="U1" s="1" t="str">
        <f>IF($D$7=0," ",$Q$1)</f>
        <v xml:space="preserve"> </v>
      </c>
      <c r="W1" s="23" t="s">
        <v>3</v>
      </c>
      <c r="X1" s="53" t="str">
        <f>IF(D7=0," ",SUBTOTAL(9,AE7:AE31))</f>
        <v xml:space="preserve"> </v>
      </c>
      <c r="Y1" s="53"/>
      <c r="AA1" s="22" t="s">
        <v>8</v>
      </c>
      <c r="AB1" s="16" t="str">
        <f>IF(D7=0," ",MAX(L7:L31))</f>
        <v xml:space="preserve"> </v>
      </c>
      <c r="AC1" s="1" t="str">
        <f>IF($D$7=0," ",$Q$1)</f>
        <v xml:space="preserve"> </v>
      </c>
      <c r="AD1" s="5"/>
      <c r="AE1" s="5"/>
    </row>
    <row r="2" spans="1:38" x14ac:dyDescent="0.15">
      <c r="A2" s="22" t="s">
        <v>16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O2" s="30" t="s">
        <v>4</v>
      </c>
      <c r="P2" s="28" t="str">
        <f>IF($P$1=0," ",$P$1-$AF$5)</f>
        <v xml:space="preserve"> </v>
      </c>
      <c r="Q2" s="29" t="str">
        <f>IF($P$1=0," ",$Q$1)</f>
        <v xml:space="preserve"> </v>
      </c>
      <c r="R2"/>
      <c r="S2" s="22" t="s">
        <v>18</v>
      </c>
      <c r="T2" s="25" t="str">
        <f>IF(D8=0," ",_xlfn.STDEV.S(L7:L31))</f>
        <v xml:space="preserve"> </v>
      </c>
      <c r="U2" s="1" t="str">
        <f>IF($D$7=0," ",$Q$1)</f>
        <v xml:space="preserve"> </v>
      </c>
      <c r="W2" s="23" t="s">
        <v>10</v>
      </c>
      <c r="X2" s="68" t="str">
        <f>IF(D7=0," ",(X1/T3)*100)</f>
        <v xml:space="preserve"> </v>
      </c>
      <c r="Y2" s="68"/>
      <c r="AA2" s="22" t="s">
        <v>7</v>
      </c>
      <c r="AB2" s="16" t="str">
        <f>IF(D7=0," ",MIN(L7:L31))</f>
        <v xml:space="preserve"> </v>
      </c>
      <c r="AC2" s="24" t="str">
        <f>IF($D$7=0," ",$Q$1)</f>
        <v xml:space="preserve"> </v>
      </c>
      <c r="AD2" s="5"/>
      <c r="AE2" s="5"/>
    </row>
    <row r="3" spans="1:38" x14ac:dyDescent="0.15">
      <c r="A3" s="22" t="s">
        <v>15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/>
      <c r="O3" s="31" t="s">
        <v>5</v>
      </c>
      <c r="P3" s="16" t="str">
        <f>IF($P$1=0," ",($P$1-(2*$AF$5)))</f>
        <v xml:space="preserve"> </v>
      </c>
      <c r="Q3" s="1" t="str">
        <f>IF($P$1=0," ",$Q$1)</f>
        <v xml:space="preserve"> </v>
      </c>
      <c r="R3"/>
      <c r="S3" s="23" t="s">
        <v>21</v>
      </c>
      <c r="T3" s="53" t="str">
        <f>IF(D7=0," ",COUNT(L7:L31))</f>
        <v xml:space="preserve"> </v>
      </c>
      <c r="U3" s="53"/>
      <c r="W3" s="23" t="s">
        <v>6</v>
      </c>
      <c r="X3" s="53" t="str">
        <f>IF(D7=0," ",SUBTOTAL(9,AF7:AF31))</f>
        <v xml:space="preserve"> </v>
      </c>
      <c r="Y3" s="53"/>
      <c r="AA3" s="22" t="s">
        <v>9</v>
      </c>
      <c r="AB3" s="16" t="str">
        <f>IF(D7=0," ",AB1-AB2)</f>
        <v xml:space="preserve"> </v>
      </c>
      <c r="AC3" s="1" t="str">
        <f>IF($D$7=0," ",$Q$1)</f>
        <v xml:space="preserve"> </v>
      </c>
      <c r="AD3" s="5"/>
      <c r="AE3" s="7"/>
    </row>
    <row r="4" spans="1:38" x14ac:dyDescent="0.15">
      <c r="A4" s="22" t="s">
        <v>17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</row>
    <row r="5" spans="1:38" x14ac:dyDescent="0.15">
      <c r="A5" s="4"/>
      <c r="B5" s="9"/>
      <c r="C5" s="4"/>
      <c r="D5" s="9"/>
      <c r="E5" s="4"/>
      <c r="F5" s="8"/>
      <c r="G5" s="8"/>
      <c r="H5" s="8"/>
      <c r="I5" s="8"/>
      <c r="J5" s="8"/>
      <c r="K5" s="8"/>
      <c r="L5" s="8"/>
      <c r="M5" s="4"/>
      <c r="R5" s="4"/>
      <c r="V5" s="4"/>
      <c r="W5" s="4"/>
      <c r="X5" s="4"/>
      <c r="Y5" s="4"/>
      <c r="Z5" s="4"/>
      <c r="AA5" s="4"/>
      <c r="AB5" s="4"/>
      <c r="AC5" s="4"/>
      <c r="AD5" s="4"/>
      <c r="AE5" s="2" t="s">
        <v>1</v>
      </c>
      <c r="AF5" s="3">
        <f>IF(P1&lt;=50,(P1)*(9/100),IF(P1&lt;=100,4.5,IF(P1&lt;=200,(P1)*(4.5/100),IF(P1&lt;=300,9,IF(P1&lt;=500,(P1)*(3/100),IF(P1&lt;=1000,15,IF(P1&lt;=10000,(P1)*(1.5/100),IF(P1&lt;=15000,150,IF(P1&gt;15000,(P1)*(1/100))))))))))</f>
        <v>0</v>
      </c>
    </row>
    <row r="6" spans="1:38" x14ac:dyDescent="0.15">
      <c r="A6" s="10" t="s">
        <v>22</v>
      </c>
      <c r="B6" s="62" t="s">
        <v>11</v>
      </c>
      <c r="C6" s="54"/>
      <c r="D6" s="63" t="s">
        <v>12</v>
      </c>
      <c r="E6" s="64"/>
      <c r="F6" s="67" t="s">
        <v>11</v>
      </c>
      <c r="G6" s="62"/>
      <c r="H6" s="54"/>
      <c r="I6" s="62" t="s">
        <v>20</v>
      </c>
      <c r="J6" s="62"/>
      <c r="K6" s="54"/>
      <c r="L6" s="62" t="s">
        <v>13</v>
      </c>
      <c r="M6" s="54"/>
      <c r="N6" s="12"/>
      <c r="R6" s="4"/>
      <c r="V6" s="9"/>
      <c r="Z6" s="4"/>
      <c r="AA6" s="4"/>
      <c r="AB6" s="4"/>
      <c r="AC6" s="4"/>
      <c r="AD6" s="4"/>
      <c r="AE6" s="2" t="s">
        <v>4</v>
      </c>
      <c r="AF6" s="2" t="s">
        <v>5</v>
      </c>
      <c r="AH6" s="17" t="s">
        <v>19</v>
      </c>
      <c r="AI6" s="17" t="s">
        <v>0</v>
      </c>
      <c r="AJ6" s="17" t="s">
        <v>4</v>
      </c>
      <c r="AK6" s="17" t="s">
        <v>5</v>
      </c>
      <c r="AL6" s="17" t="s">
        <v>2</v>
      </c>
    </row>
    <row r="7" spans="1:38" x14ac:dyDescent="0.15">
      <c r="A7" s="11">
        <v>1</v>
      </c>
      <c r="B7" s="18"/>
      <c r="C7" s="39"/>
      <c r="D7" s="18"/>
      <c r="E7" s="39"/>
      <c r="F7" s="2" t="str">
        <f>SUBSTITUTE(SUBSTITUTE(B7,"(",""),")","")</f>
        <v/>
      </c>
      <c r="G7" s="2" t="str">
        <f>SUBSTITUTE(SUBSTITUTE(F7,"o",""),"O","")</f>
        <v/>
      </c>
      <c r="H7" s="2">
        <f>_xlfn.NUMBERVALUE(G7)</f>
        <v>0</v>
      </c>
      <c r="I7" s="2" t="str">
        <f>SUBSTITUTE(SUBSTITUTE(D7,"(",""),")","")</f>
        <v/>
      </c>
      <c r="J7" s="2" t="str">
        <f>SUBSTITUTE(SUBSTITUTE(I7,"o",""),"O","")</f>
        <v/>
      </c>
      <c r="K7" s="2">
        <f>_xlfn.NUMBERVALUE(J7)</f>
        <v>0</v>
      </c>
      <c r="L7" s="16" t="str">
        <f>IF(D7=0," ",(K7-H7))</f>
        <v xml:space="preserve"> </v>
      </c>
      <c r="M7" s="1" t="str">
        <f>IF(E7=0,"",E7)</f>
        <v/>
      </c>
      <c r="N7" s="12"/>
      <c r="R7" s="4"/>
      <c r="S7" s="4"/>
      <c r="T7" s="19"/>
      <c r="U7" s="4"/>
      <c r="V7" s="4"/>
      <c r="Z7" s="4"/>
      <c r="AA7" s="4"/>
      <c r="AB7" s="4"/>
      <c r="AC7" s="4"/>
      <c r="AD7" s="4"/>
      <c r="AE7" s="2" t="str">
        <f t="shared" ref="AE7:AE31" si="0">IF(ISBLANK(D7),"",IF(L7&lt;$P$2,1,0))</f>
        <v/>
      </c>
      <c r="AF7" s="2" t="str">
        <f t="shared" ref="AF7:AF31" si="1">IF(ISBLANK(D7),"",IF(L7&lt;$P$3,1,0))</f>
        <v/>
      </c>
      <c r="AH7" s="17" t="e">
        <f>IF(ISBLANK(D7),(#N/A),L7)</f>
        <v>#N/A</v>
      </c>
      <c r="AI7" s="17">
        <f>$P$1</f>
        <v>0</v>
      </c>
      <c r="AJ7" s="17" t="str">
        <f>$P$2</f>
        <v xml:space="preserve"> </v>
      </c>
      <c r="AK7" s="17" t="str">
        <f>$P$3</f>
        <v xml:space="preserve"> </v>
      </c>
      <c r="AL7" s="37" t="str">
        <f>$T$1</f>
        <v xml:space="preserve"> </v>
      </c>
    </row>
    <row r="8" spans="1:38" x14ac:dyDescent="0.15">
      <c r="A8" s="11">
        <v>2</v>
      </c>
      <c r="B8" s="18"/>
      <c r="C8" s="39"/>
      <c r="D8" s="18"/>
      <c r="E8" s="39"/>
      <c r="F8" s="2" t="str">
        <f t="shared" ref="F8:F31" si="2">SUBSTITUTE(SUBSTITUTE(B8,"(",""),")","")</f>
        <v/>
      </c>
      <c r="G8" s="2" t="str">
        <f t="shared" ref="G8:G31" si="3">SUBSTITUTE(SUBSTITUTE(F8,"o",""),"O","")</f>
        <v/>
      </c>
      <c r="H8" s="2">
        <f t="shared" ref="H8:H31" si="4">_xlfn.NUMBERVALUE(G8)</f>
        <v>0</v>
      </c>
      <c r="I8" s="2" t="str">
        <f t="shared" ref="I8:I31" si="5">SUBSTITUTE(SUBSTITUTE(D8,"(",""),")","")</f>
        <v/>
      </c>
      <c r="J8" s="2" t="str">
        <f t="shared" ref="J8:J31" si="6">SUBSTITUTE(SUBSTITUTE(I8,"o",""),"O","")</f>
        <v/>
      </c>
      <c r="K8" s="2">
        <f t="shared" ref="K8:K31" si="7">_xlfn.NUMBERVALUE(J8)</f>
        <v>0</v>
      </c>
      <c r="L8" s="16" t="str">
        <f t="shared" ref="L8:L31" si="8">IF(D8=0," ",(K8-H8))</f>
        <v xml:space="preserve"> </v>
      </c>
      <c r="M8" s="1" t="str">
        <f t="shared" ref="M8:M31" si="9">IF(E8=0,"",E8)</f>
        <v/>
      </c>
      <c r="N8" s="12"/>
      <c r="R8" s="9"/>
      <c r="S8" s="9"/>
      <c r="T8" s="19"/>
      <c r="U8" s="4"/>
      <c r="V8" s="9"/>
      <c r="Z8" s="4"/>
      <c r="AA8" s="4"/>
      <c r="AB8" s="4"/>
      <c r="AC8" s="4"/>
      <c r="AD8" s="4"/>
      <c r="AE8" s="2" t="str">
        <f t="shared" si="0"/>
        <v/>
      </c>
      <c r="AF8" s="2" t="str">
        <f t="shared" si="1"/>
        <v/>
      </c>
      <c r="AH8" s="17" t="e">
        <f t="shared" ref="AH8:AH31" si="10">IF(ISBLANK(D8),(#N/A),L8)</f>
        <v>#N/A</v>
      </c>
      <c r="AI8" s="17">
        <f t="shared" ref="AI8:AI31" si="11">$P$1</f>
        <v>0</v>
      </c>
      <c r="AJ8" s="17" t="str">
        <f t="shared" ref="AJ8:AJ31" si="12">$P$2</f>
        <v xml:space="preserve"> </v>
      </c>
      <c r="AK8" s="17" t="str">
        <f t="shared" ref="AK8:AK31" si="13">$P$3</f>
        <v xml:space="preserve"> </v>
      </c>
      <c r="AL8" s="17" t="str">
        <f t="shared" ref="AL8:AL31" si="14">$T$1</f>
        <v xml:space="preserve"> </v>
      </c>
    </row>
    <row r="9" spans="1:38" x14ac:dyDescent="0.15">
      <c r="A9" s="11">
        <v>3</v>
      </c>
      <c r="B9" s="18"/>
      <c r="C9" s="39"/>
      <c r="D9" s="18"/>
      <c r="E9" s="39"/>
      <c r="F9" s="2" t="str">
        <f t="shared" si="2"/>
        <v/>
      </c>
      <c r="G9" s="2" t="str">
        <f t="shared" si="3"/>
        <v/>
      </c>
      <c r="H9" s="2">
        <f t="shared" si="4"/>
        <v>0</v>
      </c>
      <c r="I9" s="2" t="str">
        <f t="shared" si="5"/>
        <v/>
      </c>
      <c r="J9" s="2" t="str">
        <f t="shared" si="6"/>
        <v/>
      </c>
      <c r="K9" s="2">
        <f t="shared" si="7"/>
        <v>0</v>
      </c>
      <c r="L9" s="16" t="str">
        <f t="shared" si="8"/>
        <v xml:space="preserve"> </v>
      </c>
      <c r="M9" s="1" t="str">
        <f t="shared" si="9"/>
        <v/>
      </c>
      <c r="N9" s="12"/>
      <c r="O9" s="13"/>
      <c r="P9" s="19"/>
      <c r="Q9" s="14"/>
      <c r="R9" s="14"/>
      <c r="S9" s="14"/>
      <c r="T9" s="21"/>
      <c r="U9" s="14"/>
      <c r="V9" s="14"/>
      <c r="W9" s="14"/>
      <c r="X9" s="14"/>
      <c r="Y9" s="4"/>
      <c r="Z9" s="4"/>
      <c r="AA9" s="4"/>
      <c r="AB9" s="4"/>
      <c r="AC9" s="4"/>
      <c r="AD9" s="4"/>
      <c r="AE9" s="2" t="str">
        <f t="shared" si="0"/>
        <v/>
      </c>
      <c r="AF9" s="2" t="str">
        <f t="shared" si="1"/>
        <v/>
      </c>
      <c r="AH9" s="17" t="e">
        <f t="shared" si="10"/>
        <v>#N/A</v>
      </c>
      <c r="AI9" s="17">
        <f t="shared" si="11"/>
        <v>0</v>
      </c>
      <c r="AJ9" s="17" t="str">
        <f t="shared" si="12"/>
        <v xml:space="preserve"> </v>
      </c>
      <c r="AK9" s="17" t="str">
        <f t="shared" si="13"/>
        <v xml:space="preserve"> </v>
      </c>
      <c r="AL9" s="17" t="str">
        <f t="shared" si="14"/>
        <v xml:space="preserve"> </v>
      </c>
    </row>
    <row r="10" spans="1:38" x14ac:dyDescent="0.15">
      <c r="A10" s="11">
        <v>4</v>
      </c>
      <c r="B10" s="18"/>
      <c r="C10" s="39"/>
      <c r="D10" s="18"/>
      <c r="E10" s="39"/>
      <c r="F10" s="2" t="str">
        <f t="shared" si="2"/>
        <v/>
      </c>
      <c r="G10" s="2" t="str">
        <f t="shared" si="3"/>
        <v/>
      </c>
      <c r="H10" s="2">
        <f t="shared" si="4"/>
        <v>0</v>
      </c>
      <c r="I10" s="2" t="str">
        <f t="shared" si="5"/>
        <v/>
      </c>
      <c r="J10" s="2" t="str">
        <f t="shared" si="6"/>
        <v/>
      </c>
      <c r="K10" s="2">
        <f t="shared" si="7"/>
        <v>0</v>
      </c>
      <c r="L10" s="16" t="str">
        <f t="shared" si="8"/>
        <v xml:space="preserve"> </v>
      </c>
      <c r="M10" s="1" t="str">
        <f t="shared" si="9"/>
        <v/>
      </c>
      <c r="N10" s="12"/>
      <c r="Y10" s="4"/>
      <c r="Z10" s="4"/>
      <c r="AA10" s="4"/>
      <c r="AB10" s="4"/>
      <c r="AC10" s="4"/>
      <c r="AD10" s="4"/>
      <c r="AE10" s="2" t="str">
        <f t="shared" si="0"/>
        <v/>
      </c>
      <c r="AF10" s="2" t="str">
        <f t="shared" si="1"/>
        <v/>
      </c>
      <c r="AH10" s="17" t="e">
        <f t="shared" si="10"/>
        <v>#N/A</v>
      </c>
      <c r="AI10" s="17">
        <f t="shared" si="11"/>
        <v>0</v>
      </c>
      <c r="AJ10" s="17" t="str">
        <f t="shared" si="12"/>
        <v xml:space="preserve"> </v>
      </c>
      <c r="AK10" s="17" t="str">
        <f t="shared" si="13"/>
        <v xml:space="preserve"> </v>
      </c>
      <c r="AL10" s="17" t="str">
        <f t="shared" si="14"/>
        <v xml:space="preserve"> </v>
      </c>
    </row>
    <row r="11" spans="1:38" x14ac:dyDescent="0.15">
      <c r="A11" s="11">
        <v>5</v>
      </c>
      <c r="B11" s="18"/>
      <c r="C11" s="39"/>
      <c r="D11" s="18"/>
      <c r="E11" s="39"/>
      <c r="F11" s="2" t="str">
        <f t="shared" si="2"/>
        <v/>
      </c>
      <c r="G11" s="2" t="str">
        <f t="shared" si="3"/>
        <v/>
      </c>
      <c r="H11" s="2">
        <f t="shared" si="4"/>
        <v>0</v>
      </c>
      <c r="I11" s="2" t="str">
        <f t="shared" si="5"/>
        <v/>
      </c>
      <c r="J11" s="2" t="str">
        <f t="shared" si="6"/>
        <v/>
      </c>
      <c r="K11" s="2">
        <f t="shared" si="7"/>
        <v>0</v>
      </c>
      <c r="L11" s="16" t="str">
        <f t="shared" si="8"/>
        <v xml:space="preserve"> </v>
      </c>
      <c r="M11" s="1" t="str">
        <f t="shared" si="9"/>
        <v/>
      </c>
      <c r="N11" s="12"/>
      <c r="R11" s="9"/>
      <c r="S11" s="9"/>
      <c r="T11" s="19"/>
      <c r="U11" s="4"/>
      <c r="V11" s="9"/>
      <c r="W11" s="9"/>
      <c r="X11" s="9"/>
      <c r="Y11" s="4"/>
      <c r="Z11" s="4"/>
      <c r="AA11" s="4"/>
      <c r="AB11" s="4"/>
      <c r="AC11" s="4"/>
      <c r="AD11" s="4"/>
      <c r="AE11" s="2" t="str">
        <f t="shared" si="0"/>
        <v/>
      </c>
      <c r="AF11" s="2" t="str">
        <f t="shared" si="1"/>
        <v/>
      </c>
      <c r="AH11" s="17" t="e">
        <f t="shared" si="10"/>
        <v>#N/A</v>
      </c>
      <c r="AI11" s="17">
        <f t="shared" si="11"/>
        <v>0</v>
      </c>
      <c r="AJ11" s="17" t="str">
        <f t="shared" si="12"/>
        <v xml:space="preserve"> </v>
      </c>
      <c r="AK11" s="17" t="str">
        <f t="shared" si="13"/>
        <v xml:space="preserve"> </v>
      </c>
      <c r="AL11" s="17" t="str">
        <f t="shared" si="14"/>
        <v xml:space="preserve"> </v>
      </c>
    </row>
    <row r="12" spans="1:38" x14ac:dyDescent="0.15">
      <c r="A12" s="11">
        <v>6</v>
      </c>
      <c r="B12" s="18"/>
      <c r="C12" s="39"/>
      <c r="D12" s="18"/>
      <c r="E12" s="39"/>
      <c r="F12" s="2" t="str">
        <f t="shared" si="2"/>
        <v/>
      </c>
      <c r="G12" s="2" t="str">
        <f t="shared" si="3"/>
        <v/>
      </c>
      <c r="H12" s="2">
        <f t="shared" si="4"/>
        <v>0</v>
      </c>
      <c r="I12" s="2" t="str">
        <f t="shared" si="5"/>
        <v/>
      </c>
      <c r="J12" s="2" t="str">
        <f t="shared" si="6"/>
        <v/>
      </c>
      <c r="K12" s="2">
        <f t="shared" si="7"/>
        <v>0</v>
      </c>
      <c r="L12" s="16" t="str">
        <f t="shared" si="8"/>
        <v xml:space="preserve"> </v>
      </c>
      <c r="M12" s="1" t="str">
        <f t="shared" si="9"/>
        <v/>
      </c>
      <c r="N12" s="12"/>
      <c r="R12" s="9"/>
      <c r="S12" s="9"/>
      <c r="T12" s="19"/>
      <c r="U12" s="4"/>
      <c r="V12" s="9"/>
      <c r="W12" s="9"/>
      <c r="X12" s="9"/>
      <c r="Y12" s="4"/>
      <c r="Z12" s="4"/>
      <c r="AA12" s="4"/>
      <c r="AB12" s="4"/>
      <c r="AC12" s="4"/>
      <c r="AD12" s="4"/>
      <c r="AE12" s="2" t="str">
        <f t="shared" si="0"/>
        <v/>
      </c>
      <c r="AF12" s="2" t="str">
        <f t="shared" si="1"/>
        <v/>
      </c>
      <c r="AH12" s="17" t="e">
        <f t="shared" si="10"/>
        <v>#N/A</v>
      </c>
      <c r="AI12" s="17">
        <f t="shared" si="11"/>
        <v>0</v>
      </c>
      <c r="AJ12" s="17" t="str">
        <f t="shared" si="12"/>
        <v xml:space="preserve"> </v>
      </c>
      <c r="AK12" s="17" t="str">
        <f t="shared" si="13"/>
        <v xml:space="preserve"> </v>
      </c>
      <c r="AL12" s="17" t="str">
        <f t="shared" si="14"/>
        <v xml:space="preserve"> </v>
      </c>
    </row>
    <row r="13" spans="1:38" x14ac:dyDescent="0.15">
      <c r="A13" s="11">
        <v>7</v>
      </c>
      <c r="B13" s="18"/>
      <c r="C13" s="39"/>
      <c r="D13" s="18"/>
      <c r="E13" s="39"/>
      <c r="F13" s="2" t="str">
        <f t="shared" si="2"/>
        <v/>
      </c>
      <c r="G13" s="2" t="str">
        <f t="shared" si="3"/>
        <v/>
      </c>
      <c r="H13" s="2">
        <f t="shared" si="4"/>
        <v>0</v>
      </c>
      <c r="I13" s="2" t="str">
        <f t="shared" si="5"/>
        <v/>
      </c>
      <c r="J13" s="2" t="str">
        <f t="shared" si="6"/>
        <v/>
      </c>
      <c r="K13" s="2">
        <f t="shared" si="7"/>
        <v>0</v>
      </c>
      <c r="L13" s="16" t="str">
        <f t="shared" si="8"/>
        <v xml:space="preserve"> </v>
      </c>
      <c r="M13" s="1" t="str">
        <f t="shared" si="9"/>
        <v/>
      </c>
      <c r="N13" s="12"/>
      <c r="O13" s="13"/>
      <c r="P13" s="19"/>
      <c r="Q13" s="14"/>
      <c r="R13" s="14"/>
      <c r="S13" s="14"/>
      <c r="T13" s="21"/>
      <c r="U13" s="14"/>
      <c r="V13" s="14"/>
      <c r="W13" s="14"/>
      <c r="X13" s="14"/>
      <c r="Y13" s="9"/>
      <c r="Z13" s="9"/>
      <c r="AA13" s="9"/>
      <c r="AB13" s="9"/>
      <c r="AC13" s="4"/>
      <c r="AD13" s="9"/>
      <c r="AE13" s="2" t="str">
        <f t="shared" si="0"/>
        <v/>
      </c>
      <c r="AF13" s="2" t="str">
        <f t="shared" si="1"/>
        <v/>
      </c>
      <c r="AH13" s="17" t="e">
        <f t="shared" si="10"/>
        <v>#N/A</v>
      </c>
      <c r="AI13" s="17">
        <f t="shared" si="11"/>
        <v>0</v>
      </c>
      <c r="AJ13" s="17" t="str">
        <f t="shared" si="12"/>
        <v xml:space="preserve"> </v>
      </c>
      <c r="AK13" s="17" t="str">
        <f t="shared" si="13"/>
        <v xml:space="preserve"> </v>
      </c>
      <c r="AL13" s="17" t="str">
        <f t="shared" si="14"/>
        <v xml:space="preserve"> </v>
      </c>
    </row>
    <row r="14" spans="1:38" x14ac:dyDescent="0.15">
      <c r="A14" s="11">
        <v>8</v>
      </c>
      <c r="B14" s="18"/>
      <c r="C14" s="39"/>
      <c r="D14" s="18"/>
      <c r="E14" s="39"/>
      <c r="F14" s="2" t="str">
        <f t="shared" si="2"/>
        <v/>
      </c>
      <c r="G14" s="2" t="str">
        <f t="shared" si="3"/>
        <v/>
      </c>
      <c r="H14" s="2">
        <f t="shared" si="4"/>
        <v>0</v>
      </c>
      <c r="I14" s="2" t="str">
        <f t="shared" si="5"/>
        <v/>
      </c>
      <c r="J14" s="2" t="str">
        <f t="shared" si="6"/>
        <v/>
      </c>
      <c r="K14" s="2">
        <f t="shared" si="7"/>
        <v>0</v>
      </c>
      <c r="L14" s="16" t="str">
        <f t="shared" si="8"/>
        <v xml:space="preserve"> </v>
      </c>
      <c r="M14" s="1" t="str">
        <f t="shared" si="9"/>
        <v/>
      </c>
      <c r="N14" s="12"/>
      <c r="Y14" s="14"/>
      <c r="Z14" s="14"/>
      <c r="AA14" s="14"/>
      <c r="AB14" s="14"/>
      <c r="AC14" s="14"/>
      <c r="AD14" s="14"/>
      <c r="AE14" s="2" t="str">
        <f t="shared" si="0"/>
        <v/>
      </c>
      <c r="AF14" s="2" t="str">
        <f t="shared" si="1"/>
        <v/>
      </c>
      <c r="AH14" s="17" t="e">
        <f t="shared" si="10"/>
        <v>#N/A</v>
      </c>
      <c r="AI14" s="17">
        <f t="shared" si="11"/>
        <v>0</v>
      </c>
      <c r="AJ14" s="17" t="str">
        <f t="shared" si="12"/>
        <v xml:space="preserve"> </v>
      </c>
      <c r="AK14" s="17" t="str">
        <f t="shared" si="13"/>
        <v xml:space="preserve"> </v>
      </c>
      <c r="AL14" s="17" t="str">
        <f t="shared" si="14"/>
        <v xml:space="preserve"> </v>
      </c>
    </row>
    <row r="15" spans="1:38" x14ac:dyDescent="0.15">
      <c r="A15" s="11">
        <v>9</v>
      </c>
      <c r="B15" s="18"/>
      <c r="C15" s="39"/>
      <c r="D15" s="18"/>
      <c r="E15" s="39"/>
      <c r="F15" s="2" t="str">
        <f t="shared" si="2"/>
        <v/>
      </c>
      <c r="G15" s="2" t="str">
        <f t="shared" si="3"/>
        <v/>
      </c>
      <c r="H15" s="2">
        <f t="shared" si="4"/>
        <v>0</v>
      </c>
      <c r="I15" s="2" t="str">
        <f t="shared" si="5"/>
        <v/>
      </c>
      <c r="J15" s="2" t="str">
        <f t="shared" si="6"/>
        <v/>
      </c>
      <c r="K15" s="2">
        <f t="shared" si="7"/>
        <v>0</v>
      </c>
      <c r="L15" s="16" t="str">
        <f t="shared" si="8"/>
        <v xml:space="preserve"> </v>
      </c>
      <c r="M15" s="1" t="str">
        <f t="shared" si="9"/>
        <v/>
      </c>
      <c r="N15" s="12"/>
      <c r="R15" s="9"/>
      <c r="S15" s="9"/>
      <c r="T15" s="19"/>
      <c r="U15" s="4"/>
      <c r="V15" s="9"/>
      <c r="W15" s="9"/>
      <c r="X15" s="9"/>
      <c r="AA15" s="5"/>
      <c r="AB15" s="5"/>
      <c r="AD15" s="5"/>
      <c r="AE15" s="2" t="str">
        <f t="shared" si="0"/>
        <v/>
      </c>
      <c r="AF15" s="2" t="str">
        <f t="shared" si="1"/>
        <v/>
      </c>
      <c r="AH15" s="17" t="e">
        <f t="shared" si="10"/>
        <v>#N/A</v>
      </c>
      <c r="AI15" s="17">
        <f t="shared" si="11"/>
        <v>0</v>
      </c>
      <c r="AJ15" s="17" t="str">
        <f t="shared" si="12"/>
        <v xml:space="preserve"> </v>
      </c>
      <c r="AK15" s="17" t="str">
        <f t="shared" si="13"/>
        <v xml:space="preserve"> </v>
      </c>
      <c r="AL15" s="17" t="str">
        <f t="shared" si="14"/>
        <v xml:space="preserve"> </v>
      </c>
    </row>
    <row r="16" spans="1:38" x14ac:dyDescent="0.15">
      <c r="A16" s="11">
        <v>10</v>
      </c>
      <c r="B16" s="18"/>
      <c r="C16" s="39"/>
      <c r="D16" s="18"/>
      <c r="E16" s="39"/>
      <c r="F16" s="2" t="str">
        <f t="shared" si="2"/>
        <v/>
      </c>
      <c r="G16" s="2" t="str">
        <f t="shared" si="3"/>
        <v/>
      </c>
      <c r="H16" s="2">
        <f t="shared" si="4"/>
        <v>0</v>
      </c>
      <c r="I16" s="2" t="str">
        <f t="shared" si="5"/>
        <v/>
      </c>
      <c r="J16" s="2" t="str">
        <f t="shared" si="6"/>
        <v/>
      </c>
      <c r="K16" s="2">
        <f t="shared" si="7"/>
        <v>0</v>
      </c>
      <c r="L16" s="16" t="str">
        <f t="shared" si="8"/>
        <v xml:space="preserve"> </v>
      </c>
      <c r="M16" s="1" t="str">
        <f t="shared" si="9"/>
        <v/>
      </c>
      <c r="N16" s="12"/>
      <c r="O16" s="15"/>
      <c r="Y16" s="9"/>
      <c r="Z16" s="9"/>
      <c r="AA16" s="9"/>
      <c r="AB16" s="9"/>
      <c r="AC16" s="4"/>
      <c r="AD16" s="9"/>
      <c r="AE16" s="2" t="str">
        <f t="shared" si="0"/>
        <v/>
      </c>
      <c r="AF16" s="2" t="str">
        <f t="shared" si="1"/>
        <v/>
      </c>
      <c r="AG16" s="9"/>
      <c r="AH16" s="17" t="e">
        <f t="shared" si="10"/>
        <v>#N/A</v>
      </c>
      <c r="AI16" s="17">
        <f t="shared" si="11"/>
        <v>0</v>
      </c>
      <c r="AJ16" s="17" t="str">
        <f t="shared" si="12"/>
        <v xml:space="preserve"> </v>
      </c>
      <c r="AK16" s="17" t="str">
        <f t="shared" si="13"/>
        <v xml:space="preserve"> </v>
      </c>
      <c r="AL16" s="17" t="str">
        <f t="shared" si="14"/>
        <v xml:space="preserve"> </v>
      </c>
    </row>
    <row r="17" spans="1:38" x14ac:dyDescent="0.15">
      <c r="A17" s="11">
        <v>11</v>
      </c>
      <c r="B17" s="18"/>
      <c r="C17" s="39"/>
      <c r="D17" s="18"/>
      <c r="E17" s="39"/>
      <c r="F17" s="2" t="str">
        <f t="shared" si="2"/>
        <v/>
      </c>
      <c r="G17" s="2" t="str">
        <f t="shared" si="3"/>
        <v/>
      </c>
      <c r="H17" s="2">
        <f t="shared" si="4"/>
        <v>0</v>
      </c>
      <c r="I17" s="2" t="str">
        <f t="shared" si="5"/>
        <v/>
      </c>
      <c r="J17" s="2" t="str">
        <f t="shared" si="6"/>
        <v/>
      </c>
      <c r="K17" s="2">
        <f t="shared" si="7"/>
        <v>0</v>
      </c>
      <c r="L17" s="16" t="str">
        <f t="shared" si="8"/>
        <v xml:space="preserve"> </v>
      </c>
      <c r="M17" s="1" t="str">
        <f t="shared" si="9"/>
        <v/>
      </c>
      <c r="N17" s="12"/>
      <c r="O17" s="15"/>
      <c r="Y17" s="9"/>
      <c r="Z17" s="9"/>
      <c r="AA17" s="9"/>
      <c r="AB17" s="9"/>
      <c r="AC17" s="4"/>
      <c r="AD17" s="9"/>
      <c r="AE17" s="2" t="str">
        <f t="shared" si="0"/>
        <v/>
      </c>
      <c r="AF17" s="2" t="str">
        <f t="shared" si="1"/>
        <v/>
      </c>
      <c r="AG17" s="9"/>
      <c r="AH17" s="17" t="e">
        <f t="shared" si="10"/>
        <v>#N/A</v>
      </c>
      <c r="AI17" s="17">
        <f t="shared" si="11"/>
        <v>0</v>
      </c>
      <c r="AJ17" s="17" t="str">
        <f t="shared" si="12"/>
        <v xml:space="preserve"> </v>
      </c>
      <c r="AK17" s="17" t="str">
        <f t="shared" si="13"/>
        <v xml:space="preserve"> </v>
      </c>
      <c r="AL17" s="17" t="str">
        <f t="shared" si="14"/>
        <v xml:space="preserve"> </v>
      </c>
    </row>
    <row r="18" spans="1:38" x14ac:dyDescent="0.15">
      <c r="A18" s="11">
        <v>12</v>
      </c>
      <c r="B18" s="18"/>
      <c r="C18" s="39"/>
      <c r="D18" s="18"/>
      <c r="E18" s="39"/>
      <c r="F18" s="2" t="str">
        <f t="shared" si="2"/>
        <v/>
      </c>
      <c r="G18" s="2" t="str">
        <f t="shared" si="3"/>
        <v/>
      </c>
      <c r="H18" s="2">
        <f t="shared" si="4"/>
        <v>0</v>
      </c>
      <c r="I18" s="2" t="str">
        <f t="shared" si="5"/>
        <v/>
      </c>
      <c r="J18" s="2" t="str">
        <f t="shared" si="6"/>
        <v/>
      </c>
      <c r="K18" s="2">
        <f t="shared" si="7"/>
        <v>0</v>
      </c>
      <c r="L18" s="16" t="str">
        <f t="shared" si="8"/>
        <v xml:space="preserve"> </v>
      </c>
      <c r="M18" s="1" t="str">
        <f t="shared" si="9"/>
        <v/>
      </c>
      <c r="N18" s="12"/>
      <c r="O18" s="15"/>
      <c r="Y18" s="14"/>
      <c r="Z18" s="14"/>
      <c r="AA18" s="14"/>
      <c r="AB18" s="14"/>
      <c r="AC18" s="14"/>
      <c r="AD18" s="14"/>
      <c r="AE18" s="2" t="str">
        <f t="shared" si="0"/>
        <v/>
      </c>
      <c r="AF18" s="2" t="str">
        <f t="shared" si="1"/>
        <v/>
      </c>
      <c r="AG18" s="7"/>
      <c r="AH18" s="17" t="e">
        <f t="shared" si="10"/>
        <v>#N/A</v>
      </c>
      <c r="AI18" s="17">
        <f t="shared" si="11"/>
        <v>0</v>
      </c>
      <c r="AJ18" s="17" t="str">
        <f t="shared" si="12"/>
        <v xml:space="preserve"> </v>
      </c>
      <c r="AK18" s="17" t="str">
        <f t="shared" si="13"/>
        <v xml:space="preserve"> </v>
      </c>
      <c r="AL18" s="17" t="str">
        <f t="shared" si="14"/>
        <v xml:space="preserve"> </v>
      </c>
    </row>
    <row r="19" spans="1:38" x14ac:dyDescent="0.15">
      <c r="A19" s="11">
        <v>13</v>
      </c>
      <c r="B19" s="18"/>
      <c r="C19" s="39"/>
      <c r="D19" s="18"/>
      <c r="E19" s="39"/>
      <c r="F19" s="2" t="str">
        <f t="shared" si="2"/>
        <v/>
      </c>
      <c r="G19" s="2" t="str">
        <f t="shared" si="3"/>
        <v/>
      </c>
      <c r="H19" s="2">
        <f t="shared" si="4"/>
        <v>0</v>
      </c>
      <c r="I19" s="2" t="str">
        <f t="shared" si="5"/>
        <v/>
      </c>
      <c r="J19" s="2" t="str">
        <f t="shared" si="6"/>
        <v/>
      </c>
      <c r="K19" s="2">
        <f t="shared" si="7"/>
        <v>0</v>
      </c>
      <c r="L19" s="16" t="str">
        <f t="shared" si="8"/>
        <v xml:space="preserve"> </v>
      </c>
      <c r="M19" s="1" t="str">
        <f t="shared" si="9"/>
        <v/>
      </c>
      <c r="N19" s="12"/>
      <c r="O19" s="15"/>
      <c r="AA19" s="5"/>
      <c r="AB19" s="5"/>
      <c r="AD19" s="5"/>
      <c r="AE19" s="2" t="str">
        <f t="shared" si="0"/>
        <v/>
      </c>
      <c r="AF19" s="2" t="str">
        <f t="shared" si="1"/>
        <v/>
      </c>
      <c r="AH19" s="17" t="e">
        <f t="shared" si="10"/>
        <v>#N/A</v>
      </c>
      <c r="AI19" s="17">
        <f t="shared" si="11"/>
        <v>0</v>
      </c>
      <c r="AJ19" s="17" t="str">
        <f t="shared" si="12"/>
        <v xml:space="preserve"> </v>
      </c>
      <c r="AK19" s="17" t="str">
        <f t="shared" si="13"/>
        <v xml:space="preserve"> </v>
      </c>
      <c r="AL19" s="17" t="str">
        <f t="shared" si="14"/>
        <v xml:space="preserve"> </v>
      </c>
    </row>
    <row r="20" spans="1:38" x14ac:dyDescent="0.15">
      <c r="A20" s="11">
        <v>14</v>
      </c>
      <c r="B20" s="18"/>
      <c r="C20" s="39"/>
      <c r="D20" s="18"/>
      <c r="E20" s="39"/>
      <c r="F20" s="2" t="str">
        <f t="shared" si="2"/>
        <v/>
      </c>
      <c r="G20" s="2" t="str">
        <f t="shared" si="3"/>
        <v/>
      </c>
      <c r="H20" s="2">
        <f t="shared" si="4"/>
        <v>0</v>
      </c>
      <c r="I20" s="2" t="str">
        <f t="shared" si="5"/>
        <v/>
      </c>
      <c r="J20" s="2" t="str">
        <f t="shared" si="6"/>
        <v/>
      </c>
      <c r="K20" s="2">
        <f t="shared" si="7"/>
        <v>0</v>
      </c>
      <c r="L20" s="16" t="str">
        <f t="shared" si="8"/>
        <v xml:space="preserve"> </v>
      </c>
      <c r="M20" s="1" t="str">
        <f t="shared" si="9"/>
        <v/>
      </c>
      <c r="N20" s="12"/>
      <c r="O20" s="15"/>
      <c r="Y20" s="9"/>
      <c r="Z20" s="9"/>
      <c r="AA20" s="9"/>
      <c r="AB20" s="9"/>
      <c r="AC20" s="4"/>
      <c r="AD20" s="9"/>
      <c r="AE20" s="2" t="str">
        <f t="shared" si="0"/>
        <v/>
      </c>
      <c r="AF20" s="2" t="str">
        <f t="shared" si="1"/>
        <v/>
      </c>
      <c r="AH20" s="17" t="e">
        <f t="shared" si="10"/>
        <v>#N/A</v>
      </c>
      <c r="AI20" s="17">
        <f t="shared" si="11"/>
        <v>0</v>
      </c>
      <c r="AJ20" s="17" t="str">
        <f t="shared" si="12"/>
        <v xml:space="preserve"> </v>
      </c>
      <c r="AK20" s="17" t="str">
        <f t="shared" si="13"/>
        <v xml:space="preserve"> </v>
      </c>
      <c r="AL20" s="17" t="str">
        <f t="shared" si="14"/>
        <v xml:space="preserve"> </v>
      </c>
    </row>
    <row r="21" spans="1:38" x14ac:dyDescent="0.15">
      <c r="A21" s="11">
        <v>15</v>
      </c>
      <c r="B21" s="18"/>
      <c r="C21" s="39"/>
      <c r="D21" s="18"/>
      <c r="E21" s="39"/>
      <c r="F21" s="2" t="str">
        <f t="shared" si="2"/>
        <v/>
      </c>
      <c r="G21" s="2" t="str">
        <f t="shared" si="3"/>
        <v/>
      </c>
      <c r="H21" s="2">
        <f t="shared" si="4"/>
        <v>0</v>
      </c>
      <c r="I21" s="2" t="str">
        <f t="shared" si="5"/>
        <v/>
      </c>
      <c r="J21" s="2" t="str">
        <f t="shared" si="6"/>
        <v/>
      </c>
      <c r="K21" s="2">
        <f t="shared" si="7"/>
        <v>0</v>
      </c>
      <c r="L21" s="16" t="str">
        <f t="shared" si="8"/>
        <v xml:space="preserve"> </v>
      </c>
      <c r="M21" s="1" t="str">
        <f t="shared" si="9"/>
        <v/>
      </c>
      <c r="N21" s="12"/>
      <c r="O21" s="15"/>
      <c r="AA21" s="5"/>
      <c r="AB21" s="5"/>
      <c r="AD21" s="5"/>
      <c r="AE21" s="2" t="str">
        <f t="shared" si="0"/>
        <v/>
      </c>
      <c r="AF21" s="2" t="str">
        <f t="shared" si="1"/>
        <v/>
      </c>
      <c r="AG21" s="7"/>
      <c r="AH21" s="17" t="e">
        <f t="shared" si="10"/>
        <v>#N/A</v>
      </c>
      <c r="AI21" s="17">
        <f t="shared" si="11"/>
        <v>0</v>
      </c>
      <c r="AJ21" s="17" t="str">
        <f t="shared" si="12"/>
        <v xml:space="preserve"> </v>
      </c>
      <c r="AK21" s="17" t="str">
        <f t="shared" si="13"/>
        <v xml:space="preserve"> </v>
      </c>
      <c r="AL21" s="17" t="str">
        <f t="shared" si="14"/>
        <v xml:space="preserve"> </v>
      </c>
    </row>
    <row r="22" spans="1:38" x14ac:dyDescent="0.15">
      <c r="A22" s="11">
        <v>16</v>
      </c>
      <c r="B22" s="18"/>
      <c r="C22" s="39"/>
      <c r="D22" s="18"/>
      <c r="E22" s="39"/>
      <c r="F22" s="2" t="str">
        <f t="shared" si="2"/>
        <v/>
      </c>
      <c r="G22" s="2" t="str">
        <f t="shared" si="3"/>
        <v/>
      </c>
      <c r="H22" s="2">
        <f t="shared" si="4"/>
        <v>0</v>
      </c>
      <c r="I22" s="2" t="str">
        <f t="shared" si="5"/>
        <v/>
      </c>
      <c r="J22" s="2" t="str">
        <f t="shared" si="6"/>
        <v/>
      </c>
      <c r="K22" s="2">
        <f t="shared" si="7"/>
        <v>0</v>
      </c>
      <c r="L22" s="16" t="str">
        <f t="shared" si="8"/>
        <v xml:space="preserve"> </v>
      </c>
      <c r="M22" s="1" t="str">
        <f t="shared" si="9"/>
        <v/>
      </c>
      <c r="N22" s="12"/>
      <c r="O22" s="15"/>
      <c r="AA22" s="5"/>
      <c r="AB22" s="5"/>
      <c r="AD22" s="5"/>
      <c r="AE22" s="2" t="str">
        <f t="shared" si="0"/>
        <v/>
      </c>
      <c r="AF22" s="2" t="str">
        <f t="shared" si="1"/>
        <v/>
      </c>
      <c r="AG22" s="7"/>
      <c r="AH22" s="17" t="e">
        <f t="shared" si="10"/>
        <v>#N/A</v>
      </c>
      <c r="AI22" s="17">
        <f t="shared" si="11"/>
        <v>0</v>
      </c>
      <c r="AJ22" s="17" t="str">
        <f t="shared" si="12"/>
        <v xml:space="preserve"> </v>
      </c>
      <c r="AK22" s="17" t="str">
        <f t="shared" si="13"/>
        <v xml:space="preserve"> </v>
      </c>
      <c r="AL22" s="17" t="str">
        <f t="shared" si="14"/>
        <v xml:space="preserve"> </v>
      </c>
    </row>
    <row r="23" spans="1:38" x14ac:dyDescent="0.15">
      <c r="A23" s="11">
        <v>17</v>
      </c>
      <c r="B23" s="18"/>
      <c r="C23" s="39"/>
      <c r="D23" s="18"/>
      <c r="E23" s="39"/>
      <c r="F23" s="2" t="str">
        <f t="shared" si="2"/>
        <v/>
      </c>
      <c r="G23" s="2" t="str">
        <f t="shared" si="3"/>
        <v/>
      </c>
      <c r="H23" s="2">
        <f t="shared" si="4"/>
        <v>0</v>
      </c>
      <c r="I23" s="2" t="str">
        <f t="shared" si="5"/>
        <v/>
      </c>
      <c r="J23" s="2" t="str">
        <f t="shared" si="6"/>
        <v/>
      </c>
      <c r="K23" s="2">
        <f t="shared" si="7"/>
        <v>0</v>
      </c>
      <c r="L23" s="16" t="str">
        <f t="shared" si="8"/>
        <v xml:space="preserve"> </v>
      </c>
      <c r="M23" s="1" t="str">
        <f t="shared" si="9"/>
        <v/>
      </c>
      <c r="N23" s="12"/>
      <c r="O23" s="15"/>
      <c r="AA23" s="5"/>
      <c r="AB23" s="5"/>
      <c r="AD23" s="5"/>
      <c r="AE23" s="2" t="str">
        <f t="shared" si="0"/>
        <v/>
      </c>
      <c r="AF23" s="2" t="str">
        <f t="shared" si="1"/>
        <v/>
      </c>
      <c r="AG23" s="7"/>
      <c r="AH23" s="17" t="e">
        <f t="shared" si="10"/>
        <v>#N/A</v>
      </c>
      <c r="AI23" s="17">
        <f t="shared" si="11"/>
        <v>0</v>
      </c>
      <c r="AJ23" s="17" t="str">
        <f t="shared" si="12"/>
        <v xml:space="preserve"> </v>
      </c>
      <c r="AK23" s="17" t="str">
        <f t="shared" si="13"/>
        <v xml:space="preserve"> </v>
      </c>
      <c r="AL23" s="17" t="str">
        <f t="shared" si="14"/>
        <v xml:space="preserve"> </v>
      </c>
    </row>
    <row r="24" spans="1:38" x14ac:dyDescent="0.15">
      <c r="A24" s="11">
        <v>18</v>
      </c>
      <c r="B24" s="18"/>
      <c r="C24" s="39"/>
      <c r="D24" s="18"/>
      <c r="E24" s="39"/>
      <c r="F24" s="2" t="str">
        <f t="shared" si="2"/>
        <v/>
      </c>
      <c r="G24" s="2" t="str">
        <f t="shared" si="3"/>
        <v/>
      </c>
      <c r="H24" s="2">
        <f t="shared" si="4"/>
        <v>0</v>
      </c>
      <c r="I24" s="2" t="str">
        <f t="shared" si="5"/>
        <v/>
      </c>
      <c r="J24" s="2" t="str">
        <f t="shared" si="6"/>
        <v/>
      </c>
      <c r="K24" s="2">
        <f t="shared" si="7"/>
        <v>0</v>
      </c>
      <c r="L24" s="16" t="str">
        <f t="shared" si="8"/>
        <v xml:space="preserve"> </v>
      </c>
      <c r="M24" s="1" t="str">
        <f t="shared" si="9"/>
        <v/>
      </c>
      <c r="N24" s="12"/>
      <c r="O24" s="15"/>
      <c r="AA24" s="5"/>
      <c r="AB24" s="5"/>
      <c r="AD24" s="5"/>
      <c r="AE24" s="2" t="str">
        <f t="shared" si="0"/>
        <v/>
      </c>
      <c r="AF24" s="2" t="str">
        <f t="shared" si="1"/>
        <v/>
      </c>
      <c r="AG24" s="7"/>
      <c r="AH24" s="17" t="e">
        <f t="shared" si="10"/>
        <v>#N/A</v>
      </c>
      <c r="AI24" s="17">
        <f t="shared" si="11"/>
        <v>0</v>
      </c>
      <c r="AJ24" s="17" t="str">
        <f t="shared" si="12"/>
        <v xml:space="preserve"> </v>
      </c>
      <c r="AK24" s="17" t="str">
        <f t="shared" si="13"/>
        <v xml:space="preserve"> </v>
      </c>
      <c r="AL24" s="17" t="str">
        <f t="shared" si="14"/>
        <v xml:space="preserve"> </v>
      </c>
    </row>
    <row r="25" spans="1:38" x14ac:dyDescent="0.15">
      <c r="A25" s="11">
        <v>19</v>
      </c>
      <c r="B25" s="18"/>
      <c r="C25" s="39"/>
      <c r="D25" s="18"/>
      <c r="E25" s="39"/>
      <c r="F25" s="2" t="str">
        <f t="shared" si="2"/>
        <v/>
      </c>
      <c r="G25" s="2" t="str">
        <f t="shared" si="3"/>
        <v/>
      </c>
      <c r="H25" s="2">
        <f t="shared" si="4"/>
        <v>0</v>
      </c>
      <c r="I25" s="2" t="str">
        <f t="shared" si="5"/>
        <v/>
      </c>
      <c r="J25" s="2" t="str">
        <f t="shared" si="6"/>
        <v/>
      </c>
      <c r="K25" s="2">
        <f t="shared" si="7"/>
        <v>0</v>
      </c>
      <c r="L25" s="16" t="str">
        <f t="shared" si="8"/>
        <v xml:space="preserve"> </v>
      </c>
      <c r="M25" s="1" t="str">
        <f t="shared" si="9"/>
        <v/>
      </c>
      <c r="N25" s="12"/>
      <c r="O25" s="15"/>
      <c r="AA25" s="5"/>
      <c r="AB25" s="5"/>
      <c r="AD25" s="5"/>
      <c r="AE25" s="2" t="str">
        <f t="shared" si="0"/>
        <v/>
      </c>
      <c r="AF25" s="2" t="str">
        <f t="shared" si="1"/>
        <v/>
      </c>
      <c r="AG25" s="7"/>
      <c r="AH25" s="17" t="e">
        <f t="shared" si="10"/>
        <v>#N/A</v>
      </c>
      <c r="AI25" s="17">
        <f t="shared" si="11"/>
        <v>0</v>
      </c>
      <c r="AJ25" s="17" t="str">
        <f t="shared" si="12"/>
        <v xml:space="preserve"> </v>
      </c>
      <c r="AK25" s="17" t="str">
        <f t="shared" si="13"/>
        <v xml:space="preserve"> </v>
      </c>
      <c r="AL25" s="17" t="str">
        <f t="shared" si="14"/>
        <v xml:space="preserve"> </v>
      </c>
    </row>
    <row r="26" spans="1:38" x14ac:dyDescent="0.15">
      <c r="A26" s="11">
        <v>20</v>
      </c>
      <c r="B26" s="18"/>
      <c r="C26" s="39"/>
      <c r="D26" s="18"/>
      <c r="E26" s="39"/>
      <c r="F26" s="2" t="str">
        <f t="shared" si="2"/>
        <v/>
      </c>
      <c r="G26" s="2" t="str">
        <f t="shared" si="3"/>
        <v/>
      </c>
      <c r="H26" s="2">
        <f t="shared" si="4"/>
        <v>0</v>
      </c>
      <c r="I26" s="2" t="str">
        <f t="shared" si="5"/>
        <v/>
      </c>
      <c r="J26" s="2" t="str">
        <f t="shared" si="6"/>
        <v/>
      </c>
      <c r="K26" s="2">
        <f t="shared" si="7"/>
        <v>0</v>
      </c>
      <c r="L26" s="16" t="str">
        <f t="shared" si="8"/>
        <v xml:space="preserve"> </v>
      </c>
      <c r="M26" s="1" t="str">
        <f t="shared" si="9"/>
        <v/>
      </c>
      <c r="N26" s="12"/>
      <c r="O26" s="15"/>
      <c r="AA26" s="5"/>
      <c r="AB26" s="5"/>
      <c r="AD26" s="5"/>
      <c r="AE26" s="2" t="str">
        <f t="shared" si="0"/>
        <v/>
      </c>
      <c r="AF26" s="2" t="str">
        <f t="shared" si="1"/>
        <v/>
      </c>
      <c r="AG26" s="7"/>
      <c r="AH26" s="17" t="e">
        <f t="shared" si="10"/>
        <v>#N/A</v>
      </c>
      <c r="AI26" s="17">
        <f t="shared" si="11"/>
        <v>0</v>
      </c>
      <c r="AJ26" s="17" t="str">
        <f t="shared" si="12"/>
        <v xml:space="preserve"> </v>
      </c>
      <c r="AK26" s="17" t="str">
        <f t="shared" si="13"/>
        <v xml:space="preserve"> </v>
      </c>
      <c r="AL26" s="17" t="str">
        <f t="shared" si="14"/>
        <v xml:space="preserve"> </v>
      </c>
    </row>
    <row r="27" spans="1:38" x14ac:dyDescent="0.15">
      <c r="A27" s="11">
        <v>21</v>
      </c>
      <c r="B27" s="18"/>
      <c r="C27" s="39"/>
      <c r="D27" s="18"/>
      <c r="E27" s="39"/>
      <c r="F27" s="2" t="str">
        <f t="shared" si="2"/>
        <v/>
      </c>
      <c r="G27" s="2" t="str">
        <f t="shared" si="3"/>
        <v/>
      </c>
      <c r="H27" s="2">
        <f t="shared" si="4"/>
        <v>0</v>
      </c>
      <c r="I27" s="2" t="str">
        <f t="shared" si="5"/>
        <v/>
      </c>
      <c r="J27" s="2" t="str">
        <f t="shared" si="6"/>
        <v/>
      </c>
      <c r="K27" s="2">
        <f t="shared" si="7"/>
        <v>0</v>
      </c>
      <c r="L27" s="16" t="str">
        <f t="shared" si="8"/>
        <v xml:space="preserve"> </v>
      </c>
      <c r="M27" s="1" t="str">
        <f t="shared" si="9"/>
        <v/>
      </c>
      <c r="N27" s="12"/>
      <c r="O27" s="15"/>
      <c r="AA27" s="5"/>
      <c r="AB27" s="5"/>
      <c r="AD27" s="5"/>
      <c r="AE27" s="2" t="str">
        <f t="shared" si="0"/>
        <v/>
      </c>
      <c r="AF27" s="2" t="str">
        <f t="shared" si="1"/>
        <v/>
      </c>
      <c r="AG27" s="7"/>
      <c r="AH27" s="17" t="e">
        <f t="shared" si="10"/>
        <v>#N/A</v>
      </c>
      <c r="AI27" s="17">
        <f t="shared" si="11"/>
        <v>0</v>
      </c>
      <c r="AJ27" s="17" t="str">
        <f t="shared" si="12"/>
        <v xml:space="preserve"> </v>
      </c>
      <c r="AK27" s="17" t="str">
        <f t="shared" si="13"/>
        <v xml:space="preserve"> </v>
      </c>
      <c r="AL27" s="17" t="str">
        <f t="shared" si="14"/>
        <v xml:space="preserve"> </v>
      </c>
    </row>
    <row r="28" spans="1:38" x14ac:dyDescent="0.15">
      <c r="A28" s="11">
        <v>22</v>
      </c>
      <c r="B28" s="18"/>
      <c r="C28" s="39"/>
      <c r="D28" s="18"/>
      <c r="E28" s="39"/>
      <c r="F28" s="2" t="str">
        <f t="shared" si="2"/>
        <v/>
      </c>
      <c r="G28" s="2" t="str">
        <f t="shared" si="3"/>
        <v/>
      </c>
      <c r="H28" s="2">
        <f t="shared" si="4"/>
        <v>0</v>
      </c>
      <c r="I28" s="2" t="str">
        <f t="shared" si="5"/>
        <v/>
      </c>
      <c r="J28" s="2" t="str">
        <f t="shared" si="6"/>
        <v/>
      </c>
      <c r="K28" s="2">
        <f t="shared" si="7"/>
        <v>0</v>
      </c>
      <c r="L28" s="16" t="str">
        <f t="shared" si="8"/>
        <v xml:space="preserve"> </v>
      </c>
      <c r="M28" s="1" t="str">
        <f t="shared" si="9"/>
        <v/>
      </c>
      <c r="N28" s="12"/>
      <c r="AA28" s="5"/>
      <c r="AB28" s="5"/>
      <c r="AD28" s="5"/>
      <c r="AE28" s="2" t="str">
        <f t="shared" si="0"/>
        <v/>
      </c>
      <c r="AF28" s="2" t="str">
        <f t="shared" si="1"/>
        <v/>
      </c>
      <c r="AG28" s="7"/>
      <c r="AH28" s="17" t="e">
        <f t="shared" si="10"/>
        <v>#N/A</v>
      </c>
      <c r="AI28" s="17">
        <f t="shared" si="11"/>
        <v>0</v>
      </c>
      <c r="AJ28" s="17" t="str">
        <f t="shared" si="12"/>
        <v xml:space="preserve"> </v>
      </c>
      <c r="AK28" s="17" t="str">
        <f t="shared" si="13"/>
        <v xml:space="preserve"> </v>
      </c>
      <c r="AL28" s="17" t="str">
        <f t="shared" si="14"/>
        <v xml:space="preserve"> </v>
      </c>
    </row>
    <row r="29" spans="1:38" x14ac:dyDescent="0.15">
      <c r="A29" s="11">
        <v>23</v>
      </c>
      <c r="B29" s="18"/>
      <c r="C29" s="39"/>
      <c r="D29" s="18"/>
      <c r="E29" s="39"/>
      <c r="F29" s="2" t="str">
        <f t="shared" si="2"/>
        <v/>
      </c>
      <c r="G29" s="2" t="str">
        <f t="shared" si="3"/>
        <v/>
      </c>
      <c r="H29" s="2">
        <f t="shared" si="4"/>
        <v>0</v>
      </c>
      <c r="I29" s="2" t="str">
        <f t="shared" si="5"/>
        <v/>
      </c>
      <c r="J29" s="2" t="str">
        <f t="shared" si="6"/>
        <v/>
      </c>
      <c r="K29" s="2">
        <f t="shared" si="7"/>
        <v>0</v>
      </c>
      <c r="L29" s="16" t="str">
        <f t="shared" si="8"/>
        <v xml:space="preserve"> </v>
      </c>
      <c r="M29" s="1" t="str">
        <f t="shared" si="9"/>
        <v/>
      </c>
      <c r="N29" s="12"/>
      <c r="AA29" s="5"/>
      <c r="AB29" s="5"/>
      <c r="AD29" s="5"/>
      <c r="AE29" s="2" t="str">
        <f t="shared" si="0"/>
        <v/>
      </c>
      <c r="AF29" s="2" t="str">
        <f t="shared" si="1"/>
        <v/>
      </c>
      <c r="AG29" s="7"/>
      <c r="AH29" s="17" t="e">
        <f t="shared" si="10"/>
        <v>#N/A</v>
      </c>
      <c r="AI29" s="17">
        <f t="shared" si="11"/>
        <v>0</v>
      </c>
      <c r="AJ29" s="17" t="str">
        <f t="shared" si="12"/>
        <v xml:space="preserve"> </v>
      </c>
      <c r="AK29" s="17" t="str">
        <f t="shared" si="13"/>
        <v xml:space="preserve"> </v>
      </c>
      <c r="AL29" s="17" t="str">
        <f t="shared" si="14"/>
        <v xml:space="preserve"> </v>
      </c>
    </row>
    <row r="30" spans="1:38" x14ac:dyDescent="0.15">
      <c r="A30" s="11">
        <v>24</v>
      </c>
      <c r="B30" s="18"/>
      <c r="C30" s="39"/>
      <c r="D30" s="18"/>
      <c r="E30" s="39"/>
      <c r="F30" s="2" t="str">
        <f t="shared" si="2"/>
        <v/>
      </c>
      <c r="G30" s="2" t="str">
        <f t="shared" si="3"/>
        <v/>
      </c>
      <c r="H30" s="2">
        <f t="shared" si="4"/>
        <v>0</v>
      </c>
      <c r="I30" s="2" t="str">
        <f t="shared" si="5"/>
        <v/>
      </c>
      <c r="J30" s="2" t="str">
        <f t="shared" si="6"/>
        <v/>
      </c>
      <c r="K30" s="2">
        <f t="shared" si="7"/>
        <v>0</v>
      </c>
      <c r="L30" s="16" t="str">
        <f t="shared" si="8"/>
        <v xml:space="preserve"> </v>
      </c>
      <c r="M30" s="1" t="str">
        <f t="shared" si="9"/>
        <v/>
      </c>
      <c r="N30" s="12"/>
      <c r="AA30" s="5"/>
      <c r="AB30" s="5"/>
      <c r="AD30" s="5"/>
      <c r="AE30" s="2" t="str">
        <f t="shared" si="0"/>
        <v/>
      </c>
      <c r="AF30" s="2" t="str">
        <f t="shared" si="1"/>
        <v/>
      </c>
      <c r="AG30" s="7"/>
      <c r="AH30" s="17" t="e">
        <f t="shared" si="10"/>
        <v>#N/A</v>
      </c>
      <c r="AI30" s="17">
        <f t="shared" si="11"/>
        <v>0</v>
      </c>
      <c r="AJ30" s="17" t="str">
        <f t="shared" si="12"/>
        <v xml:space="preserve"> </v>
      </c>
      <c r="AK30" s="17" t="str">
        <f t="shared" si="13"/>
        <v xml:space="preserve"> </v>
      </c>
      <c r="AL30" s="17" t="str">
        <f t="shared" si="14"/>
        <v xml:space="preserve"> </v>
      </c>
    </row>
    <row r="31" spans="1:38" x14ac:dyDescent="0.15">
      <c r="A31" s="11">
        <v>25</v>
      </c>
      <c r="B31" s="18"/>
      <c r="C31" s="39"/>
      <c r="D31" s="18"/>
      <c r="E31" s="39"/>
      <c r="F31" s="2" t="str">
        <f t="shared" si="2"/>
        <v/>
      </c>
      <c r="G31" s="2" t="str">
        <f t="shared" si="3"/>
        <v/>
      </c>
      <c r="H31" s="2">
        <f t="shared" si="4"/>
        <v>0</v>
      </c>
      <c r="I31" s="2" t="str">
        <f t="shared" si="5"/>
        <v/>
      </c>
      <c r="J31" s="2" t="str">
        <f t="shared" si="6"/>
        <v/>
      </c>
      <c r="K31" s="2">
        <f t="shared" si="7"/>
        <v>0</v>
      </c>
      <c r="L31" s="16" t="str">
        <f t="shared" si="8"/>
        <v xml:space="preserve"> </v>
      </c>
      <c r="M31" s="1" t="str">
        <f t="shared" si="9"/>
        <v/>
      </c>
      <c r="AA31" s="5"/>
      <c r="AB31" s="5"/>
      <c r="AD31" s="5"/>
      <c r="AE31" s="2" t="str">
        <f t="shared" si="0"/>
        <v/>
      </c>
      <c r="AF31" s="2" t="str">
        <f t="shared" si="1"/>
        <v/>
      </c>
      <c r="AH31" s="17" t="e">
        <f t="shared" si="10"/>
        <v>#N/A</v>
      </c>
      <c r="AI31" s="17">
        <f t="shared" si="11"/>
        <v>0</v>
      </c>
      <c r="AJ31" s="17" t="str">
        <f t="shared" si="12"/>
        <v xml:space="preserve"> </v>
      </c>
      <c r="AK31" s="17" t="str">
        <f t="shared" si="13"/>
        <v xml:space="preserve"> </v>
      </c>
      <c r="AL31" s="17" t="str">
        <f t="shared" si="14"/>
        <v xml:space="preserve"> </v>
      </c>
    </row>
    <row r="32" spans="1:38" x14ac:dyDescent="0.15">
      <c r="A32"/>
      <c r="L32"/>
    </row>
    <row r="33" spans="1:12" x14ac:dyDescent="0.15">
      <c r="A33"/>
      <c r="L33"/>
    </row>
    <row r="34" spans="1:12" x14ac:dyDescent="0.15">
      <c r="A34"/>
      <c r="L34"/>
    </row>
  </sheetData>
  <sheetProtection sheet="1" objects="1" scenarios="1"/>
  <mergeCells count="13">
    <mergeCell ref="X1:Y1"/>
    <mergeCell ref="X2:Y2"/>
    <mergeCell ref="T3:U3"/>
    <mergeCell ref="X3:Y3"/>
    <mergeCell ref="I6:K6"/>
    <mergeCell ref="D6:E6"/>
    <mergeCell ref="L6:M6"/>
    <mergeCell ref="B1:M1"/>
    <mergeCell ref="B2:M2"/>
    <mergeCell ref="B3:M3"/>
    <mergeCell ref="B4:M4"/>
    <mergeCell ref="B6:C6"/>
    <mergeCell ref="F6:H6"/>
  </mergeCells>
  <conditionalFormatting sqref="P1:Q1">
    <cfRule type="cellIs" dxfId="12" priority="28" operator="equal">
      <formula>0</formula>
    </cfRule>
  </conditionalFormatting>
  <conditionalFormatting sqref="T1:U1">
    <cfRule type="expression" dxfId="11" priority="8">
      <formula>$T$1&lt;$P$1</formula>
    </cfRule>
    <cfRule type="expression" dxfId="10" priority="9">
      <formula>$T$1&gt;$P$1</formula>
    </cfRule>
    <cfRule type="expression" dxfId="9" priority="10">
      <formula>$T$1=$P$1</formula>
    </cfRule>
  </conditionalFormatting>
  <conditionalFormatting sqref="X2">
    <cfRule type="cellIs" dxfId="8" priority="5" operator="lessThan">
      <formula>2</formula>
    </cfRule>
    <cfRule type="cellIs" dxfId="7" priority="6" operator="equal">
      <formula>2</formula>
    </cfRule>
    <cfRule type="cellIs" dxfId="6" priority="7" operator="greaterThan">
      <formula>2</formula>
    </cfRule>
  </conditionalFormatting>
  <conditionalFormatting sqref="X2:X3">
    <cfRule type="cellIs" dxfId="5" priority="2" operator="equal">
      <formula>" "</formula>
    </cfRule>
  </conditionalFormatting>
  <conditionalFormatting sqref="X3">
    <cfRule type="cellIs" dxfId="4" priority="3" operator="equal">
      <formula>0</formula>
    </cfRule>
    <cfRule type="cellIs" dxfId="3" priority="4" operator="greaterThan">
      <formula>0</formula>
    </cfRule>
  </conditionalFormatting>
  <conditionalFormatting sqref="L7:M31">
    <cfRule type="expression" priority="75" stopIfTrue="1">
      <formula>$B7=0</formula>
    </cfRule>
    <cfRule type="expression" dxfId="2" priority="76">
      <formula>$L7&lt;$P$3</formula>
    </cfRule>
    <cfRule type="expression" dxfId="1" priority="77">
      <formula>$L7&lt;$P$2</formula>
    </cfRule>
  </conditionalFormatting>
  <conditionalFormatting sqref="B7:E31">
    <cfRule type="cellIs" dxfId="0" priority="1" operator="equal">
      <formula>0</formula>
    </cfRule>
  </conditionalFormatting>
  <pageMargins left="0.39370078740157483" right="0.19685039370078741" top="0.74803149606299213" bottom="0.74803149606299213" header="0.31496062992125984" footer="0.31496062992125984"/>
  <pageSetup paperSize="9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Tare théorique - QN en g</vt:lpstr>
      <vt:lpstr>note</vt:lpstr>
      <vt:lpstr>Réglage Balance</vt:lpstr>
      <vt:lpstr> Tare Individuelle - QN en g</vt:lpstr>
      <vt:lpstr>TI_g</vt:lpstr>
      <vt:lpstr>TT_g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 MIGNOT</dc:creator>
  <cp:lastModifiedBy>da Silva, Arnaud</cp:lastModifiedBy>
  <cp:lastPrinted>2024-01-31T16:33:13Z</cp:lastPrinted>
  <dcterms:created xsi:type="dcterms:W3CDTF">2022-07-21T14:53:47Z</dcterms:created>
  <dcterms:modified xsi:type="dcterms:W3CDTF">2024-12-19T11:21:03Z</dcterms:modified>
</cp:coreProperties>
</file>